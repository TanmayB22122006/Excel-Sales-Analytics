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anma\Downloads\"/>
    </mc:Choice>
  </mc:AlternateContent>
  <xr:revisionPtr revIDLastSave="0" documentId="13_ncr:1_{89929CD6-D9AF-4989-8BE3-E49FE6B8B9C7}" xr6:coauthVersionLast="47" xr6:coauthVersionMax="47" xr10:uidLastSave="{00000000-0000-0000-0000-000000000000}"/>
  <bookViews>
    <workbookView xWindow="-108" yWindow="-108" windowWidth="23256" windowHeight="12456" tabRatio="1000" activeTab="11" xr2:uid="{00000000-000D-0000-FFFF-FFFF00000000}"/>
  </bookViews>
  <sheets>
    <sheet name="README" sheetId="1" r:id="rId1"/>
    <sheet name="Sheet1" sheetId="12" state="hidden" r:id="rId2"/>
    <sheet name="Sheet3" sheetId="15" state="hidden" r:id="rId3"/>
    <sheet name="Sheet4" sheetId="16" state="hidden" r:id="rId4"/>
    <sheet name="Sheet6" sheetId="17" state="hidden" r:id="rId5"/>
    <sheet name="Orders" sheetId="2" r:id="rId6"/>
    <sheet name="Customers" sheetId="3" r:id="rId7"/>
    <sheet name="Products" sheetId="4" r:id="rId8"/>
    <sheet name="Sales_Reps" sheetId="5" r:id="rId9"/>
    <sheet name="Targets" sheetId="6" r:id="rId10"/>
    <sheet name="Q1_Lookups" sheetId="7" r:id="rId11"/>
    <sheet name="Q2_Cleaning" sheetId="8" r:id="rId12"/>
    <sheet name="Q3_Aggregation" sheetId="9" r:id="rId13"/>
    <sheet name="Q4_Pivot" sheetId="10" r:id="rId14"/>
    <sheet name="Q5_Advanced" sheetId="11" r:id="rId15"/>
    <sheet name="Sheet2" sheetId="14" r:id="rId16"/>
    <sheet name="Sheet7" sheetId="18" r:id="rId17"/>
  </sheets>
  <definedNames>
    <definedName name="_xlnm._FilterDatabase" localSheetId="6" hidden="1">Customers!$A$1:$G$301</definedName>
    <definedName name="_xlnm._FilterDatabase" localSheetId="5" hidden="1">Orders!$A$1:$S$2001</definedName>
    <definedName name="_xlnm.Print_Area" localSheetId="6">Customers!$A$1:$F$301</definedName>
    <definedName name="_xlnm.Print_Area" localSheetId="5">Orders!$A$1:$K$2001</definedName>
    <definedName name="_xlnm.Print_Area" localSheetId="7">Products!$A$1:$F$61</definedName>
    <definedName name="_xlnm.Print_Area" localSheetId="8">Sales_Reps!$A$1:$E$31</definedName>
    <definedName name="_xlnm.Print_Area" localSheetId="9">Targets!$A$1:$M$31</definedName>
    <definedName name="_xlnm.Print_Titles" localSheetId="6">Customers!$1:$1</definedName>
    <definedName name="_xlnm.Print_Titles" localSheetId="5">Orders!$1:$1</definedName>
    <definedName name="_xlnm.Print_Titles" localSheetId="7">Products!$1:$1</definedName>
    <definedName name="_xlnm.Print_Titles" localSheetId="8">Sales_Reps!$1:$1</definedName>
    <definedName name="_xlnm.Print_Titles" localSheetId="9">Targets!$1:$1</definedName>
  </definedNames>
  <calcPr calcId="191029"/>
  <pivotCaches>
    <pivotCache cacheId="0" r:id="rId18"/>
    <pivotCache cacheId="1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0" l="1"/>
  <c r="E9" i="8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" i="2"/>
  <c r="M49" i="2"/>
  <c r="M4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2" i="3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" i="2"/>
  <c r="E9" i="11"/>
  <c r="B2005" i="2"/>
  <c r="E8" i="11" a="1"/>
  <c r="E7" i="11"/>
  <c r="B2004" i="2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K4" i="9"/>
  <c r="K5" i="9"/>
  <c r="K6" i="9"/>
  <c r="E9" i="10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" i="2"/>
  <c r="E8" i="10"/>
  <c r="E7" i="10"/>
  <c r="E6" i="10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" i="2"/>
  <c r="O3" i="9"/>
  <c r="N3" i="9"/>
  <c r="P3" i="9" s="1"/>
  <c r="E9" i="9" s="1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" i="9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3" i="2"/>
  <c r="M44" i="2"/>
  <c r="M45" i="2"/>
  <c r="M46" i="2"/>
  <c r="M47" i="2"/>
  <c r="M48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" i="2"/>
  <c r="E10" i="7"/>
  <c r="E6" i="9"/>
  <c r="E5" i="9"/>
  <c r="E10" i="8"/>
  <c r="E7" i="8" a="1"/>
  <c r="E6" i="8" a="1"/>
  <c r="E5" i="8" a="1"/>
  <c r="E12" i="7"/>
  <c r="E11" i="7"/>
  <c r="E9" i="7"/>
  <c r="E8" i="7"/>
  <c r="E7" i="7"/>
  <c r="E6" i="7"/>
  <c r="E5" i="7"/>
  <c r="E8" i="8" l="1"/>
  <c r="E10" i="9"/>
  <c r="E7" i="9"/>
  <c r="M5" i="9"/>
  <c r="M6" i="9"/>
  <c r="M12" i="9"/>
  <c r="M14" i="9"/>
  <c r="M16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11" i="9"/>
  <c r="M13" i="9"/>
  <c r="M15" i="9"/>
  <c r="M17" i="9"/>
  <c r="M4" i="9"/>
  <c r="M10" i="9"/>
  <c r="M9" i="9"/>
  <c r="M8" i="9"/>
  <c r="M7" i="9"/>
  <c r="M3" i="9"/>
  <c r="E8" i="9" a="1"/>
  <c r="E5" i="11" l="1"/>
  <c r="E6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<sst xmlns="http://schemas.openxmlformats.org/spreadsheetml/2006/main" count="14108" uniqueCount="3047">
  <si>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</si>
  <si>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</si>
  <si>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</si>
  <si>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</si>
  <si>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</si>
  <si>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</si>
  <si>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</si>
  <si>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</si>
  <si>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</si>
  <si>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</si>
  <si>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</si>
  <si>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</si>
  <si>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</si>
  <si>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</si>
  <si>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</si>
  <si>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</si>
  <si>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</si>
  <si>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</si>
  <si>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</si>
  <si>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</si>
  <si>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</si>
  <si>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</si>
  <si>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</si>
  <si>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</si>
  <si>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</si>
  <si>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</si>
  <si>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</si>
  <si>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</si>
  <si>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</si>
  <si>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</si>
  <si>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</si>
  <si>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</si>
  <si>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</si>
  <si>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</si>
  <si>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</si>
  <si>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</si>
  <si>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</si>
  <si>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</si>
  <si>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</si>
  <si>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</si>
  <si>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</si>
  <si>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</si>
  <si>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</si>
  <si>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</si>
  <si>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</si>
  <si>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</si>
  <si>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</si>
  <si>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</si>
  <si>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</si>
  <si>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</si>
  <si>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</si>
  <si>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</si>
  <si>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</si>
  <si>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</si>
  <si>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</si>
  <si>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</si>
  <si>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</si>
  <si>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</si>
  <si>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</si>
  <si>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</si>
  <si>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</si>
  <si>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</si>
  <si>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</si>
  <si>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</si>
  <si>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</si>
  <si>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</si>
  <si>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</si>
  <si>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</si>
  <si>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</si>
  <si>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</si>
  <si>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</si>
  <si>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</si>
  <si>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</si>
  <si>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</si>
  <si>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</si>
  <si>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</si>
  <si>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</si>
  <si>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</si>
  <si>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</si>
  <si>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</si>
  <si>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</si>
  <si>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</si>
  <si>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</si>
  <si>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</si>
  <si>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</si>
  <si>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</si>
  <si>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</si>
  <si>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</si>
  <si>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</si>
  <si>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</si>
  <si>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</si>
  <si>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</si>
  <si>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</si>
  <si>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</si>
  <si>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</si>
  <si>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</si>
  <si>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</si>
  <si>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</si>
  <si>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</si>
  <si>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</si>
  <si>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</si>
  <si>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</si>
  <si>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</si>
  <si>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</si>
  <si>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</si>
  <si>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</si>
  <si>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</si>
  <si>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</si>
  <si>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</si>
  <si>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</si>
  <si>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</si>
  <si>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</si>
  <si>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</si>
  <si>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</si>
  <si>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</si>
  <si>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</si>
  <si>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</si>
  <si>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</si>
  <si>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</si>
  <si>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</si>
  <si>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</si>
  <si>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</si>
  <si>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</si>
  <si>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</si>
  <si>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</si>
  <si>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</si>
  <si>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</si>
  <si>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</si>
  <si>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</si>
  <si>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</si>
  <si>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</si>
  <si>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</si>
  <si>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</si>
  <si>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</si>
  <si>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</si>
  <si>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</si>
  <si>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</si>
  <si>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</si>
  <si>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</si>
  <si>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</si>
  <si>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</si>
  <si>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</si>
  <si>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</si>
  <si>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</si>
  <si>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</si>
  <si>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</si>
  <si>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</si>
  <si>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</si>
  <si>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</si>
  <si>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</si>
  <si>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</si>
  <si>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</si>
  <si>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</si>
  <si>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</si>
  <si>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</si>
  <si>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</si>
  <si>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</si>
  <si>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</si>
  <si>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</si>
  <si>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</si>
  <si>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</si>
  <si>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</si>
  <si>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</si>
  <si>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</si>
  <si>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</si>
  <si>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</si>
  <si>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</si>
  <si>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</si>
  <si>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</si>
  <si>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</si>
  <si>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</si>
  <si>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</si>
  <si>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</si>
  <si>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</si>
  <si>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</si>
  <si>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</si>
  <si>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</si>
  <si>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</si>
  <si>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</si>
  <si>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</si>
  <si>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</si>
  <si>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</si>
  <si>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</si>
  <si>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</si>
  <si>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</si>
  <si>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</si>
  <si>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</si>
  <si>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</si>
  <si>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</si>
  <si>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</si>
  <si>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</si>
  <si>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</si>
  <si>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</si>
  <si>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</si>
  <si>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</si>
  <si>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</si>
  <si>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</si>
  <si>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</si>
  <si>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</si>
  <si>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</si>
  <si>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</si>
  <si>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</si>
  <si>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</si>
  <si>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</si>
  <si>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</si>
  <si>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</si>
  <si>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</si>
  <si>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</si>
  <si>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</si>
  <si>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</si>
  <si>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</si>
  <si>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</si>
  <si>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</si>
  <si>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</si>
  <si>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</si>
  <si>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</si>
  <si>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</si>
  <si>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</si>
  <si>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</si>
  <si>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</si>
  <si>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</si>
  <si>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</si>
  <si>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</si>
  <si>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</si>
  <si>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</si>
  <si>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</si>
  <si>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</si>
  <si>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</si>
  <si>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</si>
  <si>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</si>
  <si>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</si>
  <si>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</si>
  <si>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</si>
  <si>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</si>
  <si>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</si>
  <si>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</si>
  <si>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</si>
  <si>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</si>
  <si>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</si>
  <si>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</si>
  <si>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</si>
  <si>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</si>
  <si>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</si>
  <si>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</si>
  <si>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</si>
  <si>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</si>
  <si>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</si>
  <si>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</si>
  <si>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</si>
  <si>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</si>
  <si>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</si>
  <si>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</si>
  <si>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</si>
  <si>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</si>
  <si>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</si>
  <si>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</si>
  <si>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</si>
  <si>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</si>
  <si>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</si>
  <si>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</si>
  <si>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</si>
  <si>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</si>
  <si>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</si>
  <si>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</si>
  <si>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</si>
  <si>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</si>
  <si>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</si>
  <si>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</si>
  <si>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</si>
  <si>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</si>
  <si>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</si>
  <si>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</si>
  <si>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</si>
  <si>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</si>
  <si>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</si>
  <si>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</si>
  <si>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</si>
  <si>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</si>
  <si>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</si>
  <si>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</si>
  <si>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</si>
  <si>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</si>
  <si>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</si>
  <si>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</si>
  <si>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</si>
  <si>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</si>
  <si>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</si>
  <si>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</si>
  <si>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</si>
  <si>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</si>
  <si>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</si>
  <si>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</si>
  <si>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</si>
  <si>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</si>
  <si>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</si>
  <si>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</si>
  <si>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</si>
  <si>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</si>
  <si>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</si>
  <si>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</si>
  <si>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</si>
  <si>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</si>
  <si>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</si>
  <si>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</si>
  <si>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</si>
  <si>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</si>
  <si>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</si>
  <si>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</si>
  <si>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</si>
  <si>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</si>
  <si>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</si>
  <si>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</si>
  <si>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</si>
  <si>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</si>
  <si>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</si>
  <si>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</si>
  <si>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</si>
  <si>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</si>
  <si>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</si>
  <si>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</si>
  <si>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</si>
  <si>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</si>
  <si>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</si>
  <si>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</si>
  <si>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</si>
  <si>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</si>
  <si>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</si>
  <si>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</si>
  <si>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</si>
  <si>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</si>
  <si>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</si>
  <si>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</si>
  <si>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</si>
  <si>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</si>
  <si>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</si>
  <si>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</si>
  <si>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</si>
  <si>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</si>
  <si>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</si>
  <si>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</si>
  <si>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</si>
  <si>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</si>
  <si>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</si>
  <si>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</si>
  <si>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</si>
  <si>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</si>
  <si>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</si>
  <si>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</si>
  <si>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</si>
  <si>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</si>
  <si>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</si>
  <si>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</si>
  <si>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</si>
  <si>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</si>
  <si>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</si>
  <si>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</si>
  <si>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</si>
  <si>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</si>
  <si>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</si>
  <si>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</si>
  <si>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</si>
  <si>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</si>
  <si>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</si>
  <si>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</si>
  <si>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</si>
  <si>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</si>
  <si>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</si>
  <si>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</si>
  <si>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</si>
  <si>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</si>
  <si>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</si>
  <si>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</si>
  <si>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</si>
  <si>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</si>
  <si>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</si>
  <si>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</si>
  <si>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</si>
  <si>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</si>
  <si>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</si>
  <si>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</si>
  <si>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</si>
  <si>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</si>
  <si>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</si>
  <si>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</si>
  <si>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</si>
  <si>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</si>
  <si>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</si>
  <si>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</si>
  <si>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</si>
  <si>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</si>
  <si>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</si>
  <si>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</si>
  <si>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</si>
  <si>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</si>
  <si>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</si>
  <si>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</si>
  <si>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</si>
  <si>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</si>
  <si>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</si>
  <si>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</si>
  <si>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</si>
  <si>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</si>
  <si>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</si>
  <si>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</si>
  <si>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</si>
  <si>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</si>
  <si>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</si>
  <si>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</si>
  <si>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</si>
  <si>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</si>
  <si>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</si>
  <si>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</si>
  <si>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</si>
  <si>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</si>
  <si>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</si>
  <si>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</si>
  <si>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</si>
  <si>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</si>
  <si>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</si>
  <si>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</si>
  <si>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</si>
  <si>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</si>
  <si>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</si>
  <si>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</si>
  <si>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</si>
  <si>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</si>
  <si>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</si>
  <si>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</si>
  <si>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</si>
  <si>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</si>
  <si>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</si>
  <si>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</si>
  <si>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</si>
  <si>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</si>
  <si>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</si>
  <si>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</si>
  <si>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</si>
  <si>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</si>
  <si>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</si>
  <si>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</si>
  <si>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</si>
  <si>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</si>
  <si>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</si>
  <si>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</si>
  <si>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</si>
  <si>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</si>
  <si>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</si>
  <si>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</si>
  <si>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</si>
  <si>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</si>
  <si>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</si>
  <si>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</si>
  <si>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</si>
  <si>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</si>
  <si>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</si>
  <si>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</si>
  <si>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</si>
  <si>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</si>
  <si>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</si>
  <si>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</si>
  <si>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</si>
  <si>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</si>
  <si>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</si>
  <si>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</si>
  <si>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</si>
  <si>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</si>
  <si>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</si>
  <si>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</si>
  <si>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</si>
  <si>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</si>
  <si>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</si>
  <si>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</si>
  <si>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</si>
  <si>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</si>
  <si>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</si>
  <si>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</si>
  <si>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</si>
  <si>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</si>
  <si>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</si>
  <si>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</si>
  <si>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</si>
  <si>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</si>
  <si>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</si>
  <si>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</si>
  <si>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</si>
  <si>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</si>
  <si>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</si>
  <si>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</si>
  <si>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</si>
  <si>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</si>
  <si>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</si>
  <si>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</si>
  <si>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</si>
  <si>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</si>
  <si>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</si>
  <si>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</si>
  <si>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</si>
  <si>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</si>
  <si>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</si>
  <si>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</si>
  <si>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</si>
  <si>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</si>
  <si>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</si>
  <si>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</si>
  <si>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</si>
  <si>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</si>
  <si>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</si>
  <si>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</si>
  <si>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</si>
  <si>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</si>
  <si>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</si>
  <si>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</si>
  <si>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</si>
  <si>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</si>
  <si>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</si>
  <si>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</si>
  <si>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</si>
  <si>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</si>
  <si>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</si>
  <si>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</si>
  <si>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</si>
  <si>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</si>
  <si>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</si>
  <si>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</si>
  <si>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</si>
  <si>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</si>
  <si>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</si>
  <si>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</si>
  <si>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</si>
  <si>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</si>
  <si>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</si>
  <si>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</si>
  <si>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</si>
  <si>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</si>
  <si>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</si>
  <si>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</si>
  <si>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</si>
  <si>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</si>
  <si>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</si>
  <si>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</si>
  <si>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</si>
  <si>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</si>
  <si>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</si>
  <si>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</si>
  <si>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</si>
  <si>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</si>
  <si>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</si>
  <si>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</si>
  <si>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</si>
  <si>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</si>
  <si>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</si>
  <si>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</si>
  <si>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</si>
  <si>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</si>
  <si>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</si>
  <si>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</si>
  <si>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</si>
  <si>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</si>
  <si>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</si>
  <si>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</si>
  <si>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</si>
  <si>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</si>
  <si>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</si>
  <si>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</si>
  <si>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</si>
  <si>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</si>
  <si>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</si>
  <si>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</si>
  <si>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</si>
  <si>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</si>
  <si>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</si>
  <si>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</si>
  <si>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</si>
  <si>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</si>
  <si>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</si>
  <si>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</si>
  <si>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</si>
  <si>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</si>
  <si>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</si>
  <si>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</si>
  <si>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</si>
  <si>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</si>
  <si>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</si>
  <si>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</si>
  <si>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</si>
  <si>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</si>
  <si>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</si>
  <si>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</si>
  <si>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</si>
  <si>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</si>
  <si>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</si>
  <si>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</si>
  <si>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</si>
  <si>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</si>
  <si>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</si>
  <si>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</si>
  <si>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</si>
  <si>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</si>
  <si>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</si>
  <si>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</si>
  <si>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</si>
  <si>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</si>
  <si>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</si>
  <si>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</si>
  <si>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</si>
  <si>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</si>
  <si>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</si>
  <si>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</si>
  <si>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</si>
  <si>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</si>
  <si>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</si>
  <si>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</si>
  <si>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</si>
  <si>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</si>
  <si>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</si>
  <si>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</si>
  <si>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</si>
  <si>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</si>
  <si>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</si>
  <si>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</si>
  <si>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</si>
  <si>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</si>
  <si>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</si>
  <si>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</si>
  <si>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</si>
  <si>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</si>
  <si>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</si>
  <si>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</si>
  <si>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</si>
  <si>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</si>
  <si>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</si>
  <si>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</si>
  <si>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</si>
  <si>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</si>
  <si>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</si>
  <si>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</si>
  <si>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</si>
  <si>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</si>
  <si>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</si>
  <si>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</si>
  <si>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</si>
  <si>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</si>
  <si>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</si>
  <si>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</si>
  <si>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</si>
  <si>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</si>
  <si>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</si>
  <si>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</si>
  <si>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</si>
  <si>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</si>
  <si>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</si>
  <si>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</si>
  <si>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</si>
  <si>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</si>
  <si>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</si>
  <si>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</si>
  <si>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</si>
  <si>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</si>
  <si>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</si>
  <si>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</si>
  <si>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</si>
  <si>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</si>
  <si>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</si>
  <si>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</si>
  <si>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</si>
  <si>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</si>
  <si>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</si>
  <si>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</si>
  <si>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</si>
  <si>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</si>
  <si>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</si>
  <si>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</si>
  <si>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</si>
  <si>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</si>
  <si>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</si>
  <si>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</si>
  <si>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</si>
  <si>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</si>
  <si>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</si>
  <si>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</si>
  <si>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</si>
  <si>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</si>
  <si>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</si>
  <si>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</si>
  <si>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</si>
  <si>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</si>
  <si>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</si>
  <si>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</si>
  <si>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</si>
  <si>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</si>
  <si>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</si>
  <si>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</si>
  <si>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</si>
  <si>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</si>
  <si>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</si>
  <si>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</si>
  <si>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</si>
  <si>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</si>
  <si>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</si>
  <si>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</si>
  <si>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</si>
  <si>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</si>
  <si>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</si>
  <si>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</si>
  <si>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</si>
  <si>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</si>
  <si>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</si>
  <si>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</si>
  <si>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</si>
  <si>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</si>
  <si>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</si>
  <si>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</si>
  <si>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</si>
  <si>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</si>
  <si>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</si>
  <si>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</si>
  <si>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</si>
  <si>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</si>
  <si>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</si>
  <si>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</si>
  <si>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</si>
  <si>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</si>
  <si>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</si>
  <si>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</si>
  <si>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</si>
  <si>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</si>
  <si>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</si>
  <si>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</si>
  <si>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</si>
  <si>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</si>
  <si>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</si>
  <si>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</si>
  <si>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</si>
  <si>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</si>
  <si>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</si>
  <si>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</si>
  <si>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</si>
  <si>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</si>
  <si>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</si>
  <si>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</si>
  <si>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</si>
  <si>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</si>
  <si>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</si>
  <si>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</si>
  <si>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</si>
  <si>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</si>
  <si>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</si>
  <si>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</si>
  <si>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</si>
  <si>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</si>
  <si>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</si>
  <si>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</si>
  <si>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</si>
  <si>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</si>
  <si>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</si>
  <si>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</si>
  <si>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</si>
  <si>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</si>
  <si>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</si>
  <si>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</si>
  <si>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</si>
  <si>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</si>
  <si>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</si>
  <si>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</si>
  <si>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</si>
  <si>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</si>
  <si>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</si>
  <si>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</si>
  <si>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</si>
  <si>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</si>
  <si>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</si>
  <si>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</si>
  <si>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</si>
  <si>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</si>
  <si>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</si>
  <si>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</si>
  <si>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</si>
  <si>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</si>
  <si>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</si>
  <si>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</si>
  <si>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</si>
  <si>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</si>
  <si>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</si>
  <si>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</si>
  <si>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</si>
  <si>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</si>
  <si>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</si>
  <si>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</si>
  <si>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</si>
  <si>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</si>
  <si>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</si>
  <si>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</si>
  <si>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</si>
  <si>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</si>
  <si>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</si>
  <si>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</si>
  <si>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</si>
  <si>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</si>
  <si>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</si>
  <si>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</si>
  <si>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</si>
  <si>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</si>
  <si>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</si>
  <si>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</si>
  <si>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</si>
  <si>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</si>
  <si>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</si>
  <si>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</si>
  <si>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</si>
  <si>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</si>
  <si>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</si>
  <si>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</si>
  <si>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</si>
  <si>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</si>
  <si>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</si>
  <si>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</si>
  <si>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</si>
  <si>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</si>
  <si>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</si>
  <si>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</si>
  <si>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</si>
  <si>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</si>
  <si>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</si>
  <si>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</si>
  <si>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</si>
  <si>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</si>
  <si>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</si>
  <si>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</si>
  <si>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</si>
  <si>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</si>
  <si>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</si>
  <si>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</si>
  <si>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</si>
  <si>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</si>
  <si>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</si>
  <si>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</si>
  <si>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</si>
  <si>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</si>
  <si>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</si>
  <si>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</si>
  <si>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</si>
  <si>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</si>
  <si>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</si>
  <si>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</si>
  <si>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</si>
  <si>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</si>
  <si>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</si>
  <si>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</si>
  <si>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</si>
  <si>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</si>
  <si>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</si>
  <si>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</si>
  <si>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</si>
  <si>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</si>
  <si>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</si>
  <si>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</si>
  <si>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</si>
  <si>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</si>
  <si>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</si>
  <si>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</si>
  <si>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</si>
  <si>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</si>
  <si>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</si>
  <si>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</si>
  <si>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</si>
  <si>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</si>
  <si>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</si>
  <si>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</si>
  <si>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</si>
  <si>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</si>
  <si>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</si>
  <si>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</si>
  <si>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</si>
  <si>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</si>
  <si>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</si>
  <si>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</si>
  <si>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</si>
  <si>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</si>
  <si>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</si>
  <si>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</si>
  <si>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</si>
  <si>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</si>
  <si>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</si>
  <si>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</si>
  <si>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</si>
  <si>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</si>
  <si>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</si>
  <si>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</si>
  <si>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</si>
  <si>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</si>
  <si>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</si>
  <si>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</si>
  <si>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</si>
  <si>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</si>
  <si>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</si>
  <si>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</si>
  <si>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</si>
  <si>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</si>
  <si>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</si>
  <si>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</si>
  <si>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</si>
  <si>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</si>
  <si>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</si>
  <si>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</si>
  <si>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</si>
  <si>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</si>
  <si>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</si>
  <si>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</si>
  <si>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</si>
  <si>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</si>
  <si>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</si>
  <si>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</si>
  <si>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</si>
  <si>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</si>
  <si>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</si>
  <si>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</si>
  <si>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</si>
  <si>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</si>
  <si>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</si>
  <si>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</si>
  <si>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</si>
  <si>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</si>
  <si>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</si>
  <si>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</si>
  <si>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</si>
  <si>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</si>
  <si>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</si>
  <si>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</si>
  <si>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</si>
  <si>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</si>
  <si>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</si>
  <si>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</si>
  <si>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</si>
  <si>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</si>
  <si>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</si>
  <si>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</si>
  <si>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</si>
  <si>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</si>
  <si>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</si>
  <si>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</si>
  <si>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</si>
  <si>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</si>
  <si>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</si>
  <si>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</si>
  <si>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</si>
  <si>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</si>
  <si>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</si>
  <si>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</si>
  <si>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</si>
  <si>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</si>
  <si>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</si>
  <si>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</si>
  <si>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</si>
  <si>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</si>
  <si>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</si>
  <si>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</si>
  <si>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</si>
  <si>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</si>
  <si>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</si>
  <si>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</si>
  <si>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</si>
  <si>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</si>
  <si>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</si>
  <si>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</si>
  <si>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</si>
  <si>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</si>
  <si>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</si>
  <si>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</si>
  <si>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</si>
  <si>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</si>
  <si>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</si>
  <si>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</si>
  <si>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</si>
  <si>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</si>
  <si>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</si>
  <si>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</si>
  <si>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</si>
  <si>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</si>
  <si>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</si>
  <si>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</si>
  <si>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</si>
  <si>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</si>
  <si>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</si>
  <si>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</si>
  <si>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</si>
  <si>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</si>
  <si>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</si>
  <si>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</si>
  <si>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</si>
  <si>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</si>
  <si>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</si>
  <si>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</si>
  <si>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</si>
  <si>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</si>
  <si>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</si>
  <si>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</si>
  <si>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</si>
  <si>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</si>
  <si>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</si>
  <si>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</si>
  <si>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</si>
  <si>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</si>
  <si>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</si>
  <si>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</si>
  <si>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</si>
  <si>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</si>
  <si>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</si>
  <si>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</si>
  <si>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</si>
  <si>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</si>
  <si>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</si>
  <si>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</si>
  <si>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</si>
  <si>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</si>
  <si>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</si>
  <si>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</si>
  <si>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</si>
  <si>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</si>
  <si>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</si>
  <si>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</si>
  <si>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</si>
  <si>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</si>
  <si>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</si>
  <si>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</si>
  <si>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</si>
  <si>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</si>
  <si>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</si>
  <si>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</si>
  <si>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</si>
  <si>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</si>
  <si>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</si>
  <si>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</si>
  <si>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</si>
  <si>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</si>
  <si>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</si>
  <si>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</si>
  <si>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</si>
  <si>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</si>
  <si>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</si>
  <si>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</si>
  <si>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</si>
  <si>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</si>
  <si>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</si>
  <si>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</si>
  <si>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</si>
  <si>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</si>
  <si>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</si>
  <si>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</si>
  <si>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</si>
  <si>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</si>
  <si>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</si>
  <si>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</si>
  <si>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</si>
  <si>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</si>
  <si>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</si>
  <si>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</si>
  <si>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</si>
  <si>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</si>
  <si>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</si>
  <si>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</si>
  <si>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</si>
  <si>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</si>
  <si>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</si>
  <si>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</si>
  <si>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</si>
  <si>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</si>
  <si>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</si>
  <si>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</si>
  <si>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</si>
  <si>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</si>
  <si>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</si>
  <si>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</si>
  <si>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</si>
  <si>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</si>
  <si>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</si>
  <si>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</si>
  <si>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</si>
  <si>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</si>
  <si>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</si>
  <si>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</si>
  <si>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</si>
  <si>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</si>
  <si>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</si>
  <si>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</si>
  <si>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</si>
  <si>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</si>
  <si>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</si>
  <si>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</si>
  <si>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</si>
  <si>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</si>
  <si>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</si>
  <si>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</si>
  <si>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</si>
  <si>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</si>
  <si>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</si>
  <si>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</si>
  <si>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</si>
  <si>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</si>
  <si>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</si>
  <si>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</si>
  <si>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</si>
  <si>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</si>
  <si>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</si>
  <si>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</si>
  <si>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</si>
  <si>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</si>
  <si>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</si>
  <si>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</si>
  <si>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</si>
  <si>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</si>
  <si>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</si>
  <si>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</si>
  <si>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</si>
  <si>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</si>
  <si>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</si>
  <si>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</si>
  <si>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</si>
  <si>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</si>
  <si>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</si>
  <si>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</si>
  <si>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</si>
  <si>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</si>
  <si>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</si>
  <si>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</si>
  <si>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</si>
  <si>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</si>
  <si>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</si>
  <si>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</si>
  <si>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</si>
  <si>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</si>
  <si>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</si>
  <si>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</si>
  <si>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</si>
  <si>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</si>
  <si>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</si>
  <si>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</si>
  <si>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</si>
  <si>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</si>
  <si>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</si>
  <si>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</si>
  <si>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</si>
  <si>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</si>
  <si>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</si>
  <si>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</si>
  <si>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</si>
  <si>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</si>
  <si>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</si>
  <si>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</si>
  <si>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</si>
  <si>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</si>
  <si>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</si>
  <si>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</si>
  <si>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</si>
  <si>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</si>
  <si>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</si>
  <si>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</si>
  <si>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</si>
  <si>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</si>
  <si>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</si>
  <si>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</si>
  <si>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</si>
  <si>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</si>
  <si>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</si>
  <si>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</si>
  <si>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</si>
  <si>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</si>
  <si>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</si>
  <si>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</si>
  <si>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</si>
  <si>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</si>
  <si>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</si>
  <si>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</si>
  <si>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</si>
  <si>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</si>
  <si>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</si>
  <si>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</si>
  <si>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</si>
  <si>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</si>
  <si>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</si>
  <si>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</si>
  <si>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</si>
  <si>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</si>
  <si>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</si>
  <si>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</si>
  <si>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</si>
  <si>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</si>
  <si>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</si>
  <si>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</si>
  <si>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</si>
  <si>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</si>
  <si>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</si>
  <si>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</si>
  <si>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</si>
  <si>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</si>
  <si>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</si>
  <si>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</si>
  <si>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</si>
  <si>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</si>
  <si>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</si>
  <si>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</si>
  <si>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</si>
  <si>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</si>
  <si>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</si>
  <si>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</si>
  <si>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</si>
  <si>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</si>
  <si>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</si>
  <si>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</si>
  <si>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</si>
  <si>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</si>
  <si>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</si>
  <si>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</si>
  <si>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</si>
  <si>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</si>
  <si>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</si>
  <si>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</si>
  <si>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</si>
  <si>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</si>
  <si>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</si>
  <si>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</si>
  <si>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</si>
  <si>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</si>
  <si>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</si>
  <si>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</si>
  <si>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</si>
  <si>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</si>
  <si>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</si>
  <si>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</si>
  <si>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</si>
  <si>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</si>
  <si>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</si>
  <si>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</si>
  <si>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</si>
  <si>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</si>
  <si>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</si>
  <si>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</si>
  <si>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</si>
  <si>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</si>
  <si>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</si>
  <si>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</si>
  <si>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</si>
  <si>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</si>
  <si>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</si>
  <si>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</si>
  <si>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</si>
  <si>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</si>
  <si>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</si>
  <si>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</si>
  <si>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</si>
  <si>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</si>
  <si>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</si>
  <si>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</si>
  <si>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</si>
  <si>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</si>
  <si>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</si>
  <si>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</si>
  <si>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</si>
  <si>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</si>
  <si>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</si>
  <si>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</si>
  <si>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</si>
  <si>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</si>
  <si>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</si>
  <si>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</si>
  <si>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</si>
  <si>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</si>
  <si>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</si>
  <si>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</si>
  <si>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</si>
  <si>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</si>
  <si>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</si>
  <si>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</si>
  <si>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</si>
  <si>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</si>
  <si>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</si>
  <si>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</si>
  <si>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</si>
  <si>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</si>
  <si>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</si>
  <si>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</si>
  <si>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</si>
  <si>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</si>
  <si>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</si>
  <si>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</si>
  <si>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</si>
  <si>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</si>
  <si>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</si>
  <si>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</si>
  <si>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</si>
  <si>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</si>
  <si>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</si>
  <si>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</si>
  <si>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</si>
  <si>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</si>
  <si>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</si>
  <si>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</si>
  <si>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</si>
  <si>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</si>
  <si>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</si>
  <si>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</si>
  <si>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</si>
  <si>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</si>
  <si>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</si>
  <si>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</si>
  <si>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</si>
  <si>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</si>
  <si>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</si>
  <si>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</si>
  <si>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</si>
  <si>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</si>
  <si>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</si>
  <si>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</si>
  <si>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</si>
  <si>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</si>
  <si>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</si>
  <si>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</si>
  <si>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</si>
  <si>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</si>
  <si>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</si>
  <si>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</si>
  <si>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</si>
  <si>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</si>
  <si>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</si>
  <si>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</si>
  <si>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</si>
  <si>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</si>
  <si>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</si>
  <si>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</si>
  <si>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</si>
  <si>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</si>
  <si>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</si>
  <si>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</si>
  <si>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</si>
  <si>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</si>
  <si>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</si>
  <si>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</si>
  <si>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</si>
  <si>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</si>
  <si>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</si>
  <si>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</si>
  <si>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</si>
  <si>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</si>
  <si>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</si>
  <si>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</si>
  <si>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</si>
  <si>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</si>
  <si>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</si>
  <si>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</si>
  <si>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</si>
  <si>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</si>
  <si>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</si>
  <si>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</si>
  <si>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</si>
  <si>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</si>
  <si>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</si>
  <si>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</si>
  <si>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</si>
  <si>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</si>
  <si>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</si>
  <si>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</si>
  <si>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</si>
  <si>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</si>
  <si>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</si>
  <si>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</si>
  <si>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</si>
  <si>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</si>
  <si>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</si>
  <si>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</si>
  <si>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</si>
  <si>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</si>
  <si>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</si>
  <si>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</si>
  <si>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</si>
  <si>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</si>
  <si>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</si>
  <si>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</si>
  <si>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</si>
  <si>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</si>
  <si>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</si>
  <si>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</si>
  <si>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</si>
  <si>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</si>
  <si>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</si>
  <si>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</si>
  <si>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</si>
  <si>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</si>
  <si>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</si>
  <si>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</si>
  <si>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</si>
  <si>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</si>
  <si>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</si>
  <si>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</si>
  <si>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</si>
  <si>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</si>
  <si>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</si>
  <si>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</si>
  <si>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</si>
  <si>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</si>
  <si>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</si>
  <si>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</si>
  <si>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</si>
  <si>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</si>
  <si>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</si>
  <si>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</si>
  <si>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</si>
  <si>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</si>
  <si>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</si>
  <si>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</si>
  <si>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</si>
  <si>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</si>
  <si>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</si>
  <si>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</si>
  <si>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</si>
  <si>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</si>
  <si>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</si>
  <si>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</si>
  <si>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</si>
  <si>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</si>
  <si>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</si>
  <si>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</si>
  <si>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</si>
  <si>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</si>
  <si>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</si>
  <si>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</si>
  <si>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</si>
  <si>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</si>
  <si>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</si>
  <si>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</si>
  <si>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</si>
  <si>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</si>
  <si>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</si>
  <si>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</si>
  <si>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</si>
  <si>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</si>
  <si>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</si>
  <si>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</si>
  <si>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</si>
  <si>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</si>
  <si>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</si>
  <si>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</si>
  <si>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</si>
  <si>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</si>
  <si>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</si>
  <si>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</si>
  <si>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</si>
  <si>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</si>
  <si>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</si>
  <si>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</si>
  <si>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</si>
  <si>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</si>
  <si>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</si>
  <si>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</si>
  <si>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</si>
  <si>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</si>
  <si>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</si>
  <si>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</si>
  <si>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</si>
  <si>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</si>
  <si>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</si>
  <si>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</si>
  <si>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</si>
  <si>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</si>
  <si>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</si>
  <si>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</si>
  <si>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</si>
  <si>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</si>
  <si>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</si>
  <si>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</si>
  <si>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</si>
  <si>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</si>
  <si>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</si>
  <si>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</si>
  <si>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</si>
  <si>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</si>
  <si>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</si>
  <si>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</si>
  <si>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</si>
  <si>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</si>
  <si>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</si>
  <si>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</si>
  <si>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</si>
  <si>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</si>
  <si>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</si>
  <si>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</si>
  <si>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</si>
  <si>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</si>
  <si>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</si>
  <si>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</si>
  <si>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</si>
  <si>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</si>
  <si>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</si>
  <si>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</si>
  <si>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</si>
  <si>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</si>
  <si>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</si>
  <si>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</si>
  <si>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</si>
  <si>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</si>
  <si>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</si>
  <si>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</si>
  <si>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</si>
  <si>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</si>
  <si>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</si>
  <si>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</si>
  <si>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</si>
  <si>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</si>
  <si>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</si>
  <si>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</si>
  <si>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</si>
  <si>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</si>
  <si>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</si>
  <si>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</si>
  <si>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</si>
  <si>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</si>
  <si>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</si>
  <si>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</si>
  <si>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</si>
  <si>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</si>
  <si>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</si>
  <si>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</si>
  <si>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</si>
  <si>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</si>
  <si>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</si>
  <si>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</si>
  <si>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</si>
  <si>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</si>
  <si>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</si>
  <si>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</si>
  <si>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</si>
  <si>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</si>
  <si>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</si>
  <si>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</si>
  <si>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</si>
  <si>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</si>
  <si>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</si>
  <si>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</si>
  <si>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</si>
  <si>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</si>
  <si>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</si>
  <si>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</si>
  <si>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</si>
  <si>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</si>
  <si>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</si>
  <si>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</si>
  <si>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</si>
  <si>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</si>
  <si>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</si>
  <si>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</si>
  <si>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</si>
  <si>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</si>
  <si>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</si>
  <si>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</si>
  <si>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</si>
  <si>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</si>
  <si>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</si>
  <si>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</si>
  <si>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</si>
  <si>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</si>
  <si>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</si>
  <si>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</si>
  <si>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</si>
  <si>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</si>
  <si>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</si>
  <si>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</si>
  <si>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</si>
  <si>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</si>
  <si>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</si>
  <si>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</si>
  <si>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</si>
  <si>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</si>
  <si>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</si>
  <si>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</si>
  <si>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</si>
  <si>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</si>
  <si>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</si>
  <si>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</si>
  <si>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</si>
  <si>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</si>
  <si>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</si>
  <si>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</si>
  <si>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</si>
  <si>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</si>
  <si>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</si>
  <si>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</si>
  <si>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</si>
  <si>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</si>
  <si>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</si>
  <si>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</si>
  <si>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</si>
  <si>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</si>
  <si>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</si>
  <si>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</si>
  <si>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</si>
  <si>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</si>
  <si>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</si>
  <si>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</si>
  <si>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</si>
  <si>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</si>
  <si>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</si>
  <si>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</si>
  <si>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</si>
  <si>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</si>
  <si>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</si>
  <si>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</si>
  <si>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</si>
  <si>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</si>
  <si>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</si>
  <si>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</si>
  <si>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</si>
  <si>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</si>
  <si>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</si>
  <si>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</si>
  <si>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</si>
  <si>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</si>
  <si>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</si>
  <si>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</si>
  <si>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</si>
  <si>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</si>
  <si>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</si>
  <si>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</si>
  <si>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</si>
  <si>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</si>
  <si>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</si>
  <si>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</si>
  <si>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</si>
  <si>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</si>
  <si>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</si>
  <si>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</si>
  <si>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</si>
  <si>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</si>
  <si>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</si>
  <si>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</si>
  <si>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</si>
  <si>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</si>
  <si>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</si>
  <si>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</si>
  <si>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</si>
  <si>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</si>
  <si>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</si>
  <si>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</si>
  <si>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</si>
  <si>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</si>
  <si>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</si>
  <si>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</si>
  <si>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</si>
  <si>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</si>
  <si>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</si>
  <si>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</si>
  <si>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</si>
  <si>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</si>
  <si>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</si>
  <si>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</si>
  <si>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</si>
  <si>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</si>
  <si>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</si>
  <si>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</si>
  <si>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</si>
  <si>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</si>
  <si>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</si>
  <si>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</si>
  <si>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</si>
  <si>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</si>
  <si>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</si>
  <si>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</si>
  <si>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</si>
  <si>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</si>
  <si>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</si>
  <si>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</si>
  <si>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</si>
  <si>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</si>
  <si>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</si>
  <si>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</si>
  <si>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</si>
  <si>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</si>
  <si>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</si>
  <si>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</si>
  <si>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</si>
  <si>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</si>
  <si>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</si>
  <si>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</si>
  <si>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</si>
  <si>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</si>
  <si>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</si>
  <si>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</si>
  <si>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</si>
  <si>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</si>
  <si>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</si>
  <si>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</si>
  <si>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</si>
  <si>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</si>
  <si>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</si>
  <si>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</si>
  <si>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</si>
  <si>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</si>
  <si>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</si>
  <si>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</si>
  <si>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</si>
  <si>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</si>
  <si>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</si>
  <si>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</si>
  <si>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</si>
  <si>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</si>
  <si>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</si>
  <si>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</si>
  <si>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</si>
  <si>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</si>
  <si>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</si>
  <si>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</si>
  <si>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</si>
  <si>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</si>
  <si>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</si>
  <si>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</si>
  <si>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</si>
  <si>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</si>
  <si>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</si>
  <si>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</si>
  <si>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</si>
  <si>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</si>
  <si>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</si>
  <si>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</si>
  <si>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</si>
  <si>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</si>
  <si>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</si>
  <si>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</si>
  <si>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</si>
  <si>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</si>
  <si>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</si>
  <si>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</si>
  <si>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</si>
  <si>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</si>
  <si>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</si>
  <si>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</si>
  <si>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</si>
  <si>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</si>
  <si>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</si>
  <si>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</si>
  <si>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</si>
  <si>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</si>
  <si>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</si>
  <si>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</si>
  <si>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</si>
  <si>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</si>
  <si>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</si>
  <si>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</si>
  <si>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</si>
  <si>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</si>
  <si>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</si>
  <si>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</si>
  <si>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</si>
  <si>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</si>
  <si>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</si>
  <si>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</si>
  <si>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</si>
  <si>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</si>
  <si>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</si>
  <si>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</si>
  <si>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</si>
  <si>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</si>
  <si>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</si>
  <si>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</si>
  <si>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</si>
  <si>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</si>
  <si>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</si>
  <si>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</si>
  <si>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</si>
  <si>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</si>
  <si>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</si>
  <si>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</si>
  <si>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</si>
  <si>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</si>
  <si>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</si>
  <si>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</si>
  <si>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</si>
  <si>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</si>
  <si>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</si>
  <si>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</si>
  <si>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</si>
  <si>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</si>
  <si>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</si>
  <si>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</si>
  <si>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</si>
  <si>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</si>
  <si>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</si>
  <si>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</si>
  <si>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</si>
  <si>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</si>
  <si>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</si>
  <si>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</si>
  <si>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</si>
  <si>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</si>
  <si>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</si>
  <si>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</si>
  <si>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</si>
  <si>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</si>
  <si>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</si>
  <si>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</si>
  <si>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</si>
  <si>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</si>
  <si>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</si>
  <si>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</si>
  <si>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</si>
  <si>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</si>
  <si>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</si>
  <si>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</si>
  <si>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</si>
  <si>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</si>
  <si>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</si>
  <si>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</si>
  <si>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</si>
  <si>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</si>
  <si>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</si>
  <si>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</si>
  <si>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</si>
  <si>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</si>
  <si>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</si>
  <si>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</si>
  <si>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</si>
  <si>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</si>
  <si>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</si>
  <si>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</si>
  <si>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</si>
  <si>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</si>
  <si>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</si>
  <si>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</si>
  <si>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</si>
  <si>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</si>
  <si>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</si>
  <si>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</si>
  <si>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</si>
  <si>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</si>
  <si>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</si>
  <si>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</si>
  <si>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</si>
  <si>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</si>
  <si>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</si>
  <si>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</si>
  <si>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</si>
  <si>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</si>
  <si>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</si>
  <si>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</si>
  <si>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</si>
  <si>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</si>
  <si>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</si>
  <si>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</si>
  <si>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</si>
  <si>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</si>
  <si>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</si>
  <si>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</si>
  <si>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</si>
  <si>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</si>
  <si>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</si>
  <si>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</si>
  <si>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</si>
  <si>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</si>
  <si>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</si>
  <si>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</si>
  <si>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</si>
  <si>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</si>
  <si>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</si>
  <si>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</si>
  <si>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</si>
  <si>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</si>
  <si>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</si>
  <si>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</si>
  <si>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</si>
  <si>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</si>
  <si>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</si>
  <si>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</si>
  <si>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</si>
  <si>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</si>
  <si>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</si>
  <si>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</si>
  <si>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</si>
  <si>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</si>
  <si>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</si>
  <si>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</si>
  <si>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</si>
  <si>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</si>
  <si>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</si>
  <si>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</si>
  <si>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</si>
  <si>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</si>
  <si>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</si>
  <si>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</si>
  <si>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</si>
  <si>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</si>
  <si>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</si>
  <si>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</si>
  <si>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</si>
  <si>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</si>
  <si>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</si>
  <si>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</si>
  <si>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</si>
  <si>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</si>
  <si>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</si>
  <si>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</si>
  <si>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</si>
  <si>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</si>
  <si>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</si>
  <si>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</si>
  <si>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</si>
  <si>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</si>
  <si>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</si>
  <si>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</si>
  <si>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</si>
  <si>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</si>
  <si>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</si>
  <si>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</si>
  <si>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</si>
  <si>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</si>
  <si>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</si>
  <si>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</si>
  <si>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</si>
  <si>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</si>
  <si>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</si>
  <si>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</si>
  <si>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</si>
  <si>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</si>
  <si>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</si>
  <si>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</si>
  <si>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</si>
  <si>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</si>
  <si>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</si>
  <si>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</si>
  <si>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</si>
  <si>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</si>
  <si>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</si>
  <si>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</si>
  <si>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</si>
  <si>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</si>
  <si>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</si>
  <si>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</si>
  <si>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</si>
  <si>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</si>
  <si>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</si>
  <si>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</si>
  <si>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</si>
  <si>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</si>
  <si>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</si>
  <si>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</si>
  <si>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</si>
  <si>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</si>
  <si>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</si>
  <si>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</si>
  <si>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</si>
  <si>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</si>
  <si>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</si>
  <si>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</si>
  <si>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</si>
  <si>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</si>
  <si>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</si>
  <si>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</si>
  <si>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</si>
  <si>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</si>
  <si>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</si>
  <si>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</si>
  <si>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</si>
  <si>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</si>
  <si>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</si>
  <si>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</si>
  <si>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</si>
  <si>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</si>
  <si>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</si>
  <si>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</si>
  <si>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</si>
  <si>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</si>
  <si>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</si>
  <si>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</si>
  <si>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</si>
  <si>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</si>
  <si>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</si>
  <si>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</si>
  <si>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</si>
  <si>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</si>
  <si>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</si>
  <si>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</si>
  <si>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</si>
  <si>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</si>
  <si>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</si>
  <si>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</si>
  <si>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</si>
  <si>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</si>
  <si>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</si>
  <si>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</si>
  <si>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</si>
  <si>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</si>
  <si>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</si>
  <si>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</si>
  <si>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</si>
  <si>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</si>
  <si>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</si>
  <si>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</si>
  <si>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</si>
  <si>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</si>
  <si>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</si>
  <si>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</si>
  <si>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</si>
  <si>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</si>
  <si>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</si>
  <si>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</si>
  <si>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</si>
  <si>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</si>
  <si>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</si>
  <si>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</si>
  <si>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</si>
  <si>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</si>
  <si>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</si>
  <si>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</si>
  <si>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</si>
  <si>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</si>
  <si>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</si>
  <si>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</si>
  <si>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</si>
  <si>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</si>
  <si>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</si>
  <si>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</si>
  <si>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</si>
  <si>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</si>
  <si>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</si>
  <si>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</si>
  <si>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</si>
  <si>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</si>
  <si>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</si>
  <si>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</si>
  <si>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</si>
  <si>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</si>
  <si>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</si>
  <si>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</si>
  <si>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</si>
  <si>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</si>
  <si>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</si>
  <si>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</si>
  <si>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</si>
  <si>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</si>
  <si>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</si>
  <si>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</si>
  <si>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</si>
  <si>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</si>
  <si>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</si>
  <si>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</si>
  <si>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</si>
  <si>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</si>
  <si>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</si>
  <si>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</si>
  <si>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</si>
  <si>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</si>
  <si>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</si>
  <si>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</si>
  <si>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</si>
  <si>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</si>
  <si>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</si>
  <si>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</si>
  <si>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</si>
  <si>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</si>
  <si>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</si>
  <si>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</si>
  <si>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</si>
  <si>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</si>
  <si>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</si>
  <si>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</si>
  <si>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</si>
  <si>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</si>
  <si>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</si>
  <si>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</si>
  <si>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</si>
  <si>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</si>
  <si>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</si>
  <si>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</si>
  <si>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</si>
  <si>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</si>
  <si>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</si>
  <si>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</si>
  <si>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</si>
  <si>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</si>
  <si>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</si>
  <si>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</si>
  <si>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</si>
  <si>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</si>
  <si>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</si>
  <si>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</si>
  <si>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</si>
  <si>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</si>
  <si>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</si>
  <si>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</si>
  <si>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</si>
  <si>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</si>
  <si>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</si>
  <si>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</si>
  <si>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</si>
  <si>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</si>
  <si>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</si>
  <si>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</si>
  <si>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</si>
  <si>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</si>
  <si>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</si>
  <si>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</si>
  <si>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</si>
  <si>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</si>
  <si>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</si>
  <si>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</si>
  <si>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</si>
  <si>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</si>
  <si>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</si>
  <si>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</si>
  <si>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</si>
  <si>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</si>
  <si>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</si>
  <si>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</si>
  <si>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</si>
  <si>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</si>
  <si>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</si>
  <si>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</si>
  <si>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</si>
  <si>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</si>
  <si>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</si>
  <si>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</si>
  <si>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</si>
  <si>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</si>
  <si>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</si>
  <si>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</si>
  <si>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</si>
  <si>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</si>
  <si>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</si>
  <si>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</si>
  <si>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</si>
  <si>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</si>
  <si>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</si>
  <si>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</si>
  <si>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</si>
  <si>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</si>
  <si>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</si>
  <si>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</si>
  <si>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</si>
  <si>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</si>
  <si>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</si>
  <si>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</si>
  <si>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</si>
  <si>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</si>
  <si>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</si>
  <si>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</si>
  <si>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</si>
  <si>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</si>
  <si>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</si>
  <si>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</si>
  <si>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</si>
  <si>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</si>
  <si>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</si>
  <si>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</si>
  <si>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</si>
  <si>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</si>
  <si>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</si>
  <si>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</si>
  <si>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</si>
  <si>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</si>
  <si>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</si>
  <si>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</si>
  <si>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</si>
  <si>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</si>
  <si>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</si>
  <si>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</si>
  <si>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</si>
  <si>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</si>
  <si>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</si>
  <si>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</si>
  <si>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</si>
  <si>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</si>
  <si>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</si>
  <si>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</si>
  <si>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</si>
  <si>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</si>
  <si>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</si>
  <si>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</si>
  <si>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</si>
  <si>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</si>
  <si>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</si>
  <si>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</si>
  <si>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</si>
  <si>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</si>
  <si>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</si>
  <si>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</si>
  <si>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</si>
  <si>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</si>
  <si>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</si>
  <si>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</si>
  <si>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</si>
  <si>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</si>
  <si>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</si>
  <si>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</si>
  <si>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</si>
  <si>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</si>
  <si>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</si>
  <si>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</si>
  <si>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</si>
  <si>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</si>
  <si>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</si>
  <si>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</si>
  <si>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</si>
  <si>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</si>
  <si>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</si>
  <si>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</si>
  <si>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</si>
  <si>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</si>
  <si>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</si>
  <si>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</si>
  <si>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</si>
  <si>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</si>
  <si>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</si>
  <si>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</si>
  <si>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</si>
  <si>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</si>
  <si>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</si>
  <si>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</si>
  <si>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</si>
  <si>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</si>
  <si>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</si>
  <si>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</si>
  <si>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</si>
  <si>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</si>
  <si>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</si>
  <si>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</si>
  <si>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</si>
  <si>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</si>
  <si>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</si>
  <si>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</si>
  <si>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</si>
  <si>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</si>
  <si>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</si>
  <si>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</si>
  <si>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</si>
  <si>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</si>
  <si>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</si>
  <si>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</si>
  <si>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</si>
  <si>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</si>
  <si>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</si>
  <si>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</si>
  <si>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</si>
  <si>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</si>
  <si>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</si>
  <si>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</si>
  <si>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</si>
  <si>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</si>
  <si>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</si>
  <si>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</si>
  <si>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</si>
  <si>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</si>
  <si>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</si>
  <si>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</si>
  <si>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</si>
  <si>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</si>
  <si>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</si>
  <si>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</si>
  <si>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</si>
  <si>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</si>
  <si>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</si>
  <si>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</si>
  <si>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</si>
  <si>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</si>
  <si>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</si>
  <si>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</si>
  <si>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</si>
  <si>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</si>
  <si>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</si>
  <si>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</si>
  <si>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</si>
  <si>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</si>
  <si>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</si>
  <si>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</si>
  <si>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</si>
  <si>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</si>
  <si>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</si>
  <si>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</si>
  <si>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</si>
  <si>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</si>
  <si>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</si>
  <si>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</si>
  <si>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</si>
  <si>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</si>
  <si>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</si>
  <si>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</si>
  <si>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</si>
  <si>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</si>
  <si>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</si>
  <si>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</si>
  <si>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</si>
  <si>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</si>
  <si>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</si>
  <si>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</si>
  <si>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</si>
  <si>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</si>
  <si>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</si>
  <si>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</si>
  <si>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</si>
  <si>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</si>
  <si>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</si>
  <si>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</si>
  <si>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</si>
  <si>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</si>
  <si>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</si>
  <si>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</si>
  <si>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</si>
  <si>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</si>
  <si>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</si>
  <si>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</si>
  <si>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</si>
  <si>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</si>
  <si>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</si>
  <si>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</si>
  <si>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</si>
  <si>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</si>
  <si>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</si>
  <si>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</si>
  <si>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</si>
  <si>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</si>
  <si>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</si>
  <si>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</si>
  <si>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</si>
  <si>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</si>
  <si>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</si>
  <si>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</si>
  <si>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</si>
  <si>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</si>
  <si>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</si>
  <si>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</si>
  <si>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</si>
  <si>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</si>
  <si>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</si>
  <si>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</si>
  <si>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</si>
  <si>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</si>
  <si>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</si>
  <si>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</si>
  <si>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</si>
  <si>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</si>
  <si>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</si>
  <si>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</si>
  <si>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</si>
  <si>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</si>
  <si>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</si>
  <si>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</si>
  <si>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</si>
  <si>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</si>
  <si>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</si>
  <si>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</si>
  <si>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</si>
  <si>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</si>
  <si>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</si>
  <si>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</si>
  <si>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</si>
  <si>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</si>
  <si>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</si>
  <si>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</si>
  <si>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</si>
  <si>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</si>
  <si>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</si>
  <si>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</si>
  <si>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</si>
  <si>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</si>
  <si>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</si>
  <si>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</si>
  <si>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</si>
  <si>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</si>
  <si>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</si>
  <si>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</si>
  <si>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</si>
  <si>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</si>
  <si>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</si>
  <si>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</si>
  <si>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</si>
  <si>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</si>
  <si>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</si>
  <si>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</si>
  <si>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</si>
  <si>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</si>
  <si>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</si>
  <si>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</si>
  <si>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</si>
  <si>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</si>
  <si>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</si>
  <si>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</si>
  <si>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</si>
  <si>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</si>
  <si>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</si>
  <si>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</si>
  <si>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</si>
  <si>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</si>
  <si>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</si>
  <si>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</si>
  <si>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</si>
  <si>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</si>
  <si>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</si>
  <si>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</si>
  <si>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</si>
  <si>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</si>
  <si>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</si>
  <si>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</si>
  <si>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</si>
  <si>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</si>
  <si>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</si>
  <si>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</si>
  <si>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</si>
  <si>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</si>
  <si>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</si>
  <si>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</si>
  <si>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</si>
  <si>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</si>
  <si>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</si>
  <si>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</si>
  <si>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</si>
  <si>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</si>
  <si>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</si>
  <si>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</si>
  <si>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</si>
  <si>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</si>
  <si>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</si>
  <si>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</si>
  <si>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</si>
  <si>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</si>
  <si>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</si>
  <si>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</si>
  <si>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</si>
  <si>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</si>
  <si>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</si>
  <si>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</si>
  <si>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</si>
  <si>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</si>
  <si>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</si>
  <si>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</si>
  <si>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</si>
  <si>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</si>
  <si>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</si>
  <si>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</si>
  <si>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</si>
  <si>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</si>
  <si>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</si>
  <si>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</si>
  <si>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</si>
  <si>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</si>
  <si>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</si>
  <si>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</si>
  <si>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</si>
  <si>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</si>
  <si>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</si>
  <si>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</si>
  <si>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</si>
  <si>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</si>
  <si>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</si>
  <si>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</si>
  <si>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</si>
  <si>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</si>
  <si>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</si>
  <si>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</si>
  <si>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</si>
  <si>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</si>
  <si>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</si>
  <si>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</si>
  <si>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</si>
  <si>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</si>
  <si>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</si>
  <si>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</si>
  <si>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</si>
  <si>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</si>
  <si>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</si>
  <si>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</si>
  <si>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</si>
  <si>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</si>
  <si>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</si>
  <si>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</si>
  <si>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</si>
  <si>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</si>
  <si>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</si>
  <si>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</si>
  <si>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</si>
  <si>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</si>
  <si>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</si>
  <si>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</si>
  <si>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</si>
  <si>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</si>
  <si>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</si>
  <si>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</si>
  <si>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</si>
  <si>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</si>
  <si>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</si>
  <si>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</si>
  <si>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</si>
  <si>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</si>
  <si>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</si>
  <si>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</si>
  <si>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</si>
  <si>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</si>
  <si>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</si>
  <si>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</si>
  <si>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</si>
  <si>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</si>
  <si>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</si>
  <si>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</si>
  <si>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</si>
  <si>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</si>
  <si>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</si>
  <si>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</si>
  <si>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</si>
  <si>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</si>
  <si>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</si>
  <si>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</si>
  <si>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</si>
  <si>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</si>
  <si>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</si>
  <si>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</si>
  <si>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</si>
  <si>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</si>
  <si>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</si>
  <si>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</si>
  <si>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</si>
  <si>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</si>
  <si>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</si>
  <si>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</si>
  <si>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</si>
  <si>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</si>
  <si>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</si>
  <si>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</si>
  <si>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</si>
  <si>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</si>
  <si>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</si>
  <si>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</si>
  <si>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</si>
  <si>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</si>
  <si>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</si>
  <si>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</si>
  <si>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</si>
  <si>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</si>
  <si>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</si>
  <si>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</si>
  <si>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</si>
  <si>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</si>
  <si>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</si>
  <si>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</si>
  <si>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</si>
  <si>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</si>
  <si>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</si>
  <si>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</si>
  <si>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</si>
  <si>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</si>
  <si>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</si>
  <si>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</si>
  <si>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</si>
  <si>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</si>
  <si>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</si>
  <si>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</si>
  <si>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</si>
  <si>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</si>
  <si>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</si>
  <si>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</si>
  <si>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</si>
  <si>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</si>
  <si>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</si>
  <si>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</si>
  <si>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</si>
  <si>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</si>
  <si>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</si>
  <si>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</si>
  <si>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</si>
  <si>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</si>
  <si>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</si>
  <si>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</si>
  <si>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</si>
  <si>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</si>
  <si>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</si>
  <si>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</si>
  <si>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</si>
  <si>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</si>
  <si>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</si>
  <si>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</si>
  <si>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</si>
  <si>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</si>
  <si>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</si>
  <si>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</si>
  <si>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</si>
  <si>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</si>
  <si>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</si>
  <si>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</si>
  <si>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</si>
  <si>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</si>
  <si>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</si>
  <si>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</si>
  <si>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</si>
  <si>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</si>
  <si>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</si>
  <si>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</si>
  <si>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</si>
  <si>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</si>
  <si>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</si>
  <si>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</si>
  <si>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</si>
  <si>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</si>
  <si>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</si>
  <si>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</si>
  <si>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</si>
  <si>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</si>
  <si>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</si>
  <si>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</si>
  <si>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</si>
  <si>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</si>
  <si>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</si>
  <si>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</si>
  <si>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</si>
  <si>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</si>
  <si>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</si>
  <si>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</si>
  <si>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</si>
  <si>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</si>
  <si>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</si>
  <si>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</si>
  <si>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</si>
  <si>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</si>
  <si>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</si>
  <si>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</si>
  <si>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</si>
  <si>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</si>
  <si>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</si>
  <si>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</si>
  <si>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</si>
  <si>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</si>
  <si>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</si>
  <si>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</si>
  <si>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</si>
  <si>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</si>
  <si>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</si>
  <si>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</si>
  <si>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</si>
  <si>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</si>
  <si>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</si>
  <si>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</si>
  <si>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</si>
  <si>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</si>
  <si>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</si>
  <si>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</si>
  <si>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</si>
  <si>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</si>
  <si>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</si>
  <si>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</si>
  <si>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</si>
  <si>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</si>
  <si>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</si>
  <si>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</si>
  <si>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</si>
  <si>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</si>
  <si>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</si>
  <si>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</si>
  <si>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</si>
  <si>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</si>
  <si>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</si>
  <si>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</si>
  <si>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</si>
  <si>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</si>
  <si>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</si>
  <si>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</si>
  <si>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</si>
  <si>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</si>
  <si>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</si>
  <si>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</si>
  <si>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</si>
  <si>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</si>
  <si>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</si>
  <si>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</si>
  <si>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</si>
  <si>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</si>
  <si>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</si>
  <si>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</si>
  <si>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</si>
  <si>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</si>
  <si>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</si>
  <si>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</si>
  <si>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</si>
  <si>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</si>
  <si>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</si>
  <si>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</si>
  <si>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</si>
  <si>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</si>
  <si>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</si>
  <si>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</si>
  <si>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</si>
  <si>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</si>
  <si>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</si>
  <si>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</si>
  <si>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</si>
  <si>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</si>
  <si>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</si>
  <si>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</si>
  <si>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</si>
  <si>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</si>
  <si>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</si>
  <si>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</si>
  <si>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</si>
  <si>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</si>
  <si>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</si>
  <si>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</si>
  <si>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</si>
  <si>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</si>
  <si>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</si>
  <si>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</si>
  <si>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</si>
  <si>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</si>
  <si>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</si>
  <si>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</si>
  <si>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</si>
  <si>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</si>
  <si>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</si>
  <si>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</si>
  <si>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</si>
  <si>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</si>
  <si>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</si>
  <si>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</si>
  <si>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</si>
  <si>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</si>
  <si>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</si>
  <si>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</si>
  <si>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</si>
  <si>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</si>
  <si>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</si>
  <si>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</si>
  <si>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</si>
  <si>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</si>
  <si>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</si>
  <si>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</si>
  <si>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</si>
  <si>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</si>
  <si>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</si>
  <si>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</si>
  <si>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</si>
  <si>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</si>
  <si>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</si>
  <si>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</si>
  <si>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</si>
  <si>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</si>
  <si>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</si>
  <si>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</si>
  <si>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</si>
  <si>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</si>
  <si>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</si>
  <si>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</si>
  <si>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</si>
  <si>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</si>
  <si>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</si>
  <si>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</si>
  <si>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</si>
  <si>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</si>
  <si>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</si>
  <si>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</si>
  <si>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</si>
  <si>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</si>
  <si>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</si>
  <si>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</si>
  <si>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</si>
  <si>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</si>
  <si>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</si>
  <si>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</si>
  <si>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</si>
  <si>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</si>
  <si>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</si>
  <si>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</si>
  <si>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</si>
  <si>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</si>
  <si>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</si>
  <si>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</si>
  <si>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</si>
  <si>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</si>
  <si>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</si>
  <si>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</si>
  <si>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</si>
  <si>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</si>
  <si>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</si>
  <si>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</si>
  <si>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</si>
  <si>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</si>
  <si>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</si>
  <si>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</si>
  <si>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</si>
  <si>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</si>
  <si>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</si>
  <si>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</si>
  <si>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</si>
  <si>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</si>
  <si>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</si>
  <si>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</si>
  <si>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</si>
  <si>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</si>
  <si>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</si>
  <si>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</si>
  <si>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</si>
  <si>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</si>
  <si>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</si>
  <si>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</si>
  <si>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</si>
  <si>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</si>
  <si>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</si>
  <si>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</si>
  <si>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</si>
  <si>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</si>
  <si>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</si>
  <si>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</si>
  <si>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</si>
  <si>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</si>
  <si>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</si>
  <si>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</si>
  <si>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</si>
  <si>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</si>
  <si>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</si>
  <si>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</si>
  <si>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</si>
  <si>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</si>
  <si>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</si>
  <si>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</si>
  <si>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</si>
  <si>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</si>
  <si>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</si>
  <si>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</si>
  <si>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</si>
  <si>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</si>
  <si>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</si>
  <si>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</si>
  <si>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</si>
  <si>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</si>
  <si>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</si>
  <si>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</si>
  <si>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</si>
  <si>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</si>
  <si>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</si>
  <si>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</si>
  <si>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</si>
  <si>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</si>
  <si>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</si>
  <si>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</si>
  <si>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</si>
  <si>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</si>
  <si>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</si>
  <si>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</si>
  <si>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</si>
  <si>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</si>
  <si>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</si>
  <si>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</si>
  <si>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</si>
  <si>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</si>
  <si>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</si>
  <si>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</si>
  <si>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</si>
  <si>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</si>
  <si>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</si>
  <si>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</si>
  <si>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</si>
  <si>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</si>
  <si>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</si>
  <si>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</si>
  <si>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</si>
  <si>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</si>
  <si>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</si>
  <si>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</si>
  <si>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</si>
  <si>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</si>
  <si>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</si>
  <si>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</si>
  <si>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</si>
  <si>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</si>
  <si>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</si>
  <si>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</si>
  <si>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</si>
  <si>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</si>
  <si>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</si>
  <si>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</si>
  <si>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</si>
  <si>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</si>
  <si>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</si>
  <si>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</si>
  <si>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</si>
  <si>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</si>
  <si>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</si>
  <si>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</si>
  <si>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</si>
  <si>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</si>
  <si>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</si>
  <si>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</si>
  <si>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</si>
  <si>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</si>
  <si>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</si>
  <si>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</si>
  <si>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</si>
  <si>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</si>
  <si>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</si>
  <si>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</si>
  <si>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</si>
  <si>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</si>
  <si>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</si>
  <si>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</si>
  <si>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</si>
  <si>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</si>
  <si>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</si>
  <si>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</si>
  <si>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</si>
  <si>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</si>
  <si>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</si>
  <si>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</si>
  <si>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</si>
  <si>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</si>
  <si>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</si>
  <si>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</si>
  <si>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</si>
  <si>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</si>
  <si>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</si>
  <si>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</si>
  <si>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</si>
  <si>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</si>
  <si>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</si>
  <si>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</si>
  <si>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</si>
  <si>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</si>
  <si>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</si>
  <si>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</si>
  <si>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</si>
  <si>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</si>
  <si>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</si>
  <si>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</si>
  <si>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</si>
  <si>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</si>
  <si>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</si>
  <si>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</si>
  <si>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</si>
  <si>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</si>
  <si>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</si>
  <si>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</si>
  <si>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</si>
  <si>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</si>
  <si>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</si>
  <si>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</si>
  <si>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</si>
  <si>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</si>
  <si>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</si>
  <si>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</si>
  <si>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</si>
  <si>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</si>
  <si>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</si>
  <si>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</si>
  <si>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</si>
  <si>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</si>
  <si>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</si>
  <si>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</si>
  <si>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</si>
  <si>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</si>
  <si>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</si>
  <si>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</si>
  <si>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</si>
  <si>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</si>
  <si>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</si>
  <si>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</si>
  <si>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</si>
  <si>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</si>
  <si>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</si>
  <si>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</si>
  <si>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</si>
  <si>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</si>
  <si>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</si>
  <si>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</si>
  <si>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</si>
  <si>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</si>
  <si>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</si>
  <si>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</si>
  <si>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</si>
  <si>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</si>
  <si>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</si>
  <si>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</si>
  <si>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</si>
  <si>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</si>
  <si>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</si>
  <si>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</si>
  <si>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</si>
  <si>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</si>
  <si>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</si>
  <si>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</si>
  <si>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</si>
  <si>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</si>
  <si>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</si>
  <si>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</si>
  <si>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</si>
  <si>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</si>
  <si>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</si>
  <si>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</si>
  <si>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</si>
  <si>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</si>
  <si>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</si>
  <si>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</si>
  <si>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</si>
  <si>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</si>
  <si>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</si>
  <si>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</si>
  <si>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</si>
  <si>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</si>
  <si>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</si>
  <si>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</si>
  <si>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</si>
  <si>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</si>
  <si>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</si>
  <si>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</si>
  <si>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</si>
  <si>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</si>
  <si>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</si>
  <si>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</si>
  <si>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</si>
  <si>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</si>
  <si>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</si>
  <si>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</si>
  <si>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</si>
  <si>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</si>
  <si>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</si>
  <si>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</si>
  <si>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</si>
  <si>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</si>
  <si>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</si>
  <si>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</si>
  <si>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</si>
  <si>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</si>
  <si>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</si>
  <si>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</si>
  <si>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</si>
  <si>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</si>
  <si>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</si>
  <si>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</si>
  <si>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</si>
  <si>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</si>
  <si>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Category</t>
  </si>
  <si>
    <t>Segment</t>
  </si>
  <si>
    <t>Rep ID</t>
  </si>
  <si>
    <t>Total Revenue</t>
  </si>
  <si>
    <t>Actual Revenue</t>
  </si>
  <si>
    <t>Target Revenue</t>
  </si>
  <si>
    <t>Ratio</t>
  </si>
  <si>
    <t>Age</t>
  </si>
  <si>
    <t>Region</t>
  </si>
  <si>
    <t>Row Labels</t>
  </si>
  <si>
    <t>Grand Total</t>
  </si>
  <si>
    <t>Column Labels</t>
  </si>
  <si>
    <t>Sum of final_amount</t>
  </si>
  <si>
    <t>Total_Rev</t>
  </si>
  <si>
    <t>Average of Profit_Margin</t>
  </si>
  <si>
    <t>Rep Name</t>
  </si>
  <si>
    <t>Rank</t>
  </si>
  <si>
    <t>Is_Duplicate</t>
  </si>
  <si>
    <t>Std_City</t>
  </si>
  <si>
    <t>Missing_Customer</t>
  </si>
  <si>
    <t>Product_Active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</si>
</sst>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₹&quot;\ #,##0.00"/>
    <numFmt numFmtId="166" formatCode="0.000%"/>
  </numFmts>
  <fonts count="38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Arial"/>
      <family val="2"/>
    </font>
    <font>
      <b/>
      <sz val="11"/>
      <color theme="0" tint="-4.9989318521683403E-2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Arial"/>
      <family val="2"/>
    </font>
    <font>
      <sz val="10"/>
      <color rgb="FF000000"/>
      <name val="Arial"/>
      <family val="2"/>
    </font>
    <font>
      <sz val="11"/>
      <color theme="0"/>
      <name val="Arial"/>
      <family val="2"/>
    </font>
    <font>
      <b/>
      <sz val="10"/>
      <name val="Arial"/>
      <family val="2"/>
    </font>
    <font>
      <b/>
      <sz val="11"/>
      <color theme="0" tint="-4.9989318521683403E-2"/>
      <name val="Arial Black"/>
      <family val="2"/>
    </font>
    <font>
      <b/>
      <sz val="14"/>
      <color theme="0" tint="-4.9989318521683403E-2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6"/>
      <color theme="0" tint="-4.9989318521683403E-2"/>
      <name val="Arial Black"/>
      <family val="2"/>
    </font>
    <font>
      <b/>
      <sz val="16"/>
      <color theme="0"/>
      <name val="Arial Black"/>
      <family val="2"/>
    </font>
    <font>
      <sz val="11"/>
      <color theme="0"/>
      <name val="Arial Black"/>
      <family val="2"/>
    </font>
    <font>
      <b/>
      <sz val="11"/>
      <color theme="0"/>
      <name val="Arial Black"/>
      <family val="2"/>
    </font>
    <font>
      <b/>
      <sz val="16"/>
      <color rgb="FFFFFF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2CC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rgb="FF1F4E79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99"/>
        <bgColor rgb="FFFFF2CC"/>
      </patternFill>
    </fill>
    <fill>
      <patternFill patternType="solid">
        <fgColor rgb="FFFFFF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/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indexed="64"/>
      </bottom>
      <diagonal/>
    </border>
    <border>
      <left/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/>
      <top style="medium">
        <color indexed="64"/>
      </top>
      <bottom style="thin">
        <color rgb="FFBFBFBF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21" fillId="7" borderId="0" xfId="0" applyFont="1" applyFill="1"/>
    <xf numFmtId="0" fontId="0" fillId="8" borderId="2" xfId="0" applyFill="1" applyBorder="1"/>
    <xf numFmtId="165" fontId="8" fillId="4" borderId="2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2" fontId="8" fillId="4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 vertical="center"/>
    </xf>
    <xf numFmtId="2" fontId="8" fillId="6" borderId="2" xfId="0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0" fontId="0" fillId="11" borderId="2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pivotButton="1" applyBorder="1"/>
    <xf numFmtId="0" fontId="0" fillId="0" borderId="2" xfId="0" applyBorder="1" applyAlignment="1">
      <alignment horizontal="left"/>
    </xf>
    <xf numFmtId="164" fontId="0" fillId="0" borderId="0" xfId="0" applyNumberFormat="1" applyAlignment="1">
      <alignment horizontal="left"/>
    </xf>
    <xf numFmtId="0" fontId="12" fillId="0" borderId="3" xfId="0" applyFont="1" applyBorder="1" applyAlignment="1">
      <alignment horizontal="left" vertical="center" wrapText="1"/>
    </xf>
    <xf numFmtId="165" fontId="8" fillId="6" borderId="2" xfId="0" applyNumberFormat="1" applyFont="1" applyFill="1" applyBorder="1" applyAlignment="1">
      <alignment horizontal="center" vertical="center"/>
    </xf>
    <xf numFmtId="10" fontId="8" fillId="6" borderId="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10" fontId="0" fillId="0" borderId="2" xfId="0" applyNumberFormat="1" applyBorder="1"/>
    <xf numFmtId="0" fontId="26" fillId="0" borderId="1" xfId="0" applyFont="1" applyBorder="1" applyAlignment="1">
      <alignment horizontal="left"/>
    </xf>
    <xf numFmtId="166" fontId="0" fillId="0" borderId="0" xfId="0" applyNumberFormat="1"/>
    <xf numFmtId="0" fontId="25" fillId="12" borderId="2" xfId="0" applyFont="1" applyFill="1" applyBorder="1" applyAlignment="1">
      <alignment horizontal="center" vertical="center"/>
    </xf>
    <xf numFmtId="10" fontId="25" fillId="12" borderId="2" xfId="0" applyNumberFormat="1" applyFont="1" applyFill="1" applyBorder="1" applyAlignment="1">
      <alignment horizontal="center" vertical="center"/>
    </xf>
    <xf numFmtId="166" fontId="27" fillId="12" borderId="0" xfId="0" applyNumberFormat="1" applyFont="1" applyFill="1" applyAlignment="1">
      <alignment horizontal="center" vertical="center"/>
    </xf>
    <xf numFmtId="0" fontId="0" fillId="11" borderId="4" xfId="0" applyFill="1" applyBorder="1"/>
    <xf numFmtId="0" fontId="23" fillId="13" borderId="2" xfId="0" applyFont="1" applyFill="1" applyBorder="1"/>
    <xf numFmtId="0" fontId="0" fillId="11" borderId="2" xfId="0" applyFill="1" applyBorder="1" applyAlignment="1">
      <alignment horizontal="left"/>
    </xf>
    <xf numFmtId="0" fontId="16" fillId="11" borderId="2" xfId="0" applyFont="1" applyFill="1" applyBorder="1" applyAlignment="1">
      <alignment horizontal="left"/>
    </xf>
    <xf numFmtId="0" fontId="16" fillId="11" borderId="2" xfId="0" applyFont="1" applyFill="1" applyBorder="1"/>
    <xf numFmtId="0" fontId="28" fillId="16" borderId="2" xfId="0" applyFont="1" applyFill="1" applyBorder="1" applyAlignment="1">
      <alignment horizontal="center" vertical="center"/>
    </xf>
    <xf numFmtId="165" fontId="8" fillId="16" borderId="2" xfId="0" applyNumberFormat="1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49" fontId="28" fillId="16" borderId="2" xfId="0" applyNumberFormat="1" applyFont="1" applyFill="1" applyBorder="1" applyAlignment="1">
      <alignment horizontal="center" vertical="center" wrapText="1"/>
    </xf>
    <xf numFmtId="0" fontId="30" fillId="15" borderId="2" xfId="0" applyFont="1" applyFill="1" applyBorder="1" applyAlignment="1">
      <alignment horizontal="center" vertical="center"/>
    </xf>
    <xf numFmtId="0" fontId="29" fillId="15" borderId="2" xfId="0" applyFont="1" applyFill="1" applyBorder="1"/>
    <xf numFmtId="0" fontId="31" fillId="11" borderId="2" xfId="0" applyFont="1" applyFill="1" applyBorder="1" applyAlignment="1">
      <alignment horizontal="left"/>
    </xf>
    <xf numFmtId="0" fontId="32" fillId="11" borderId="2" xfId="0" applyFont="1" applyFill="1" applyBorder="1"/>
    <xf numFmtId="0" fontId="33" fillId="18" borderId="2" xfId="0" applyFont="1" applyFill="1" applyBorder="1"/>
    <xf numFmtId="0" fontId="34" fillId="18" borderId="0" xfId="0" applyFont="1" applyFill="1"/>
    <xf numFmtId="0" fontId="6" fillId="2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/>
    <xf numFmtId="0" fontId="0" fillId="0" borderId="9" xfId="0" applyBorder="1"/>
    <xf numFmtId="0" fontId="3" fillId="0" borderId="8" xfId="0" applyFont="1" applyBorder="1"/>
    <xf numFmtId="0" fontId="0" fillId="0" borderId="8" xfId="0" applyBorder="1"/>
    <xf numFmtId="0" fontId="4" fillId="0" borderId="8" xfId="0" applyFont="1" applyBorder="1"/>
    <xf numFmtId="0" fontId="6" fillId="2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0" fillId="0" borderId="11" xfId="0" applyBorder="1"/>
    <xf numFmtId="0" fontId="0" fillId="0" borderId="12" xfId="0" applyBorder="1"/>
    <xf numFmtId="0" fontId="7" fillId="0" borderId="3" xfId="0" applyFont="1" applyBorder="1" applyAlignment="1">
      <alignment horizontal="right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20" fillId="9" borderId="15" xfId="0" applyFont="1" applyFill="1" applyBorder="1" applyAlignment="1">
      <alignment horizontal="center" vertical="center"/>
    </xf>
    <xf numFmtId="0" fontId="22" fillId="10" borderId="16" xfId="0" applyFont="1" applyFill="1" applyBorder="1"/>
    <xf numFmtId="0" fontId="25" fillId="10" borderId="16" xfId="0" applyFont="1" applyFill="1" applyBorder="1"/>
    <xf numFmtId="0" fontId="25" fillId="12" borderId="16" xfId="0" applyFont="1" applyFill="1" applyBorder="1"/>
    <xf numFmtId="0" fontId="35" fillId="12" borderId="16" xfId="0" applyFont="1" applyFill="1" applyBorder="1"/>
    <xf numFmtId="0" fontId="36" fillId="12" borderId="17" xfId="0" applyFont="1" applyFill="1" applyBorder="1"/>
    <xf numFmtId="0" fontId="7" fillId="0" borderId="18" xfId="0" applyFont="1" applyBorder="1" applyAlignment="1">
      <alignment horizontal="right"/>
    </xf>
    <xf numFmtId="0" fontId="24" fillId="0" borderId="0" xfId="0" applyFont="1"/>
    <xf numFmtId="0" fontId="0" fillId="0" borderId="19" xfId="0" applyBorder="1"/>
    <xf numFmtId="0" fontId="7" fillId="0" borderId="20" xfId="0" applyFont="1" applyBorder="1" applyAlignment="1">
      <alignment horizontal="right"/>
    </xf>
    <xf numFmtId="0" fontId="7" fillId="0" borderId="21" xfId="0" applyFont="1" applyBorder="1" applyAlignment="1">
      <alignment horizontal="right"/>
    </xf>
    <xf numFmtId="0" fontId="7" fillId="0" borderId="21" xfId="0" applyFont="1" applyBorder="1" applyAlignment="1">
      <alignment horizontal="left"/>
    </xf>
    <xf numFmtId="0" fontId="0" fillId="0" borderId="22" xfId="0" applyBorder="1"/>
    <xf numFmtId="0" fontId="24" fillId="0" borderId="22" xfId="0" applyFont="1" applyBorder="1"/>
    <xf numFmtId="0" fontId="0" fillId="0" borderId="23" xfId="0" applyBorder="1"/>
    <xf numFmtId="0" fontId="35" fillId="19" borderId="17" xfId="0" applyFont="1" applyFill="1" applyBorder="1"/>
    <xf numFmtId="0" fontId="7" fillId="0" borderId="18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164" fontId="7" fillId="0" borderId="21" xfId="0" applyNumberFormat="1" applyFont="1" applyBorder="1" applyAlignment="1">
      <alignment horizontal="left"/>
    </xf>
    <xf numFmtId="0" fontId="6" fillId="2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165" fontId="16" fillId="5" borderId="2" xfId="0" applyNumberFormat="1" applyFont="1" applyFill="1" applyBorder="1" applyAlignment="1">
      <alignment horizontal="center" vertical="center"/>
    </xf>
    <xf numFmtId="49" fontId="16" fillId="17" borderId="2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 wrapText="1"/>
    </xf>
    <xf numFmtId="165" fontId="8" fillId="16" borderId="11" xfId="0" applyNumberFormat="1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8" fillId="0" borderId="21" xfId="0" applyFont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10" fontId="8" fillId="6" borderId="11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165" fontId="8" fillId="4" borderId="11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0" fillId="0" borderId="31" xfId="0" applyBorder="1"/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2" fontId="8" fillId="4" borderId="11" xfId="0" applyNumberFormat="1" applyFont="1" applyFill="1" applyBorder="1" applyAlignment="1">
      <alignment horizontal="center" vertical="center"/>
    </xf>
    <xf numFmtId="49" fontId="17" fillId="5" borderId="11" xfId="0" applyNumberFormat="1" applyFont="1" applyFill="1" applyBorder="1" applyAlignment="1">
      <alignment horizontal="center" vertical="center"/>
    </xf>
    <xf numFmtId="0" fontId="7" fillId="0" borderId="25" xfId="0" applyFont="1" applyBorder="1" applyAlignment="1">
      <alignment horizontal="right"/>
    </xf>
    <xf numFmtId="0" fontId="7" fillId="0" borderId="26" xfId="0" applyFont="1" applyBorder="1" applyAlignment="1">
      <alignment horizontal="right"/>
    </xf>
    <xf numFmtId="0" fontId="6" fillId="2" borderId="32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right"/>
    </xf>
    <xf numFmtId="164" fontId="0" fillId="0" borderId="2" xfId="0" applyNumberFormat="1" applyBorder="1" applyAlignment="1">
      <alignment horizontal="left"/>
    </xf>
    <xf numFmtId="0" fontId="21" fillId="13" borderId="5" xfId="0" applyFont="1" applyFill="1" applyBorder="1"/>
    <xf numFmtId="0" fontId="21" fillId="13" borderId="7" xfId="0" applyFont="1" applyFill="1" applyBorder="1"/>
    <xf numFmtId="0" fontId="0" fillId="11" borderId="8" xfId="0" applyFill="1" applyBorder="1" applyAlignment="1">
      <alignment horizontal="left"/>
    </xf>
    <xf numFmtId="0" fontId="0" fillId="11" borderId="9" xfId="0" applyFill="1" applyBorder="1"/>
    <xf numFmtId="0" fontId="0" fillId="11" borderId="10" xfId="0" applyFill="1" applyBorder="1" applyAlignment="1">
      <alignment horizontal="left"/>
    </xf>
    <xf numFmtId="0" fontId="0" fillId="11" borderId="12" xfId="0" applyFill="1" applyBorder="1"/>
    <xf numFmtId="0" fontId="5" fillId="0" borderId="8" xfId="0" applyFont="1" applyBorder="1"/>
    <xf numFmtId="0" fontId="0" fillId="0" borderId="2" xfId="0" applyBorder="1"/>
    <xf numFmtId="0" fontId="0" fillId="0" borderId="9" xfId="0" applyBorder="1"/>
    <xf numFmtId="0" fontId="4" fillId="0" borderId="8" xfId="0" applyFont="1" applyBorder="1"/>
    <xf numFmtId="0" fontId="10" fillId="0" borderId="2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37" fillId="2" borderId="30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0" fillId="0" borderId="0" xfId="0" applyFont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78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font>
        <name val="Arial"/>
        <scheme val="none"/>
      </font>
    </dxf>
    <dxf>
      <font>
        <b/>
      </font>
    </dxf>
    <dxf>
      <font>
        <color theme="0"/>
      </font>
    </dxf>
    <dxf>
      <fill>
        <patternFill patternType="solid">
          <bgColor rgb="FFFF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font>
        <name val="Arial"/>
        <scheme val="none"/>
      </font>
    </dxf>
    <dxf>
      <font>
        <b/>
      </font>
    </dxf>
    <dxf>
      <font>
        <color theme="0"/>
      </font>
    </dxf>
    <dxf>
      <fill>
        <patternFill>
          <bgColor rgb="FFFF0000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font>
        <name val="Arial"/>
        <scheme val="none"/>
      </font>
    </dxf>
    <dxf>
      <font>
        <color theme="0"/>
      </font>
    </dxf>
    <dxf>
      <fill>
        <patternFill patternType="solid">
          <bgColor rgb="FFFF0000"/>
        </patternFill>
      </fill>
    </dxf>
    <dxf>
      <numFmt numFmtId="166" formatCode="0.000%"/>
    </dxf>
  </dxfs>
  <tableStyles count="0" defaultTableStyle="TableStyleMedium9" defaultPivotStyle="PivotStyleLight16"/>
  <colors>
    <mruColors>
      <color rgb="FFFFFF9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MAY BOKADE" refreshedDate="46269.93334826389" createdVersion="8" refreshedVersion="8" minRefreshableVersion="3" recordCount="2000" xr:uid="{663CDE79-5C68-41E2-94F7-D5313A4D2AE1}">
  <cacheSource type="worksheet">
    <worksheetSource ref="A1:O2001" sheet="Orders"/>
  </cacheSource>
  <cacheFields count="15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 count="365">
        <d v="2024-09-14T00:00:00"/>
        <d v="2024-02-18T00:00:00"/>
        <d v="2024-03-20T00:00:00"/>
        <d v="2024-05-01T00:00:00"/>
        <d v="2024-11-15T00:00:00"/>
        <d v="2024-04-24T00:00:00"/>
        <d v="2024-06-12T00:00:00"/>
        <d v="2024-11-21T00:00:00"/>
        <d v="2024-04-14T00:00:00"/>
        <d v="2024-09-25T00:00:00"/>
        <d v="2024-02-10T00:00:00"/>
        <d v="2024-08-03T00:00:00"/>
        <d v="2024-06-23T00:00:00"/>
        <d v="2024-03-14T00:00:00"/>
        <d v="2024-09-11T00:00:00"/>
        <d v="2024-08-08T00:00:00"/>
        <d v="2024-12-28T00:00:00"/>
        <d v="2024-11-30T00:00:00"/>
        <d v="2024-04-12T00:00:00"/>
        <d v="2024-06-27T00:00:00"/>
        <d v="2024-03-03T00:00:00"/>
        <d v="2024-08-26T00:00:00"/>
        <d v="2024-06-29T00:00:00"/>
        <d v="2024-10-05T00:00:00"/>
        <d v="2024-04-19T00:00:00"/>
        <d v="2024-08-13T00:00:00"/>
        <d v="2024-03-12T00:00:00"/>
        <d v="2024-03-16T00:00:00"/>
        <d v="2024-10-04T00:00:00"/>
        <d v="2024-12-15T00:00:00"/>
        <d v="2024-02-21T00:00:00"/>
        <d v="2024-10-11T00:00:00"/>
        <d v="2024-06-19T00:00:00"/>
        <d v="2024-05-30T00:00:00"/>
        <d v="2024-12-20T00:00:00"/>
        <d v="2024-07-05T00:00:00"/>
        <d v="2024-03-04T00:00:00"/>
        <d v="2024-11-03T00:00:00"/>
        <d v="2024-11-10T00:00:00"/>
        <d v="2024-05-20T00:00:00"/>
        <d v="2024-04-10T00:00:00"/>
        <d v="2024-03-22T00:00:00"/>
        <d v="2024-01-21T00:00:00"/>
        <d v="2024-03-19T00:00:00"/>
        <d v="2024-04-07T00:00:00"/>
        <d v="2024-09-30T00:00:00"/>
        <d v="2024-02-01T00:00:00"/>
        <d v="2024-08-02T00:00:00"/>
        <d v="2024-11-20T00:00:00"/>
        <d v="2024-05-16T00:00:00"/>
        <d v="2024-08-11T00:00:00"/>
        <d v="2024-12-23T00:00:00"/>
        <d v="2024-10-08T00:00:00"/>
        <d v="2024-05-05T00:00:00"/>
        <d v="2024-05-13T00:00:00"/>
        <d v="2024-10-24T00:00:00"/>
        <d v="2024-07-15T00:00:00"/>
        <d v="2024-06-22T00:00:00"/>
        <d v="2024-01-26T00:00:00"/>
        <d v="2024-07-26T00:00:00"/>
        <d v="2024-02-06T00:00:00"/>
        <d v="2024-06-16T00:00:00"/>
        <d v="2024-04-16T00:00:00"/>
        <d v="2024-02-24T00:00:00"/>
        <d v="2024-07-10T00:00:00"/>
        <d v="2024-10-20T00:00:00"/>
        <d v="2024-07-27T00:00:00"/>
        <d v="2024-03-24T00:00:00"/>
        <d v="2024-05-31T00:00:00"/>
        <d v="2024-04-08T00:00:00"/>
        <d v="2024-11-19T00:00:00"/>
        <d v="2024-07-25T00:00:00"/>
        <d v="2024-08-24T00:00:00"/>
        <d v="2024-04-20T00:00:00"/>
        <d v="2024-09-12T00:00:00"/>
        <d v="2024-05-12T00:00:00"/>
        <d v="2024-06-18T00:00:00"/>
        <d v="2024-11-04T00:00:00"/>
        <d v="2024-10-22T00:00:00"/>
        <d v="2024-08-14T00:00:00"/>
        <d v="2024-08-29T00:00:00"/>
        <d v="2024-11-26T00:00:00"/>
        <d v="2024-03-29T00:00:00"/>
        <d v="2024-12-22T00:00:00"/>
        <d v="2024-11-11T00:00:00"/>
        <d v="2024-05-02T00:00:00"/>
        <d v="2024-06-15T00:00:00"/>
        <d v="2024-05-14T00:00:00"/>
        <d v="2024-09-22T00:00:00"/>
        <d v="2024-08-05T00:00:00"/>
        <d v="2024-02-07T00:00:00"/>
        <d v="2024-04-29T00:00:00"/>
        <d v="2024-01-06T00:00:00"/>
        <d v="2024-12-14T00:00:00"/>
        <d v="2024-01-31T00:00:00"/>
        <d v="2024-10-27T00:00:00"/>
        <d v="2024-05-27T00:00:00"/>
        <d v="2024-07-13T00:00:00"/>
        <d v="2024-12-03T00:00:00"/>
        <d v="2024-06-10T00:00:00"/>
        <d v="2024-11-01T00:00:00"/>
        <d v="2024-08-27T00:00:00"/>
        <d v="2024-10-31T00:00:00"/>
        <d v="2024-05-08T00:00:00"/>
        <d v="2024-05-04T00:00:00"/>
        <d v="2024-11-18T00:00:00"/>
        <d v="2024-10-28T00:00:00"/>
        <d v="2024-03-09T00:00:00"/>
        <d v="2024-12-02T00:00:00"/>
        <d v="2024-11-16T00:00:00"/>
        <d v="2024-09-06T00:00:00"/>
        <d v="2024-08-20T00:00:00"/>
        <d v="2024-02-22T00:00:00"/>
        <d v="2024-06-20T00:00:00"/>
        <d v="2024-01-10T00:00:00"/>
        <d v="2024-09-24T00:00:00"/>
        <d v="2024-02-29T00:00:00"/>
        <d v="2024-11-08T00:00:00"/>
        <d v="2024-08-04T00:00:00"/>
        <d v="2024-01-18T00:00:00"/>
        <d v="2024-06-05T00:00:00"/>
        <d v="2024-06-06T00:00:00"/>
        <d v="2024-09-20T00:00:00"/>
        <d v="2024-02-19T00:00:00"/>
        <d v="2024-05-10T00:00:00"/>
        <d v="2024-01-27T00:00:00"/>
        <d v="2024-08-17T00:00:00"/>
        <d v="2024-10-30T00:00:00"/>
        <d v="2024-12-18T00:00:00"/>
        <d v="2024-01-07T00:00:00"/>
        <d v="2024-06-04T00:00:00"/>
        <d v="2024-11-05T00:00:00"/>
        <d v="2024-04-27T00:00:00"/>
        <d v="2024-10-14T00:00:00"/>
        <d v="2024-02-27T00:00:00"/>
        <d v="2024-07-16T00:00:00"/>
        <d v="2024-06-14T00:00:00"/>
        <d v="2024-01-03T00:00:00"/>
        <d v="2024-02-23T00:00:00"/>
        <d v="2024-04-09T00:00:00"/>
        <d v="2024-05-07T00:00:00"/>
        <d v="2024-01-15T00:00:00"/>
        <d v="2024-12-07T00:00:00"/>
        <d v="2024-03-31T00:00:00"/>
        <d v="2024-02-11T00:00:00"/>
        <d v="2024-06-13T00:00:00"/>
        <d v="2024-01-04T00:00:00"/>
        <d v="2024-08-28T00:00:00"/>
        <d v="2024-09-29T00:00:00"/>
        <d v="2024-09-04T00:00:00"/>
        <d v="2024-11-09T00:00:00"/>
        <d v="2024-06-17T00:00:00"/>
        <d v="2024-09-03T00:00:00"/>
        <d v="2024-01-29T00:00:00"/>
        <d v="2024-02-28T00:00:00"/>
        <d v="2024-07-19T00:00:00"/>
        <d v="2024-07-17T00:00:00"/>
        <d v="2024-10-26T00:00:00"/>
        <d v="2024-01-28T00:00:00"/>
        <d v="2024-08-23T00:00:00"/>
        <d v="2024-10-07T00:00:00"/>
        <d v="2024-12-11T00:00:00"/>
        <d v="2024-01-24T00:00:00"/>
        <d v="2024-03-23T00:00:00"/>
        <d v="2024-02-13T00:00:00"/>
        <d v="2024-12-30T00:00:00"/>
        <d v="2024-08-30T00:00:00"/>
        <d v="2024-12-13T00:00:00"/>
        <d v="2024-12-27T00:00:00"/>
        <d v="2024-04-18T00:00:00"/>
        <d v="2024-11-12T00:00:00"/>
        <d v="2024-04-23T00:00:00"/>
        <d v="2024-07-31T00:00:00"/>
        <d v="2024-07-14T00:00:00"/>
        <d v="2024-01-02T00:00:00"/>
        <d v="2024-12-17T00:00:00"/>
        <d v="2024-09-07T00:00:00"/>
        <d v="2024-03-02T00:00:00"/>
        <d v="2024-07-07T00:00:00"/>
        <d v="2024-02-04T00:00:00"/>
        <d v="2024-12-01T00:00:00"/>
        <d v="2024-12-24T00:00:00"/>
        <d v="2024-09-10T00:00:00"/>
        <d v="2024-04-13T00:00:00"/>
        <d v="2024-12-10T00:00:00"/>
        <d v="2024-07-22T00:00:00"/>
        <d v="2024-02-15T00:00:00"/>
        <d v="2024-08-07T00:00:00"/>
        <d v="2024-01-30T00:00:00"/>
        <d v="2024-10-10T00:00:00"/>
        <d v="2024-08-18T00:00:00"/>
        <d v="2024-08-09T00:00:00"/>
        <d v="2024-04-25T00:00:00"/>
        <d v="2024-01-08T00:00:00"/>
        <d v="2024-04-04T00:00:00"/>
        <d v="2024-05-18T00:00:00"/>
        <d v="2024-05-06T00:00:00"/>
        <d v="2024-01-05T00:00:00"/>
        <d v="2024-12-12T00:00:00"/>
        <d v="2024-04-26T00:00:00"/>
        <d v="2024-02-16T00:00:00"/>
        <d v="2024-08-25T00:00:00"/>
        <d v="2024-01-19T00:00:00"/>
        <d v="2024-01-23T00:00:00"/>
        <d v="2024-11-23T00:00:00"/>
        <d v="2024-09-02T00:00:00"/>
        <d v="2024-07-02T00:00:00"/>
        <d v="2024-11-28T00:00:00"/>
        <d v="2024-12-09T00:00:00"/>
        <d v="2024-05-03T00:00:00"/>
        <d v="2024-04-21T00:00:00"/>
        <d v="2024-09-19T00:00:00"/>
        <d v="2024-01-09T00:00:00"/>
        <d v="2024-03-17T00:00:00"/>
        <d v="2024-07-08T00:00:00"/>
        <d v="2024-12-06T00:00:00"/>
        <d v="2024-06-07T00:00:00"/>
        <d v="2024-04-03T00:00:00"/>
        <d v="2024-12-19T00:00:00"/>
        <d v="2024-12-29T00:00:00"/>
        <d v="2024-02-17T00:00:00"/>
        <d v="2024-11-22T00:00:00"/>
        <d v="2024-10-25T00:00:00"/>
        <d v="2024-09-18T00:00:00"/>
        <d v="2024-05-22T00:00:00"/>
        <d v="2024-06-03T00:00:00"/>
        <d v="2024-08-16T00:00:00"/>
        <d v="2024-09-09T00:00:00"/>
        <d v="2024-10-15T00:00:00"/>
        <d v="2024-03-28T00:00:00"/>
        <d v="2024-09-26T00:00:00"/>
        <d v="2024-01-17T00:00:00"/>
        <d v="2024-09-28T00:00:00"/>
        <d v="2024-07-03T00:00:00"/>
        <d v="2024-03-13T00:00:00"/>
        <d v="2024-11-27T00:00:00"/>
        <d v="2024-05-29T00:00:00"/>
        <d v="2024-10-02T00:00:00"/>
        <d v="2024-02-09T00:00:00"/>
        <d v="2024-03-27T00:00:00"/>
        <d v="2024-07-30T00:00:00"/>
        <d v="2024-10-19T00:00:00"/>
        <d v="2024-05-28T00:00:00"/>
        <d v="2024-03-07T00:00:00"/>
        <d v="2024-04-05T00:00:00"/>
        <d v="2024-04-15T00:00:00"/>
        <d v="2024-01-16T00:00:00"/>
        <d v="2024-11-24T00:00:00"/>
        <d v="2024-10-16T00:00:00"/>
        <d v="2024-04-30T00:00:00"/>
        <d v="2024-03-15T00:00:00"/>
        <d v="2024-10-12T00:00:00"/>
        <d v="2024-12-05T00:00:00"/>
        <d v="2024-06-11T00:00:00"/>
        <d v="2024-09-27T00:00:00"/>
        <d v="2024-07-24T00:00:00"/>
        <d v="2024-08-06T00:00:00"/>
        <d v="2024-03-30T00:00:00"/>
        <d v="2024-02-02T00:00:00"/>
        <d v="2024-02-08T00:00:00"/>
        <d v="2024-02-14T00:00:00"/>
        <d v="2024-10-21T00:00:00"/>
        <d v="2024-12-21T00:00:00"/>
        <d v="2024-07-23T00:00:00"/>
        <d v="2024-03-18T00:00:00"/>
        <d v="2024-08-01T00:00:00"/>
        <d v="2024-04-01T00:00:00"/>
        <d v="2024-07-01T00:00:00"/>
        <d v="2024-03-10T00:00:00"/>
        <d v="2024-09-15T00:00:00"/>
        <d v="2024-07-12T00:00:00"/>
        <d v="2024-08-19T00:00:00"/>
        <d v="2024-01-11T00:00:00"/>
        <d v="2024-05-15T00:00:00"/>
        <d v="2024-04-11T00:00:00"/>
        <d v="2024-08-31T00:00:00"/>
        <d v="2024-10-23T00:00:00"/>
        <d v="2024-06-26T00:00:00"/>
        <d v="2024-09-17T00:00:00"/>
        <d v="2024-03-01T00:00:00"/>
        <d v="2024-04-22T00:00:00"/>
        <d v="2024-08-15T00:00:00"/>
        <d v="2024-08-10T00:00:00"/>
        <d v="2024-08-21T00:00:00"/>
        <d v="2024-11-17T00:00:00"/>
        <d v="2024-07-11T00:00:00"/>
        <d v="2024-10-01T00:00:00"/>
        <d v="2024-12-08T00:00:00"/>
        <d v="2024-01-20T00:00:00"/>
        <d v="2024-09-13T00:00:00"/>
        <d v="2024-06-25T00:00:00"/>
        <d v="2024-01-12T00:00:00"/>
        <d v="2024-05-09T00:00:00"/>
        <d v="2024-07-20T00:00:00"/>
        <d v="2024-11-14T00:00:00"/>
        <d v="2024-05-24T00:00:00"/>
        <d v="2024-10-03T00:00:00"/>
        <d v="2024-10-06T00:00:00"/>
        <d v="2024-03-06T00:00:00"/>
        <d v="2024-06-24T00:00:00"/>
        <d v="2024-01-13T00:00:00"/>
        <d v="2024-05-21T00:00:00"/>
        <d v="2024-07-04T00:00:00"/>
        <d v="2024-11-13T00:00:00"/>
        <d v="2024-07-18T00:00:00"/>
        <d v="2024-02-20T00:00:00"/>
        <d v="2024-04-28T00:00:00"/>
        <d v="2024-09-23T00:00:00"/>
        <d v="2024-10-09T00:00:00"/>
        <d v="2024-01-25T00:00:00"/>
        <d v="2024-06-08T00:00:00"/>
        <d v="2024-11-02T00:00:00"/>
        <d v="2024-03-26T00:00:00"/>
        <d v="2024-05-19T00:00:00"/>
        <d v="2024-06-28T00:00:00"/>
        <d v="2024-07-21T00:00:00"/>
        <d v="2024-12-04T00:00:00"/>
        <d v="2024-09-16T00:00:00"/>
        <d v="2024-05-11T00:00:00"/>
        <d v="2024-07-06T00:00:00"/>
        <d v="2024-03-05T00:00:00"/>
        <d v="2024-04-06T00:00:00"/>
        <d v="2024-02-05T00:00:00"/>
        <d v="2024-02-12T00:00:00"/>
        <d v="2024-02-25T00:00:00"/>
        <d v="2024-12-26T00:00:00"/>
        <d v="2024-09-05T00:00:00"/>
        <d v="2024-11-29T00:00:00"/>
        <d v="2024-06-01T00:00:00"/>
        <d v="2024-10-17T00:00:00"/>
        <d v="2024-12-25T00:00:00"/>
        <d v="2024-03-11T00:00:00"/>
        <d v="2024-03-21T00:00:00"/>
        <d v="2024-02-26T00:00:00"/>
        <d v="2024-05-26T00:00:00"/>
        <d v="2024-05-17T00:00:00"/>
        <d v="2024-10-18T00:00:00"/>
        <d v="2024-07-09T00:00:00"/>
        <d v="2024-06-02T00:00:00"/>
        <d v="2024-06-30T00:00:00"/>
        <d v="2024-08-12T00:00:00"/>
        <d v="2024-11-06T00:00:00"/>
        <d v="2024-04-17T00:00:00"/>
        <d v="2024-01-22T00:00:00"/>
        <d v="2024-10-13T00:00:00"/>
        <d v="2024-10-29T00:00:00"/>
        <d v="2024-01-01T00:00:00"/>
        <d v="2024-05-23T00:00:00"/>
        <d v="2024-11-07T00:00:00"/>
        <d v="2024-07-29T00:00:00"/>
        <d v="2024-07-28T00:00:00"/>
        <d v="2024-03-25T00:00:00"/>
        <d v="2024-05-25T00:00:00"/>
        <d v="2024-03-08T00:00:00"/>
        <d v="2024-02-03T00:00:00"/>
        <d v="2024-09-01T00:00:00"/>
        <d v="2024-11-25T00:00:00"/>
        <d v="2024-08-22T00:00:00"/>
        <d v="2024-06-09T00:00:00"/>
        <d v="2024-01-14T00:00:00"/>
        <d v="2024-04-02T00:00:00"/>
        <d v="2024-09-21T00:00:00"/>
        <d v="2024-12-16T00:00:00"/>
        <d v="2024-09-08T00:00:00"/>
        <d v="2024-06-21T00:00:00"/>
      </sharedItems>
    </cacheField>
    <cacheField name="customer_id" numFmtId="0">
      <sharedItems/>
    </cacheField>
    <cacheField name="product_id" numFmtId="0">
      <sharedItems/>
    </cacheField>
    <cacheField name="sales_rep_id" numFmtId="0">
      <sharedItems count="30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/>
    </cacheField>
    <cacheField name="Category" numFmtId="0">
      <sharedItems count="6">
        <s v="Apparel"/>
        <s v="Sports"/>
        <s v="Grocery"/>
        <s v="Home"/>
        <s v="Electronics"/>
        <s v="Beauty"/>
      </sharedItems>
    </cacheField>
    <cacheField name="Segment" numFmtId="0">
      <sharedItems/>
    </cacheField>
    <cacheField name="Age" numFmtId="0">
      <sharedItems containsMixedTypes="1" containsNumber="1" containsInteger="1" minValue="22" maxValue="65"/>
    </cacheField>
    <cacheField name="Region" numFmtId="0">
      <sharedItems count="4">
        <s v="North"/>
        <s v="South"/>
        <s v="West"/>
        <s v="E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MAY BOKADE" refreshedDate="46269.981932291666" createdVersion="8" refreshedVersion="8" minRefreshableVersion="3" recordCount="2000" xr:uid="{1E5307CD-0228-4994-82E5-CB9D6334EA73}">
  <cacheSource type="worksheet">
    <worksheetSource ref="A1:P2001" sheet="Orders"/>
  </cacheSource>
  <cacheFields count="17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/>
    </cacheField>
    <cacheField name="customer_id" numFmtId="0">
      <sharedItems/>
    </cacheField>
    <cacheField name="product_id" numFmtId="0">
      <sharedItems count="60">
        <s v="PROD-014"/>
        <s v="PROD-020"/>
        <s v="PROD-053"/>
        <s v="PROD-028"/>
        <s v="PROD-012"/>
        <s v="PROD-032"/>
        <s v="PROD-057"/>
        <s v="PROD-007"/>
        <s v="PROD-038"/>
        <s v="PROD-030"/>
        <s v="PROD-024"/>
        <s v="PROD-010"/>
        <s v="PROD-002"/>
        <s v="PROD-036"/>
        <s v="PROD-060"/>
        <s v="PROD-058"/>
        <s v="PROD-047"/>
        <s v="PROD-051"/>
        <s v="PROD-040"/>
        <s v="PROD-019"/>
        <s v="PROD-015"/>
        <s v="PROD-044"/>
        <s v="PROD-043"/>
        <s v="PROD-054"/>
        <s v="PROD-046"/>
        <s v="PROD-003"/>
        <s v="PROD-048"/>
        <s v="PROD-055"/>
        <s v="PROD-021"/>
        <s v="PROD-037"/>
        <s v="PROD-031"/>
        <s v="PROD-027"/>
        <s v="PROD-013"/>
        <s v="PROD-050"/>
        <s v="PROD-022"/>
        <s v="PROD-004"/>
        <s v="PROD-041"/>
        <s v="PROD-026"/>
        <s v="PROD-009"/>
        <s v="PROD-039"/>
        <s v="PROD-045"/>
        <s v="PROD-008"/>
        <s v="PROD-005"/>
        <s v="PROD-016"/>
        <s v="PROD-033"/>
        <s v="PROD-029"/>
        <s v="PROD-025"/>
        <s v="PROD-017"/>
        <s v="PROD-052"/>
        <s v="PROD-001"/>
        <s v="PROD-023"/>
        <s v="PROD-049"/>
        <s v="PROD-042"/>
        <s v="PROD-006"/>
        <s v="PROD-034"/>
        <s v="PROD-011"/>
        <s v="PROD-059"/>
        <s v="PROD-035"/>
        <s v="PROD-056"/>
        <s v="PROD-018"/>
      </sharedItems>
    </cacheField>
    <cacheField name="sales_rep_id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 count="8">
        <s v="Pune"/>
        <s v="Chennai"/>
        <s v="Delhi"/>
        <s v="Mumbai"/>
        <s v="Bengaluru"/>
        <s v="Hyderabad"/>
        <s v=" Delhi "/>
        <s v=" Chennai "/>
      </sharedItems>
    </cacheField>
    <cacheField name="Category" numFmtId="0">
      <sharedItems/>
    </cacheField>
    <cacheField name="Segment" numFmtId="0">
      <sharedItems/>
    </cacheField>
    <cacheField name="Age" numFmtId="0">
      <sharedItems containsMixedTypes="1" containsNumber="1" containsInteger="1" minValue="22" maxValue="65"/>
    </cacheField>
    <cacheField name="Region" numFmtId="0">
      <sharedItems count="4">
        <s v="North"/>
        <s v="South"/>
        <s v="West"/>
        <s v="East"/>
      </sharedItems>
    </cacheField>
    <cacheField name="unit_cost" numFmtId="0">
      <sharedItems containsSemiMixedTypes="0" containsString="0" containsNumber="1" containsInteger="1" minValue="128" maxValue="2911"/>
    </cacheField>
    <cacheField name="Profit_Margin" numFmtId="0" formula="(unit_price-unit_cost) /unit_pric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x v="0"/>
    <s v="CUST-0243"/>
    <s v="PROD-014"/>
    <x v="0"/>
    <n v="8"/>
    <n v="3620"/>
    <n v="15.4"/>
    <n v="24500.16"/>
    <s v="Completed"/>
    <s v="Pune"/>
    <x v="0"/>
    <s v="SMB"/>
    <n v="44"/>
    <x v="0"/>
  </r>
  <r>
    <s v="ORD-00002"/>
    <x v="1"/>
    <s v="CUST-0202"/>
    <s v="PROD-020"/>
    <x v="1"/>
    <n v="2"/>
    <n v="820"/>
    <n v="10.8"/>
    <n v="1462.88"/>
    <s v="Pending"/>
    <s v="Chennai"/>
    <x v="0"/>
    <s v="Retail"/>
    <n v="39"/>
    <x v="0"/>
  </r>
  <r>
    <s v="ORD-00003"/>
    <x v="2"/>
    <s v="CUST-0098"/>
    <s v="PROD-053"/>
    <x v="2"/>
    <n v="8"/>
    <n v="470"/>
    <n v="3.3"/>
    <n v="3635.92"/>
    <s v="Pending"/>
    <s v="Delhi"/>
    <x v="1"/>
    <s v="Retail"/>
    <n v="52"/>
    <x v="1"/>
  </r>
  <r>
    <s v="ORD-00004"/>
    <x v="3"/>
    <s v="CUST-0071"/>
    <s v="PROD-028"/>
    <x v="3"/>
    <n v="1"/>
    <n v="3660"/>
    <n v="15.7"/>
    <n v="3085.38"/>
    <s v="Completed"/>
    <s v="Delhi"/>
    <x v="2"/>
    <s v="Corporate"/>
    <n v="46"/>
    <x v="0"/>
  </r>
  <r>
    <s v="ORD-00005"/>
    <x v="4"/>
    <s v="CUST-0180"/>
    <s v="PROD-012"/>
    <x v="4"/>
    <n v="1"/>
    <n v="3160"/>
    <n v="26"/>
    <n v="2338.4"/>
    <s v="Completed"/>
    <s v="Chennai"/>
    <x v="0"/>
    <s v="Retail"/>
    <n v="36"/>
    <x v="0"/>
  </r>
  <r>
    <s v="ORD-00006"/>
    <x v="5"/>
    <s v="CUST-0275"/>
    <s v="PROD-032"/>
    <x v="5"/>
    <n v="4"/>
    <n v="370"/>
    <n v="29"/>
    <n v="1050.8"/>
    <s v="Completed"/>
    <s v="Mumbai"/>
    <x v="3"/>
    <s v="Retail"/>
    <n v="36"/>
    <x v="2"/>
  </r>
  <r>
    <s v="ORD-00007"/>
    <x v="6"/>
    <s v="CUST-0293"/>
    <s v="PROD-057"/>
    <x v="6"/>
    <n v="3"/>
    <n v="960"/>
    <n v="5.8"/>
    <n v="2712.96"/>
    <s v="Completed"/>
    <s v="Bengaluru"/>
    <x v="1"/>
    <s v="Retail"/>
    <n v="27"/>
    <x v="2"/>
  </r>
  <r>
    <s v="ORD-00008"/>
    <x v="7"/>
    <s v="CUST-0281"/>
    <s v="PROD-007"/>
    <x v="7"/>
    <n v="8"/>
    <n v="1430"/>
    <n v="2.4"/>
    <n v="11165.44"/>
    <s v="Completed"/>
    <s v="Bengaluru"/>
    <x v="4"/>
    <s v="Corporate"/>
    <n v="57"/>
    <x v="3"/>
  </r>
  <r>
    <s v="ORD-00009"/>
    <x v="0"/>
    <s v="CUST-0260"/>
    <s v="PROD-038"/>
    <x v="4"/>
    <n v="3"/>
    <n v="5490"/>
    <n v="14.2"/>
    <n v="14131.26"/>
    <s v="Completed"/>
    <s v="Bengaluru"/>
    <x v="3"/>
    <s v="Retail"/>
    <n v="42"/>
    <x v="0"/>
  </r>
  <r>
    <s v="ORD-00010"/>
    <x v="8"/>
    <s v="CUST-0147"/>
    <s v="PROD-030"/>
    <x v="8"/>
    <n v="3"/>
    <n v="970"/>
    <n v="1.2"/>
    <n v="2875.08"/>
    <s v="Completed"/>
    <s v="Pune"/>
    <x v="2"/>
    <s v="Retail"/>
    <n v="56"/>
    <x v="2"/>
  </r>
  <r>
    <s v="ORD-00011"/>
    <x v="9"/>
    <s v="CUST-0204"/>
    <s v="PROD-024"/>
    <x v="9"/>
    <n v="7"/>
    <n v="2270"/>
    <n v="7.1"/>
    <n v="14761.81"/>
    <s v="Pending"/>
    <s v="Hyderabad"/>
    <x v="2"/>
    <s v="Retail"/>
    <n v="60"/>
    <x v="1"/>
  </r>
  <r>
    <s v="ORD-00012"/>
    <x v="10"/>
    <s v="CUST-0147"/>
    <s v="PROD-010"/>
    <x v="6"/>
    <n v="9"/>
    <n v="2640"/>
    <n v="21.7"/>
    <n v="18604.080000000002"/>
    <s v="Completed"/>
    <s v="Pune"/>
    <x v="4"/>
    <s v="Retail"/>
    <n v="56"/>
    <x v="2"/>
  </r>
  <r>
    <s v="ORD-00013"/>
    <x v="11"/>
    <s v="CUST-0280"/>
    <s v="PROD-002"/>
    <x v="10"/>
    <n v="3"/>
    <n v="2600"/>
    <n v="4.3"/>
    <n v="7464.6"/>
    <s v="Cancelled"/>
    <s v="Delhi"/>
    <x v="4"/>
    <s v="SMB"/>
    <n v="27"/>
    <x v="0"/>
  </r>
  <r>
    <s v="ORD-00014"/>
    <x v="12"/>
    <s v="CUST-0008"/>
    <s v="PROD-036"/>
    <x v="5"/>
    <n v="3"/>
    <n v="3250"/>
    <n v="14.1"/>
    <n v="8375.25"/>
    <s v="Refunded"/>
    <s v="Pune"/>
    <x v="3"/>
    <s v="SMB"/>
    <n v="39"/>
    <x v="2"/>
  </r>
  <r>
    <s v="ORD-00015"/>
    <x v="13"/>
    <s v="CUST-0052"/>
    <s v="PROD-060"/>
    <x v="11"/>
    <n v="1"/>
    <n v="190"/>
    <n v="20.7"/>
    <n v="150.66999999999999"/>
    <s v="Completed"/>
    <s v="Pune"/>
    <x v="1"/>
    <s v="Retail"/>
    <n v="38"/>
    <x v="0"/>
  </r>
  <r>
    <s v="ORD-00016"/>
    <x v="14"/>
    <s v="CUST-0184"/>
    <s v="PROD-058"/>
    <x v="2"/>
    <n v="7"/>
    <n v="2400"/>
    <n v="10.199999999999999"/>
    <n v="15086.4"/>
    <s v="Pending"/>
    <s v="Pune"/>
    <x v="1"/>
    <s v="Retail"/>
    <n v="63"/>
    <x v="1"/>
  </r>
  <r>
    <s v="ORD-00017"/>
    <x v="15"/>
    <s v="CUST-0056"/>
    <s v="PROD-028"/>
    <x v="12"/>
    <n v="4"/>
    <n v="3660"/>
    <n v="2.6"/>
    <n v="14259.36"/>
    <s v="Completed"/>
    <s v="Bengaluru"/>
    <x v="2"/>
    <s v="SMB"/>
    <n v="46"/>
    <x v="3"/>
  </r>
  <r>
    <s v="ORD-00018"/>
    <x v="16"/>
    <s v="CUST-0273"/>
    <s v="PROD-047"/>
    <x v="13"/>
    <n v="8"/>
    <n v="3450"/>
    <n v="18.5"/>
    <n v="22494"/>
    <s v="Completed"/>
    <s v="Hyderabad"/>
    <x v="5"/>
    <s v="Corporate"/>
    <n v="32"/>
    <x v="3"/>
  </r>
  <r>
    <s v="ORD-00019"/>
    <x v="17"/>
    <s v="CUST-0182"/>
    <s v="PROD-051"/>
    <x v="12"/>
    <n v="5"/>
    <n v="3450"/>
    <n v="7.3"/>
    <n v="15990.75"/>
    <s v="Completed"/>
    <s v="Mumbai"/>
    <x v="1"/>
    <s v="Retail"/>
    <n v="54"/>
    <x v="3"/>
  </r>
  <r>
    <s v="ORD-00020"/>
    <x v="18"/>
    <s v="CUST-0265"/>
    <s v="PROD-040"/>
    <x v="12"/>
    <n v="8"/>
    <n v="1080"/>
    <n v="2.2000000000000002"/>
    <n v="8449.92"/>
    <s v="Completed"/>
    <s v="Chennai"/>
    <x v="3"/>
    <s v="Retail"/>
    <n v="49"/>
    <x v="3"/>
  </r>
  <r>
    <s v="ORD-00021"/>
    <x v="19"/>
    <s v="CUST-0159"/>
    <s v="PROD-019"/>
    <x v="3"/>
    <n v="7"/>
    <n v="2480"/>
    <n v="28.7"/>
    <n v="12377.68"/>
    <s v="Completed"/>
    <s v="Hyderabad"/>
    <x v="0"/>
    <s v="Retail"/>
    <n v="32"/>
    <x v="0"/>
  </r>
  <r>
    <s v="ORD-00022"/>
    <x v="20"/>
    <s v="CUST-0259"/>
    <s v="PROD-036"/>
    <x v="14"/>
    <n v="4"/>
    <n v="3250"/>
    <n v="24.6"/>
    <n v="9802"/>
    <s v="Completed"/>
    <s v="Mumbai"/>
    <x v="3"/>
    <s v="Retail"/>
    <n v="34"/>
    <x v="2"/>
  </r>
  <r>
    <s v="ORD-00023"/>
    <x v="21"/>
    <s v="CUST-0107"/>
    <s v="PROD-015"/>
    <x v="14"/>
    <n v="9"/>
    <n v="2720"/>
    <n v="26.2"/>
    <n v="18066.240000000002"/>
    <s v="Completed"/>
    <s v="Pune"/>
    <x v="0"/>
    <s v="Retail"/>
    <n v="50"/>
    <x v="2"/>
  </r>
  <r>
    <s v="ORD-00024"/>
    <x v="22"/>
    <s v="CUST-0101"/>
    <s v="PROD-044"/>
    <x v="11"/>
    <n v="2"/>
    <n v="1650"/>
    <n v="9.4"/>
    <n v="2989.8"/>
    <s v="Completed"/>
    <s v="Hyderabad"/>
    <x v="5"/>
    <s v="SMB"/>
    <n v="40"/>
    <x v="0"/>
  </r>
  <r>
    <s v="ORD-00025"/>
    <x v="18"/>
    <s v="CUST-0142"/>
    <s v="PROD-043"/>
    <x v="12"/>
    <n v="6"/>
    <n v="3350"/>
    <n v="6.1"/>
    <n v="18873.900000000001"/>
    <s v="Pending"/>
    <s v="Chennai"/>
    <x v="5"/>
    <s v="Corporate"/>
    <n v="55"/>
    <x v="3"/>
  </r>
  <r>
    <s v="ORD-00026"/>
    <x v="23"/>
    <s v="CUST-0250"/>
    <s v="PROD-054"/>
    <x v="7"/>
    <n v="2"/>
    <n v="1010"/>
    <n v="16.5"/>
    <n v="1686.7"/>
    <s v="Cancelled"/>
    <s v="Delhi"/>
    <x v="1"/>
    <s v="Retail"/>
    <n v="31"/>
    <x v="3"/>
  </r>
  <r>
    <s v="ORD-00027"/>
    <x v="24"/>
    <s v="CUST-0098"/>
    <s v="PROD-046"/>
    <x v="3"/>
    <n v="5"/>
    <n v="4880"/>
    <n v="23.6"/>
    <n v="18641.599999999999"/>
    <s v="Completed"/>
    <s v="Delhi"/>
    <x v="5"/>
    <s v="Retail"/>
    <n v="52"/>
    <x v="0"/>
  </r>
  <r>
    <s v="ORD-00028"/>
    <x v="25"/>
    <s v="CUST-0143"/>
    <s v="PROD-003"/>
    <x v="15"/>
    <n v="7"/>
    <n v="3570"/>
    <n v="5.8"/>
    <n v="23540.58"/>
    <s v="Cancelled"/>
    <s v="Chennai"/>
    <x v="4"/>
    <s v="SMB"/>
    <n v="52"/>
    <x v="1"/>
  </r>
  <r>
    <s v="ORD-00029"/>
    <x v="26"/>
    <s v="CUST-0086"/>
    <s v="PROD-048"/>
    <x v="16"/>
    <n v="9"/>
    <n v="5100"/>
    <n v="16.7"/>
    <n v="38234.699999999997"/>
    <s v="Completed"/>
    <s v="Hyderabad"/>
    <x v="5"/>
    <s v="Corporate"/>
    <n v="56"/>
    <x v="3"/>
  </r>
  <r>
    <s v="ORD-00030"/>
    <x v="27"/>
    <s v="CUST-0006"/>
    <s v="PROD-055"/>
    <x v="1"/>
    <n v="3"/>
    <n v="2860"/>
    <n v="25.8"/>
    <n v="6366.36"/>
    <s v="Completed"/>
    <s v="Pune"/>
    <x v="1"/>
    <s v="SMB"/>
    <n v="44"/>
    <x v="0"/>
  </r>
  <r>
    <s v="ORD-00031"/>
    <x v="28"/>
    <s v="CUST-0241"/>
    <s v="PROD-030"/>
    <x v="3"/>
    <n v="7"/>
    <n v="970"/>
    <n v="29.8"/>
    <n v="4766.58"/>
    <s v="Completed"/>
    <s v="Pune"/>
    <x v="2"/>
    <s v="Corporate"/>
    <n v="47"/>
    <x v="0"/>
  </r>
  <r>
    <s v="ORD-00032"/>
    <x v="29"/>
    <s v="CUST-0035"/>
    <s v="PROD-021"/>
    <x v="17"/>
    <n v="4"/>
    <n v="2760"/>
    <n v="5.9"/>
    <n v="10388.64"/>
    <s v="Completed"/>
    <s v="Hyderabad"/>
    <x v="2"/>
    <s v="Retail"/>
    <n v="53"/>
    <x v="2"/>
  </r>
  <r>
    <s v="ORD-00033"/>
    <x v="30"/>
    <s v="CUST-0273"/>
    <s v="PROD-037"/>
    <x v="18"/>
    <n v="10"/>
    <n v="660"/>
    <n v="18.3"/>
    <n v="5392.2"/>
    <s v="Pending"/>
    <s v="Hyderabad"/>
    <x v="3"/>
    <s v="Corporate"/>
    <n v="32"/>
    <x v="1"/>
  </r>
  <r>
    <s v="ORD-00034"/>
    <x v="31"/>
    <s v="CUST-0064"/>
    <s v="PROD-036"/>
    <x v="7"/>
    <n v="1"/>
    <n v="3250"/>
    <n v="10.7"/>
    <n v="2902.25"/>
    <s v="Completed"/>
    <s v="Hyderabad"/>
    <x v="3"/>
    <s v="SMB"/>
    <n v="40"/>
    <x v="3"/>
  </r>
  <r>
    <s v="ORD-00035"/>
    <x v="32"/>
    <s v="CUST-0118"/>
    <s v="PROD-048"/>
    <x v="7"/>
    <n v="8"/>
    <n v="5100"/>
    <n v="26.4"/>
    <n v="30028.799999999999"/>
    <s v="Cancelled"/>
    <s v="Hyderabad"/>
    <x v="5"/>
    <s v="Retail"/>
    <n v="26"/>
    <x v="3"/>
  </r>
  <r>
    <s v="ORD-00036"/>
    <x v="33"/>
    <s v="CUST-0013"/>
    <s v="PROD-040"/>
    <x v="13"/>
    <n v="1"/>
    <n v="1080"/>
    <n v="5.0999999999999996"/>
    <n v="1024.92"/>
    <s v="Completed"/>
    <s v="Delhi"/>
    <x v="3"/>
    <s v="Retail"/>
    <n v="41"/>
    <x v="3"/>
  </r>
  <r>
    <s v="ORD-00037"/>
    <x v="34"/>
    <s v="CUST-0177"/>
    <s v="PROD-038"/>
    <x v="18"/>
    <n v="2"/>
    <n v="5490"/>
    <n v="21.1"/>
    <n v="8663.2199999999993"/>
    <s v="Cancelled"/>
    <s v="Mumbai"/>
    <x v="3"/>
    <s v="SMB"/>
    <n v="36"/>
    <x v="1"/>
  </r>
  <r>
    <s v="ORD-00038"/>
    <x v="35"/>
    <s v="CUST-0186"/>
    <s v="PROD-060"/>
    <x v="19"/>
    <n v="7"/>
    <n v="190"/>
    <n v="28.7"/>
    <n v="948.29"/>
    <s v="Completed"/>
    <s v="Bengaluru"/>
    <x v="1"/>
    <s v="Retail"/>
    <n v="42"/>
    <x v="0"/>
  </r>
  <r>
    <s v="ORD-00039"/>
    <x v="36"/>
    <s v="CUST-0069"/>
    <s v="PROD-058"/>
    <x v="15"/>
    <n v="6"/>
    <n v="2400"/>
    <n v="2.7"/>
    <n v="14011.2"/>
    <s v="Completed"/>
    <s v="Chennai"/>
    <x v="1"/>
    <s v="Retail"/>
    <n v="51"/>
    <x v="1"/>
  </r>
  <r>
    <s v="ORD-00040"/>
    <x v="37"/>
    <s v="CUST-0283"/>
    <s v="PROD-044"/>
    <x v="12"/>
    <n v="9"/>
    <n v="1650"/>
    <n v="11.6"/>
    <n v="13127.4"/>
    <s v="Completed"/>
    <s v="Delhi"/>
    <x v="5"/>
    <s v="SMB"/>
    <n v="50"/>
    <x v="3"/>
  </r>
  <r>
    <s v="ORD-00041"/>
    <x v="38"/>
    <s v="CUST-9507"/>
    <s v="PROD-038"/>
    <x v="3"/>
    <n v="4"/>
    <n v="5490"/>
    <n v="12.8"/>
    <n v="19149.12"/>
    <s v="Cancelled"/>
    <s v="Chennai"/>
    <x v="3"/>
    <e v="#N/A"/>
    <e v="#N/A"/>
    <x v="0"/>
  </r>
  <r>
    <s v="ORD-00042"/>
    <x v="39"/>
    <s v="CUST-0053"/>
    <s v="PROD-046"/>
    <x v="2"/>
    <n v="10"/>
    <n v="4880"/>
    <n v="12.7"/>
    <n v="42602.400000000001"/>
    <s v="Completed"/>
    <s v="Delhi"/>
    <x v="5"/>
    <s v="Retail"/>
    <n v="53"/>
    <x v="1"/>
  </r>
  <r>
    <s v="ORD-00043"/>
    <x v="40"/>
    <s v="CUST-0222"/>
    <s v="PROD-031"/>
    <x v="7"/>
    <n v="2"/>
    <n v="3730"/>
    <n v="25.8"/>
    <n v="5535.32"/>
    <s v="Completed"/>
    <s v="Chennai"/>
    <x v="3"/>
    <s v="Retail"/>
    <n v="37"/>
    <x v="3"/>
  </r>
  <r>
    <s v="ORD-00044"/>
    <x v="8"/>
    <s v="CUST-0095"/>
    <s v="PROD-047"/>
    <x v="20"/>
    <n v="4"/>
    <n v="3450"/>
    <n v="20.7"/>
    <n v="10943.4"/>
    <s v="Completed"/>
    <s v="Mumbai"/>
    <x v="5"/>
    <s v="SMB"/>
    <n v="54"/>
    <x v="2"/>
  </r>
  <r>
    <s v="ORD-00045"/>
    <x v="41"/>
    <s v="CUST-0152"/>
    <s v="PROD-019"/>
    <x v="7"/>
    <n v="2"/>
    <n v="2480"/>
    <n v="17.3"/>
    <n v="4101.92"/>
    <s v="Completed"/>
    <s v="Bengaluru"/>
    <x v="0"/>
    <s v="SMB"/>
    <n v="64"/>
    <x v="3"/>
  </r>
  <r>
    <s v="ORD-00046"/>
    <x v="42"/>
    <s v="CUST-0291"/>
    <s v="PROD-027"/>
    <x v="15"/>
    <n v="9"/>
    <n v="3780"/>
    <n v="8.6999999999999993"/>
    <n v="31060.26"/>
    <s v="Pending"/>
    <s v="Pune"/>
    <x v="2"/>
    <s v="SMB"/>
    <n v="29"/>
    <x v="1"/>
  </r>
  <r>
    <s v="ORD-00047"/>
    <x v="1"/>
    <s v="CUST-0112"/>
    <s v="PROD-013"/>
    <x v="21"/>
    <n v="4"/>
    <n v="3640"/>
    <n v="20.7"/>
    <n v="11546.08"/>
    <s v="Completed"/>
    <s v="Hyderabad"/>
    <x v="0"/>
    <s v="Retail"/>
    <n v="64"/>
    <x v="3"/>
  </r>
  <r>
    <s v="ORD-00048"/>
    <x v="43"/>
    <s v="CUST-9800"/>
    <s v="PROD-050"/>
    <x v="11"/>
    <n v="8"/>
    <n v="6080"/>
    <n v="24.4"/>
    <n v="36771.839999999997"/>
    <s v="Completed"/>
    <s v="Pune"/>
    <x v="5"/>
    <e v="#N/A"/>
    <e v="#N/A"/>
    <x v="0"/>
  </r>
  <r>
    <s v="ORD-00049"/>
    <x v="44"/>
    <s v="CUST-0143"/>
    <s v="PROD-030"/>
    <x v="0"/>
    <n v="10"/>
    <n v="970"/>
    <n v="0.6"/>
    <n v="9641.7999999999993"/>
    <s v="Cancelled"/>
    <s v="Chennai"/>
    <x v="2"/>
    <s v="SMB"/>
    <n v="52"/>
    <x v="0"/>
  </r>
  <r>
    <s v="ORD-00050"/>
    <x v="45"/>
    <s v="CUST-0226"/>
    <s v="PROD-022"/>
    <x v="8"/>
    <n v="1"/>
    <n v="2270"/>
    <n v="11.5"/>
    <n v="2008.95"/>
    <s v="Pending"/>
    <s v="Chennai"/>
    <x v="2"/>
    <s v="Corporate"/>
    <n v="52"/>
    <x v="2"/>
  </r>
  <r>
    <s v="ORD-00051"/>
    <x v="46"/>
    <s v="CUST-0234"/>
    <s v="PROD-004"/>
    <x v="12"/>
    <n v="7"/>
    <n v="3870"/>
    <n v="0.3"/>
    <n v="27008.73"/>
    <s v="Cancelled"/>
    <s v="Bengaluru"/>
    <x v="4"/>
    <s v="Retail"/>
    <n v="34"/>
    <x v="3"/>
  </r>
  <r>
    <s v="ORD-00052"/>
    <x v="47"/>
    <s v="CUST-0176"/>
    <s v="PROD-046"/>
    <x v="18"/>
    <n v="1"/>
    <n v="4880"/>
    <n v="23.9"/>
    <n v="3713.68"/>
    <s v="Pending"/>
    <s v="Bengaluru"/>
    <x v="5"/>
    <s v="SMB"/>
    <n v="34"/>
    <x v="1"/>
  </r>
  <r>
    <s v="ORD-00053"/>
    <x v="48"/>
    <s v="CUST-0180"/>
    <s v="PROD-027"/>
    <x v="22"/>
    <n v="5"/>
    <n v="3780"/>
    <n v="18.5"/>
    <n v="15403.5"/>
    <s v="Completed"/>
    <s v="Chennai"/>
    <x v="2"/>
    <s v="Retail"/>
    <n v="36"/>
    <x v="1"/>
  </r>
  <r>
    <s v="ORD-00054"/>
    <x v="49"/>
    <s v="CUST-0088"/>
    <s v="PROD-036"/>
    <x v="16"/>
    <n v="10"/>
    <n v="3250"/>
    <n v="25.5"/>
    <n v="24212.5"/>
    <s v="Completed"/>
    <s v="Chennai"/>
    <x v="3"/>
    <s v="Retail"/>
    <n v="24"/>
    <x v="3"/>
  </r>
  <r>
    <s v="ORD-00055"/>
    <x v="50"/>
    <s v="CUST-0267"/>
    <s v="PROD-013"/>
    <x v="0"/>
    <n v="4"/>
    <n v="3640"/>
    <n v="9.9"/>
    <n v="13118.56"/>
    <s v="Refunded"/>
    <s v="Hyderabad"/>
    <x v="0"/>
    <s v="Retail"/>
    <n v="27"/>
    <x v="0"/>
  </r>
  <r>
    <s v="ORD-00056"/>
    <x v="51"/>
    <s v="CUST-0194"/>
    <s v="PROD-041"/>
    <x v="12"/>
    <n v="4"/>
    <n v="1540"/>
    <n v="28.8"/>
    <n v="4385.92"/>
    <s v="Completed"/>
    <s v="Delhi"/>
    <x v="5"/>
    <s v="SMB"/>
    <n v="55"/>
    <x v="3"/>
  </r>
  <r>
    <s v="ORD-00057"/>
    <x v="48"/>
    <s v="CUST-0261"/>
    <s v="PROD-040"/>
    <x v="21"/>
    <n v="1"/>
    <n v="1080"/>
    <n v="23"/>
    <n v="831.6"/>
    <s v="Cancelled"/>
    <s v="Delhi"/>
    <x v="3"/>
    <s v="Retail"/>
    <n v="54"/>
    <x v="3"/>
  </r>
  <r>
    <s v="ORD-00058"/>
    <x v="52"/>
    <s v="CUST-0031"/>
    <s v="PROD-026"/>
    <x v="0"/>
    <n v="1"/>
    <n v="4070"/>
    <n v="6.7"/>
    <n v="3797.31"/>
    <s v="Completed"/>
    <s v="Hyderabad"/>
    <x v="2"/>
    <s v="Retail"/>
    <n v="53"/>
    <x v="0"/>
  </r>
  <r>
    <s v="ORD-00059"/>
    <x v="53"/>
    <s v="CUST-0175"/>
    <s v="PROD-009"/>
    <x v="14"/>
    <n v="2"/>
    <n v="1220"/>
    <n v="11.7"/>
    <n v="2154.52"/>
    <s v="Cancelled"/>
    <s v="Delhi"/>
    <x v="4"/>
    <s v="Corporate"/>
    <n v="55"/>
    <x v="2"/>
  </r>
  <r>
    <s v="ORD-00060"/>
    <x v="54"/>
    <s v="CUST-0263"/>
    <s v="PROD-039"/>
    <x v="20"/>
    <n v="4"/>
    <n v="4610"/>
    <n v="26.9"/>
    <n v="13479.64"/>
    <s v="Pending"/>
    <s v="Mumbai"/>
    <x v="3"/>
    <s v="Retail"/>
    <n v="40"/>
    <x v="2"/>
  </r>
  <r>
    <s v="ORD-00061"/>
    <x v="55"/>
    <s v="CUST-0203"/>
    <s v="PROD-040"/>
    <x v="23"/>
    <n v="8"/>
    <n v="1080"/>
    <n v="28.4"/>
    <n v="6186.24"/>
    <s v="Completed"/>
    <s v="Chennai"/>
    <x v="3"/>
    <s v="SMB"/>
    <n v="55"/>
    <x v="1"/>
  </r>
  <r>
    <s v="ORD-00062"/>
    <x v="56"/>
    <s v="CUST-0258"/>
    <s v="PROD-045"/>
    <x v="3"/>
    <n v="10"/>
    <n v="3020"/>
    <n v="25.4"/>
    <n v="22529.200000000001"/>
    <s v="Completed"/>
    <s v="Pune"/>
    <x v="5"/>
    <s v="Retail"/>
    <n v="44"/>
    <x v="0"/>
  </r>
  <r>
    <s v="ORD-00063"/>
    <x v="57"/>
    <s v="CUST-0282"/>
    <s v="PROD-008"/>
    <x v="21"/>
    <n v="7"/>
    <n v="2660"/>
    <n v="5.3"/>
    <n v="17633.14"/>
    <s v="Completed"/>
    <s v="Hyderabad"/>
    <x v="4"/>
    <s v="Corporate"/>
    <n v="29"/>
    <x v="3"/>
  </r>
  <r>
    <s v="ORD-00064"/>
    <x v="37"/>
    <s v="CUST-0168"/>
    <s v="PROD-005"/>
    <x v="11"/>
    <n v="9"/>
    <n v="300"/>
    <n v="25.3"/>
    <n v="2016.9"/>
    <s v="Completed"/>
    <s v="Pune"/>
    <x v="4"/>
    <s v="Retail"/>
    <n v="25"/>
    <x v="0"/>
  </r>
  <r>
    <s v="ORD-00065"/>
    <x v="58"/>
    <s v="CUST-0040"/>
    <s v="PROD-010"/>
    <x v="24"/>
    <n v="10"/>
    <n v="2640"/>
    <n v="18.7"/>
    <n v="21463.200000000001"/>
    <s v="Cancelled"/>
    <s v="Chennai"/>
    <x v="4"/>
    <s v="Retail"/>
    <n v="28"/>
    <x v="3"/>
  </r>
  <r>
    <s v="ORD-00066"/>
    <x v="32"/>
    <s v="CUST-0283"/>
    <s v="PROD-020"/>
    <x v="16"/>
    <n v="8"/>
    <n v="820"/>
    <n v="24"/>
    <n v="4985.6000000000004"/>
    <s v="Completed"/>
    <s v="Delhi"/>
    <x v="0"/>
    <s v="SMB"/>
    <n v="50"/>
    <x v="3"/>
  </r>
  <r>
    <s v="ORD-00067"/>
    <x v="59"/>
    <s v="CUST-0202"/>
    <s v="PROD-021"/>
    <x v="8"/>
    <n v="1"/>
    <n v="2760"/>
    <n v="4.8"/>
    <n v="2627.52"/>
    <s v="Completed"/>
    <s v="Chennai"/>
    <x v="2"/>
    <s v="Retail"/>
    <n v="39"/>
    <x v="2"/>
  </r>
  <r>
    <s v="ORD-00068"/>
    <x v="60"/>
    <s v="CUST-0161"/>
    <s v="PROD-014"/>
    <x v="21"/>
    <n v="2"/>
    <n v="3620"/>
    <n v="19.100000000000001"/>
    <n v="5857.16"/>
    <s v="Completed"/>
    <s v="Chennai"/>
    <x v="0"/>
    <s v="Retail"/>
    <n v="38"/>
    <x v="3"/>
  </r>
  <r>
    <s v="ORD-00069"/>
    <x v="61"/>
    <s v="CUST-0033"/>
    <s v="PROD-016"/>
    <x v="5"/>
    <n v="1"/>
    <n v="620"/>
    <n v="1"/>
    <n v="613.79999999999995"/>
    <s v="Completed"/>
    <s v="Delhi"/>
    <x v="0"/>
    <s v="Retail"/>
    <n v="35"/>
    <x v="2"/>
  </r>
  <r>
    <s v="ORD-00070"/>
    <x v="62"/>
    <s v="CUST-0191"/>
    <s v="PROD-033"/>
    <x v="14"/>
    <n v="1"/>
    <n v="2030"/>
    <n v="3.3"/>
    <n v="1963.01"/>
    <s v="Completed"/>
    <s v="Hyderabad"/>
    <x v="3"/>
    <s v="SMB"/>
    <n v="43"/>
    <x v="2"/>
  </r>
  <r>
    <s v="ORD-00071"/>
    <x v="19"/>
    <s v="CUST-0180"/>
    <s v="PROD-012"/>
    <x v="25"/>
    <n v="10"/>
    <n v="3160"/>
    <n v="15.8"/>
    <n v="26607.200000000001"/>
    <s v="Completed"/>
    <s v="Chennai"/>
    <x v="0"/>
    <s v="Retail"/>
    <n v="36"/>
    <x v="0"/>
  </r>
  <r>
    <s v="ORD-00072"/>
    <x v="63"/>
    <s v="CUST-0129"/>
    <s v="PROD-030"/>
    <x v="19"/>
    <n v="5"/>
    <n v="970"/>
    <n v="12.2"/>
    <n v="4258.3"/>
    <s v="Completed"/>
    <s v="Hyderabad"/>
    <x v="2"/>
    <s v="Retail"/>
    <n v="29"/>
    <x v="0"/>
  </r>
  <r>
    <s v="ORD-00073"/>
    <x v="64"/>
    <s v="CUST-0189"/>
    <s v="PROD-043"/>
    <x v="11"/>
    <n v="9"/>
    <n v="3350"/>
    <n v="25.8"/>
    <n v="22371.3"/>
    <s v="Pending"/>
    <s v="Chennai"/>
    <x v="5"/>
    <s v="Retail"/>
    <n v="41"/>
    <x v="0"/>
  </r>
  <r>
    <s v="ORD-00074"/>
    <x v="65"/>
    <s v="CUST-0194"/>
    <s v="PROD-032"/>
    <x v="26"/>
    <n v="1"/>
    <n v="370"/>
    <n v="28.9"/>
    <n v="263.07"/>
    <s v="Completed"/>
    <s v="Delhi"/>
    <x v="3"/>
    <s v="SMB"/>
    <n v="55"/>
    <x v="3"/>
  </r>
  <r>
    <s v="ORD-00075"/>
    <x v="66"/>
    <s v="CUST-0200"/>
    <s v="PROD-030"/>
    <x v="9"/>
    <n v="3"/>
    <n v="970"/>
    <n v="4.3"/>
    <n v="2784.87"/>
    <s v="Cancelled"/>
    <s v="Hyderabad"/>
    <x v="2"/>
    <s v="Corporate"/>
    <n v="46"/>
    <x v="1"/>
  </r>
  <r>
    <s v="ORD-00076"/>
    <x v="67"/>
    <s v="CUST-0008"/>
    <s v="PROD-021"/>
    <x v="24"/>
    <n v="6"/>
    <n v="2760"/>
    <n v="19.899999999999999"/>
    <n v="13264.56"/>
    <s v="Pending"/>
    <s v="Pune"/>
    <x v="2"/>
    <s v="SMB"/>
    <n v="39"/>
    <x v="3"/>
  </r>
  <r>
    <s v="ORD-00077"/>
    <x v="68"/>
    <s v="CUST-0051"/>
    <s v="PROD-021"/>
    <x v="7"/>
    <n v="7"/>
    <n v="2760"/>
    <n v="25.2"/>
    <n v="14451.36"/>
    <s v="Completed"/>
    <s v="Pune"/>
    <x v="2"/>
    <s v="SMB"/>
    <n v="54"/>
    <x v="3"/>
  </r>
  <r>
    <s v="ORD-00078"/>
    <x v="69"/>
    <s v="CUST-0193"/>
    <s v="PROD-009"/>
    <x v="24"/>
    <n v="4"/>
    <n v="1220"/>
    <n v="8.4"/>
    <n v="4470.08"/>
    <s v="Completed"/>
    <s v="Bengaluru"/>
    <x v="4"/>
    <s v="Retail"/>
    <n v="42"/>
    <x v="3"/>
  </r>
  <r>
    <s v="ORD-00079"/>
    <x v="70"/>
    <s v="CUST-0020"/>
    <s v="PROD-002"/>
    <x v="8"/>
    <n v="2"/>
    <n v="2600"/>
    <n v="1.9"/>
    <n v="5101.2"/>
    <s v="Pending"/>
    <s v="Hyderabad"/>
    <x v="4"/>
    <s v="Retail"/>
    <n v="46"/>
    <x v="2"/>
  </r>
  <r>
    <s v="ORD-00080"/>
    <x v="71"/>
    <s v="CUST-0230"/>
    <s v="PROD-026"/>
    <x v="14"/>
    <n v="9"/>
    <n v="4070"/>
    <n v="28.8"/>
    <n v="26080.560000000001"/>
    <s v="Completed"/>
    <s v="Pune"/>
    <x v="2"/>
    <s v="Corporate"/>
    <n v="33"/>
    <x v="2"/>
  </r>
  <r>
    <s v="ORD-00081"/>
    <x v="50"/>
    <s v="CUST-0094"/>
    <s v="PROD-024"/>
    <x v="1"/>
    <n v="2"/>
    <n v="2270"/>
    <n v="18"/>
    <n v="3722.8"/>
    <s v="Refunded"/>
    <s v="Pune"/>
    <x v="2"/>
    <s v="SMB"/>
    <n v="60"/>
    <x v="0"/>
  </r>
  <r>
    <s v="ORD-00082"/>
    <x v="72"/>
    <s v="CUST-0248"/>
    <s v="PROD-012"/>
    <x v="21"/>
    <n v="2"/>
    <n v="3160"/>
    <n v="18.3"/>
    <n v="5163.4399999999996"/>
    <s v="Completed"/>
    <s v="Chennai"/>
    <x v="0"/>
    <s v="SMB"/>
    <n v="57"/>
    <x v="3"/>
  </r>
  <r>
    <s v="ORD-00083"/>
    <x v="73"/>
    <s v="CUST-0082"/>
    <s v="PROD-019"/>
    <x v="0"/>
    <n v="4"/>
    <n v="2480"/>
    <n v="1.1000000000000001"/>
    <n v="9810.8799999999992"/>
    <s v="Pending"/>
    <s v="Hyderabad"/>
    <x v="0"/>
    <s v="SMB"/>
    <n v="36"/>
    <x v="0"/>
  </r>
  <r>
    <s v="ORD-00084"/>
    <x v="74"/>
    <s v="CUST-0078"/>
    <s v="PROD-008"/>
    <x v="17"/>
    <n v="1"/>
    <n v="2660"/>
    <n v="21"/>
    <n v="2101.4"/>
    <s v="Completed"/>
    <s v="Delhi"/>
    <x v="4"/>
    <s v="Retail"/>
    <n v="31"/>
    <x v="2"/>
  </r>
  <r>
    <s v="ORD-00085"/>
    <x v="75"/>
    <s v="CUST-0032"/>
    <s v="PROD-045"/>
    <x v="27"/>
    <n v="5"/>
    <n v="3020"/>
    <n v="22.2"/>
    <n v="11747.8"/>
    <s v="Completed"/>
    <s v="Hyderabad"/>
    <x v="5"/>
    <s v="Retail"/>
    <n v="28"/>
    <x v="1"/>
  </r>
  <r>
    <s v="ORD-00086"/>
    <x v="76"/>
    <s v="CUST-0006"/>
    <s v="PROD-016"/>
    <x v="14"/>
    <n v="9"/>
    <n v="620"/>
    <n v="23.3"/>
    <n v="4279.8599999999997"/>
    <s v="Completed"/>
    <s v="Pune"/>
    <x v="0"/>
    <s v="SMB"/>
    <n v="44"/>
    <x v="2"/>
  </r>
  <r>
    <s v="ORD-00087"/>
    <x v="77"/>
    <s v="CUST-0084"/>
    <s v="PROD-053"/>
    <x v="17"/>
    <n v="2"/>
    <n v="470"/>
    <n v="5.4"/>
    <n v="889.24"/>
    <s v="Completed"/>
    <s v="Chennai"/>
    <x v="1"/>
    <s v="Retail"/>
    <n v="28"/>
    <x v="2"/>
  </r>
  <r>
    <s v="ORD-00088"/>
    <x v="78"/>
    <s v="CUST-0107"/>
    <s v="PROD-007"/>
    <x v="9"/>
    <n v="3"/>
    <n v="1430"/>
    <n v="6.5"/>
    <n v="4011.15"/>
    <s v="Completed"/>
    <s v="Pune"/>
    <x v="4"/>
    <s v="Retail"/>
    <n v="50"/>
    <x v="1"/>
  </r>
  <r>
    <s v="ORD-00089"/>
    <x v="79"/>
    <s v="CUST-0108"/>
    <s v="PROD-016"/>
    <x v="10"/>
    <n v="6"/>
    <n v="620"/>
    <n v="2.6"/>
    <n v="3623.28"/>
    <s v="Completed"/>
    <s v="Bengaluru"/>
    <x v="0"/>
    <s v="Corporate"/>
    <n v="59"/>
    <x v="0"/>
  </r>
  <r>
    <s v="ORD-00090"/>
    <x v="80"/>
    <s v="CUST-0139"/>
    <s v="PROD-003"/>
    <x v="27"/>
    <n v="4"/>
    <n v="3570"/>
    <n v="4.5"/>
    <n v="13637.4"/>
    <s v="Pending"/>
    <s v="Hyderabad"/>
    <x v="4"/>
    <s v="SMB"/>
    <n v="65"/>
    <x v="1"/>
  </r>
  <r>
    <s v="ORD-00091"/>
    <x v="81"/>
    <s v="CUST-0200"/>
    <s v="PROD-022"/>
    <x v="9"/>
    <n v="6"/>
    <n v="2270"/>
    <n v="2"/>
    <n v="13347.6"/>
    <s v="Completed"/>
    <s v="Hyderabad"/>
    <x v="2"/>
    <s v="Corporate"/>
    <n v="46"/>
    <x v="1"/>
  </r>
  <r>
    <s v="ORD-00092"/>
    <x v="60"/>
    <s v="CUST-0208"/>
    <s v="PROD-015"/>
    <x v="2"/>
    <n v="7"/>
    <n v="2720"/>
    <n v="15.4"/>
    <n v="16107.84"/>
    <s v="Completed"/>
    <s v="Mumbai"/>
    <x v="0"/>
    <s v="Retail"/>
    <n v="49"/>
    <x v="1"/>
  </r>
  <r>
    <s v="ORD-00093"/>
    <x v="82"/>
    <s v="CUST-0161"/>
    <s v="PROD-029"/>
    <x v="19"/>
    <n v="9"/>
    <n v="2210"/>
    <n v="12.4"/>
    <n v="17423.64"/>
    <s v="Completed"/>
    <s v="Chennai"/>
    <x v="2"/>
    <s v="Retail"/>
    <n v="38"/>
    <x v="0"/>
  </r>
  <r>
    <s v="ORD-00094"/>
    <x v="83"/>
    <s v="CUST-0042"/>
    <s v="PROD-060"/>
    <x v="17"/>
    <n v="6"/>
    <n v="190"/>
    <n v="19.2"/>
    <n v="921.12"/>
    <s v="Completed"/>
    <s v="Pune"/>
    <x v="1"/>
    <s v="Retail"/>
    <n v="25"/>
    <x v="2"/>
  </r>
  <r>
    <s v="ORD-00095"/>
    <x v="84"/>
    <s v="CUST-0133"/>
    <s v="PROD-048"/>
    <x v="28"/>
    <n v="10"/>
    <n v="5100"/>
    <n v="25.4"/>
    <n v="38046"/>
    <s v="Refunded"/>
    <s v="Chennai"/>
    <x v="5"/>
    <s v="Retail"/>
    <n v="26"/>
    <x v="2"/>
  </r>
  <r>
    <s v="ORD-00096"/>
    <x v="85"/>
    <s v="CUST-0219"/>
    <s v="PROD-054"/>
    <x v="29"/>
    <n v="5"/>
    <n v="1010"/>
    <n v="1.6"/>
    <n v="4969.2"/>
    <s v="Completed"/>
    <s v="Chennai"/>
    <x v="1"/>
    <s v="Corporate"/>
    <n v="38"/>
    <x v="1"/>
  </r>
  <r>
    <s v="ORD-00097"/>
    <x v="60"/>
    <s v="CUST-0031"/>
    <s v="PROD-031"/>
    <x v="5"/>
    <n v="1"/>
    <n v="3730"/>
    <n v="22.7"/>
    <n v="2883.29"/>
    <s v="Completed"/>
    <s v="Hyderabad"/>
    <x v="3"/>
    <s v="Retail"/>
    <n v="53"/>
    <x v="2"/>
  </r>
  <r>
    <s v="ORD-00098"/>
    <x v="41"/>
    <s v="CUST-0189"/>
    <s v="PROD-002"/>
    <x v="8"/>
    <n v="10"/>
    <n v="2600"/>
    <n v="20.7"/>
    <n v="20618"/>
    <s v="Completed"/>
    <s v="Chennai"/>
    <x v="4"/>
    <s v="Retail"/>
    <n v="41"/>
    <x v="2"/>
  </r>
  <r>
    <s v="ORD-00099"/>
    <x v="86"/>
    <s v="CUST-0170"/>
    <s v="PROD-025"/>
    <x v="3"/>
    <n v="4"/>
    <n v="4060"/>
    <n v="13.9"/>
    <n v="13982.64"/>
    <s v="Completed"/>
    <s v="Mumbai"/>
    <x v="2"/>
    <s v="SMB"/>
    <n v="22"/>
    <x v="0"/>
  </r>
  <r>
    <s v="ORD-00100"/>
    <x v="87"/>
    <s v="CUST-0164"/>
    <s v="PROD-050"/>
    <x v="28"/>
    <n v="6"/>
    <n v="6080"/>
    <n v="16.5"/>
    <n v="30460.799999999999"/>
    <s v="Completed"/>
    <s v="Chennai"/>
    <x v="5"/>
    <s v="Retail"/>
    <n v="60"/>
    <x v="2"/>
  </r>
  <r>
    <s v="ORD-00101"/>
    <x v="88"/>
    <s v="CUST-0006"/>
    <s v="PROD-017"/>
    <x v="8"/>
    <n v="6"/>
    <n v="2510"/>
    <n v="11.7"/>
    <n v="13297.98"/>
    <s v="Completed"/>
    <s v="Pune"/>
    <x v="0"/>
    <s v="SMB"/>
    <n v="44"/>
    <x v="2"/>
  </r>
  <r>
    <s v="ORD-00102"/>
    <x v="89"/>
    <s v="CUST-0181"/>
    <s v="PROD-036"/>
    <x v="17"/>
    <n v="5"/>
    <n v="3250"/>
    <n v="18.399999999999999"/>
    <n v="13260"/>
    <s v="Completed"/>
    <s v="Delhi"/>
    <x v="3"/>
    <s v="SMB"/>
    <n v="38"/>
    <x v="2"/>
  </r>
  <r>
    <s v="ORD-00103"/>
    <x v="90"/>
    <s v="CUST-0131"/>
    <s v="PROD-052"/>
    <x v="1"/>
    <n v="4"/>
    <n v="5410"/>
    <n v="9.8000000000000007"/>
    <n v="19519.28"/>
    <s v="Cancelled"/>
    <s v="Delhi"/>
    <x v="1"/>
    <s v="SMB"/>
    <n v="28"/>
    <x v="0"/>
  </r>
  <r>
    <s v="ORD-00104"/>
    <x v="91"/>
    <s v="CUST-0255"/>
    <s v="PROD-003"/>
    <x v="26"/>
    <n v="8"/>
    <n v="3570"/>
    <n v="11.1"/>
    <n v="25389.84"/>
    <s v="Completed"/>
    <s v="Chennai"/>
    <x v="4"/>
    <s v="Corporate"/>
    <n v="51"/>
    <x v="3"/>
  </r>
  <r>
    <s v="ORD-00105"/>
    <x v="92"/>
    <s v="CUST-0170"/>
    <s v="PROD-001"/>
    <x v="11"/>
    <n v="10"/>
    <n v="5330"/>
    <n v="21.2"/>
    <n v="42000.4"/>
    <s v="Completed"/>
    <s v="Mumbai"/>
    <x v="4"/>
    <s v="SMB"/>
    <n v="22"/>
    <x v="0"/>
  </r>
  <r>
    <s v="ORD-00106"/>
    <x v="93"/>
    <s v="CUST-0081"/>
    <s v="PROD-023"/>
    <x v="21"/>
    <n v="4"/>
    <n v="2380"/>
    <n v="26.2"/>
    <n v="7025.76"/>
    <s v="Completed"/>
    <s v="Mumbai"/>
    <x v="2"/>
    <s v="Retail"/>
    <n v="25"/>
    <x v="3"/>
  </r>
  <r>
    <s v="ORD-00107"/>
    <x v="94"/>
    <s v="CUST-0102"/>
    <s v="PROD-054"/>
    <x v="28"/>
    <n v="1"/>
    <n v="1010"/>
    <n v="19.5"/>
    <n v="813.05"/>
    <s v="Cancelled"/>
    <s v="Chennai"/>
    <x v="1"/>
    <s v="SMB"/>
    <n v="62"/>
    <x v="2"/>
  </r>
  <r>
    <s v="ORD-00108"/>
    <x v="85"/>
    <s v="CUST-0070"/>
    <s v="PROD-028"/>
    <x v="5"/>
    <n v="1"/>
    <n v="3660"/>
    <n v="1.3"/>
    <n v="3612.42"/>
    <s v="Completed"/>
    <s v="Mumbai"/>
    <x v="2"/>
    <s v="Retail"/>
    <n v="42"/>
    <x v="2"/>
  </r>
  <r>
    <s v="ORD-00109"/>
    <x v="95"/>
    <s v="CUST-0012"/>
    <s v="PROD-026"/>
    <x v="22"/>
    <n v="2"/>
    <n v="4070"/>
    <n v="29"/>
    <n v="5779.4"/>
    <s v="Cancelled"/>
    <s v="Pune"/>
    <x v="2"/>
    <s v="Retail"/>
    <n v="43"/>
    <x v="1"/>
  </r>
  <r>
    <s v="ORD-00110"/>
    <x v="96"/>
    <s v="CUST-0086"/>
    <s v="PROD-037"/>
    <x v="20"/>
    <n v="6"/>
    <n v="660"/>
    <n v="20.2"/>
    <n v="3160.08"/>
    <s v="Pending"/>
    <s v="Hyderabad"/>
    <x v="3"/>
    <s v="Corporate"/>
    <n v="56"/>
    <x v="2"/>
  </r>
  <r>
    <s v="ORD-00111"/>
    <x v="97"/>
    <s v="CUST-0145"/>
    <s v="PROD-040"/>
    <x v="6"/>
    <n v="3"/>
    <n v="1080"/>
    <n v="29.7"/>
    <n v="2277.7199999999998"/>
    <s v="Completed"/>
    <s v="Bengaluru"/>
    <x v="3"/>
    <s v="SMB"/>
    <n v="44"/>
    <x v="2"/>
  </r>
  <r>
    <s v="ORD-00112"/>
    <x v="98"/>
    <s v="CUST-0287"/>
    <s v="PROD-020"/>
    <x v="3"/>
    <n v="7"/>
    <n v="820"/>
    <n v="13.5"/>
    <n v="4965.1000000000004"/>
    <s v="Cancelled"/>
    <s v="Chennai"/>
    <x v="0"/>
    <s v="SMB"/>
    <n v="53"/>
    <x v="0"/>
  </r>
  <r>
    <s v="ORD-00113"/>
    <x v="18"/>
    <s v="CUST-0280"/>
    <s v="PROD-049"/>
    <x v="28"/>
    <n v="4"/>
    <n v="960"/>
    <n v="26"/>
    <n v="2841.6"/>
    <s v="Completed"/>
    <s v="Delhi"/>
    <x v="5"/>
    <s v="SMB"/>
    <n v="27"/>
    <x v="2"/>
  </r>
  <r>
    <s v="ORD-00114"/>
    <x v="99"/>
    <s v="CUST-0096"/>
    <s v="PROD-002"/>
    <x v="2"/>
    <n v="3"/>
    <n v="2600"/>
    <n v="18.2"/>
    <n v="6380.4"/>
    <s v="Completed"/>
    <s v="Delhi"/>
    <x v="4"/>
    <s v="Corporate"/>
    <n v="27"/>
    <x v="1"/>
  </r>
  <r>
    <s v="ORD-00115"/>
    <x v="43"/>
    <s v="CUST-0184"/>
    <s v="PROD-033"/>
    <x v="20"/>
    <n v="9"/>
    <n v="2030"/>
    <n v="26.1"/>
    <n v="13501.53"/>
    <s v="Completed"/>
    <s v="Pune"/>
    <x v="3"/>
    <s v="Retail"/>
    <n v="63"/>
    <x v="2"/>
  </r>
  <r>
    <s v="ORD-00116"/>
    <x v="100"/>
    <s v="CUST-0025"/>
    <s v="PROD-042"/>
    <x v="8"/>
    <n v="8"/>
    <n v="2290"/>
    <n v="20.8"/>
    <n v="14509.44"/>
    <s v="Completed"/>
    <s v="Bengaluru"/>
    <x v="5"/>
    <s v="Retail"/>
    <n v="23"/>
    <x v="2"/>
  </r>
  <r>
    <s v="ORD-00117"/>
    <x v="101"/>
    <s v="CUST-0149"/>
    <s v="PROD-031"/>
    <x v="20"/>
    <n v="3"/>
    <n v="3730"/>
    <n v="7.9"/>
    <n v="10305.99"/>
    <s v="Completed"/>
    <s v="Hyderabad"/>
    <x v="3"/>
    <s v="Retail"/>
    <n v="44"/>
    <x v="2"/>
  </r>
  <r>
    <s v="ORD-00118"/>
    <x v="102"/>
    <s v="CUST-0018"/>
    <s v="PROD-005"/>
    <x v="2"/>
    <n v="1"/>
    <n v="300"/>
    <n v="16.899999999999999"/>
    <n v="249.3"/>
    <s v="Pending"/>
    <s v="Pune"/>
    <x v="4"/>
    <s v="SMB"/>
    <n v="54"/>
    <x v="1"/>
  </r>
  <r>
    <s v="ORD-00119"/>
    <x v="103"/>
    <s v="CUST-0216"/>
    <s v="PROD-005"/>
    <x v="27"/>
    <n v="3"/>
    <n v="300"/>
    <n v="0.6"/>
    <n v="894.6"/>
    <s v="Completed"/>
    <s v="Mumbai"/>
    <x v="4"/>
    <s v="Retail"/>
    <n v="50"/>
    <x v="1"/>
  </r>
  <r>
    <s v="ORD-00120"/>
    <x v="90"/>
    <s v="CUST-0092"/>
    <s v="PROD-043"/>
    <x v="0"/>
    <n v="6"/>
    <n v="3350"/>
    <n v="2.2999999999999998"/>
    <n v="19637.7"/>
    <s v="Cancelled"/>
    <s v="Bengaluru"/>
    <x v="5"/>
    <s v="SMB"/>
    <n v="28"/>
    <x v="0"/>
  </r>
  <r>
    <s v="ORD-00121"/>
    <x v="104"/>
    <s v="CUST-0056"/>
    <s v="PROD-001"/>
    <x v="11"/>
    <n v="4"/>
    <n v="5330"/>
    <n v="29.3"/>
    <n v="15073.24"/>
    <s v="Completed"/>
    <s v="Bengaluru"/>
    <x v="4"/>
    <s v="SMB"/>
    <n v="46"/>
    <x v="0"/>
  </r>
  <r>
    <s v="ORD-00122"/>
    <x v="105"/>
    <s v="CUST-0113"/>
    <s v="PROD-014"/>
    <x v="25"/>
    <n v="6"/>
    <n v="3620"/>
    <n v="10.8"/>
    <n v="19374.240000000002"/>
    <s v="Completed"/>
    <s v="Delhi"/>
    <x v="0"/>
    <s v="Retail"/>
    <n v="30"/>
    <x v="0"/>
  </r>
  <r>
    <s v="ORD-00123"/>
    <x v="106"/>
    <s v="CUST-0253"/>
    <s v="PROD-014"/>
    <x v="1"/>
    <n v="6"/>
    <n v="3620"/>
    <n v="21.7"/>
    <n v="17006.759999999998"/>
    <s v="Completed"/>
    <s v="Delhi"/>
    <x v="0"/>
    <s v="SMB"/>
    <n v="53"/>
    <x v="0"/>
  </r>
  <r>
    <s v="ORD-00124"/>
    <x v="107"/>
    <s v="CUST-0187"/>
    <s v="PROD-057"/>
    <x v="4"/>
    <n v="8"/>
    <n v="960"/>
    <n v="27.9"/>
    <n v="5537.28"/>
    <s v="Completed"/>
    <s v="Chennai"/>
    <x v="1"/>
    <s v="SMB"/>
    <n v="51"/>
    <x v="0"/>
  </r>
  <r>
    <s v="ORD-00125"/>
    <x v="108"/>
    <s v="CUST-0028"/>
    <s v="PROD-044"/>
    <x v="5"/>
    <n v="5"/>
    <n v="1650"/>
    <n v="4.9000000000000004"/>
    <n v="7845.75"/>
    <s v="Completed"/>
    <s v="Bengaluru"/>
    <x v="5"/>
    <s v="Retail"/>
    <n v="59"/>
    <x v="2"/>
  </r>
  <r>
    <s v="ORD-00126"/>
    <x v="95"/>
    <s v="CUST-0224"/>
    <s v="PROD-049"/>
    <x v="9"/>
    <n v="9"/>
    <n v="960"/>
    <n v="25.1"/>
    <n v="6471.36"/>
    <s v="Refunded"/>
    <s v="Chennai"/>
    <x v="5"/>
    <s v="Corporate"/>
    <n v="24"/>
    <x v="1"/>
  </r>
  <r>
    <s v="ORD-00127"/>
    <x v="99"/>
    <s v="CUST-0150"/>
    <s v="PROD-006"/>
    <x v="11"/>
    <n v="7"/>
    <n v="3970"/>
    <n v="13.8"/>
    <n v="23954.98"/>
    <s v="Pending"/>
    <s v="Pune"/>
    <x v="4"/>
    <s v="SMB"/>
    <n v="53"/>
    <x v="0"/>
  </r>
  <r>
    <s v="ORD-00128"/>
    <x v="109"/>
    <s v="CUST-0129"/>
    <s v="PROD-030"/>
    <x v="1"/>
    <n v="7"/>
    <n v="970"/>
    <n v="21.6"/>
    <n v="5323.36"/>
    <s v="Pending"/>
    <s v="Hyderabad"/>
    <x v="2"/>
    <s v="Retail"/>
    <n v="29"/>
    <x v="0"/>
  </r>
  <r>
    <s v="ORD-00129"/>
    <x v="110"/>
    <s v="CUST-0239"/>
    <s v="PROD-033"/>
    <x v="19"/>
    <n v="10"/>
    <n v="2030"/>
    <n v="1.2"/>
    <n v="20056.400000000001"/>
    <s v="Completed"/>
    <s v="Mumbai"/>
    <x v="3"/>
    <s v="Retail"/>
    <n v="61"/>
    <x v="0"/>
  </r>
  <r>
    <s v="ORD-00130"/>
    <x v="93"/>
    <s v="CUST-0106"/>
    <s v="PROD-024"/>
    <x v="13"/>
    <n v="9"/>
    <n v="2270"/>
    <n v="13.2"/>
    <n v="17733.240000000002"/>
    <s v="Pending"/>
    <s v="Pune"/>
    <x v="2"/>
    <s v="Retail"/>
    <n v="22"/>
    <x v="3"/>
  </r>
  <r>
    <s v="ORD-00131"/>
    <x v="111"/>
    <s v="CUST-0273"/>
    <s v="PROD-046"/>
    <x v="11"/>
    <n v="8"/>
    <n v="4880"/>
    <n v="13.4"/>
    <n v="33808.639999999999"/>
    <s v="Completed"/>
    <s v="Hyderabad"/>
    <x v="5"/>
    <s v="Corporate"/>
    <n v="32"/>
    <x v="0"/>
  </r>
  <r>
    <s v="ORD-00132"/>
    <x v="112"/>
    <s v="CUST-0114"/>
    <s v="PROD-004"/>
    <x v="23"/>
    <n v="10"/>
    <n v="3870"/>
    <n v="23.9"/>
    <n v="29450.7"/>
    <s v="Completed"/>
    <s v="Bengaluru"/>
    <x v="4"/>
    <s v="Corporate"/>
    <n v="42"/>
    <x v="1"/>
  </r>
  <r>
    <s v="ORD-00133"/>
    <x v="113"/>
    <s v="CUST-0146"/>
    <s v="PROD-042"/>
    <x v="25"/>
    <n v="4"/>
    <n v="2290"/>
    <n v="15.2"/>
    <n v="7767.68"/>
    <s v="Completed"/>
    <s v="Hyderabad"/>
    <x v="5"/>
    <s v="Retail"/>
    <n v="22"/>
    <x v="0"/>
  </r>
  <r>
    <s v="ORD-00134"/>
    <x v="68"/>
    <s v="CUST-0298"/>
    <s v="PROD-023"/>
    <x v="16"/>
    <n v="8"/>
    <n v="2380"/>
    <n v="4.2"/>
    <n v="18240.32"/>
    <s v="Completed"/>
    <s v="Delhi"/>
    <x v="2"/>
    <s v="Retail"/>
    <n v="44"/>
    <x v="3"/>
  </r>
  <r>
    <s v="ORD-00135"/>
    <x v="114"/>
    <s v="CUST-0111"/>
    <s v="PROD-029"/>
    <x v="22"/>
    <n v="8"/>
    <n v="2210"/>
    <n v="11.5"/>
    <n v="15646.8"/>
    <s v="Completed"/>
    <s v="Chennai"/>
    <x v="2"/>
    <s v="SMB"/>
    <n v="64"/>
    <x v="1"/>
  </r>
  <r>
    <s v="ORD-01445"/>
    <x v="107"/>
    <s v="CUST-0291"/>
    <s v="PROD-001"/>
    <x v="24"/>
    <n v="4"/>
    <n v="5330"/>
    <n v="22.6"/>
    <n v="16501.68"/>
    <s v="Pending"/>
    <s v="Pune"/>
    <x v="4"/>
    <s v="SMB"/>
    <n v="29"/>
    <x v="3"/>
  </r>
  <r>
    <s v="ORD-00137"/>
    <x v="115"/>
    <s v="CUST-0024"/>
    <s v="PROD-006"/>
    <x v="24"/>
    <n v="8"/>
    <n v="3970"/>
    <n v="21.8"/>
    <n v="24836.32"/>
    <s v="Completed"/>
    <s v="Chennai"/>
    <x v="4"/>
    <s v="SMB"/>
    <n v="64"/>
    <x v="3"/>
  </r>
  <r>
    <s v="ORD-00138"/>
    <x v="14"/>
    <s v="CUST-0210"/>
    <s v="PROD-012"/>
    <x v="16"/>
    <n v="10"/>
    <n v="3160"/>
    <n v="16.100000000000001"/>
    <n v="26512.400000000001"/>
    <s v="Cancelled"/>
    <s v="Pune"/>
    <x v="0"/>
    <s v="Corporate"/>
    <n v="48"/>
    <x v="3"/>
  </r>
  <r>
    <s v="ORD-00139"/>
    <x v="54"/>
    <s v="CUST-0192"/>
    <s v="PROD-060"/>
    <x v="18"/>
    <n v="5"/>
    <n v="190"/>
    <n v="14.8"/>
    <n v="809.4"/>
    <s v="Completed"/>
    <s v="Bengaluru"/>
    <x v="1"/>
    <s v="Retail"/>
    <n v="55"/>
    <x v="1"/>
  </r>
  <r>
    <s v="ORD-00140"/>
    <x v="116"/>
    <s v="CUST-0078"/>
    <s v="PROD-021"/>
    <x v="0"/>
    <n v="6"/>
    <n v="2760"/>
    <n v="19.8"/>
    <n v="13281.12"/>
    <s v="Completed"/>
    <s v="Delhi"/>
    <x v="2"/>
    <s v="Retail"/>
    <n v="31"/>
    <x v="0"/>
  </r>
  <r>
    <s v="ORD-00141"/>
    <x v="117"/>
    <s v="CUST-0070"/>
    <s v="PROD-022"/>
    <x v="7"/>
    <n v="9"/>
    <n v="2270"/>
    <n v="20.8"/>
    <n v="16180.56"/>
    <s v="Cancelled"/>
    <s v="Mumbai"/>
    <x v="2"/>
    <s v="Retail"/>
    <n v="42"/>
    <x v="3"/>
  </r>
  <r>
    <s v="ORD-00142"/>
    <x v="60"/>
    <s v="CUST-0159"/>
    <s v="PROD-052"/>
    <x v="19"/>
    <n v="8"/>
    <n v="5410"/>
    <n v="12.9"/>
    <n v="37696.879999999997"/>
    <s v="Completed"/>
    <s v="Hyderabad"/>
    <x v="1"/>
    <s v="Retail"/>
    <n v="32"/>
    <x v="0"/>
  </r>
  <r>
    <s v="ORD-00143"/>
    <x v="118"/>
    <s v="CUST-0294"/>
    <s v="PROD-024"/>
    <x v="18"/>
    <n v="9"/>
    <n v="2270"/>
    <n v="6.8"/>
    <n v="19040.759999999998"/>
    <s v="Completed"/>
    <s v="Delhi"/>
    <x v="2"/>
    <s v="Corporate"/>
    <n v="31"/>
    <x v="1"/>
  </r>
  <r>
    <s v="ORD-00144"/>
    <x v="119"/>
    <s v="CUST-0280"/>
    <s v="PROD-012"/>
    <x v="19"/>
    <n v="3"/>
    <n v="3160"/>
    <n v="12.8"/>
    <n v="8266.56"/>
    <s v="Completed"/>
    <s v="Delhi"/>
    <x v="0"/>
    <s v="SMB"/>
    <n v="27"/>
    <x v="0"/>
  </r>
  <r>
    <s v="ORD-00145"/>
    <x v="120"/>
    <s v="CUST-0291"/>
    <s v="PROD-025"/>
    <x v="8"/>
    <n v="8"/>
    <n v="4060"/>
    <n v="20.9"/>
    <n v="25691.68"/>
    <s v="Completed"/>
    <s v="Pune"/>
    <x v="2"/>
    <s v="SMB"/>
    <n v="29"/>
    <x v="2"/>
  </r>
  <r>
    <s v="ORD-00146"/>
    <x v="121"/>
    <s v="CUST-9657"/>
    <s v="PROD-020"/>
    <x v="26"/>
    <n v="5"/>
    <n v="820"/>
    <n v="9.1"/>
    <n v="3726.9"/>
    <s v="Refunded"/>
    <s v="Pune"/>
    <x v="0"/>
    <e v="#N/A"/>
    <e v="#N/A"/>
    <x v="3"/>
  </r>
  <r>
    <s v="ORD-00147"/>
    <x v="122"/>
    <s v="CUST-0080"/>
    <s v="PROD-032"/>
    <x v="0"/>
    <n v="5"/>
    <n v="370"/>
    <n v="11.5"/>
    <n v="1637.25"/>
    <s v="Completed"/>
    <s v="Pune"/>
    <x v="3"/>
    <s v="SMB"/>
    <n v="30"/>
    <x v="0"/>
  </r>
  <r>
    <s v="ORD-00148"/>
    <x v="123"/>
    <s v="CUST-0172"/>
    <s v="PROD-034"/>
    <x v="25"/>
    <n v="9"/>
    <n v="5080"/>
    <n v="27.5"/>
    <n v="33147"/>
    <s v="Completed"/>
    <s v="Pune"/>
    <x v="3"/>
    <s v="Retail"/>
    <n v="65"/>
    <x v="0"/>
  </r>
  <r>
    <s v="ORD-00149"/>
    <x v="124"/>
    <s v="CUST-0051"/>
    <s v="PROD-026"/>
    <x v="27"/>
    <n v="6"/>
    <n v="4070"/>
    <n v="12.5"/>
    <n v="21367.5"/>
    <s v="Completed"/>
    <s v="Pune"/>
    <x v="2"/>
    <s v="SMB"/>
    <n v="54"/>
    <x v="1"/>
  </r>
  <r>
    <s v="ORD-00150"/>
    <x v="63"/>
    <s v="CUST-0080"/>
    <s v="PROD-005"/>
    <x v="6"/>
    <n v="5"/>
    <n v="300"/>
    <n v="25.8"/>
    <n v="1113"/>
    <s v="Completed"/>
    <s v="Pune"/>
    <x v="4"/>
    <s v="SMB"/>
    <n v="30"/>
    <x v="2"/>
  </r>
  <r>
    <s v="ORD-00151"/>
    <x v="125"/>
    <s v="CUST-0137"/>
    <s v="PROD-048"/>
    <x v="23"/>
    <n v="7"/>
    <n v="5100"/>
    <n v="28.8"/>
    <n v="25418.400000000001"/>
    <s v="Completed"/>
    <s v="Mumbai"/>
    <x v="5"/>
    <s v="Retail"/>
    <n v="41"/>
    <x v="1"/>
  </r>
  <r>
    <s v="ORD-00152"/>
    <x v="126"/>
    <s v="CUST-0222"/>
    <s v="PROD-038"/>
    <x v="27"/>
    <n v="2"/>
    <n v="5490"/>
    <n v="5.5"/>
    <n v="10376.1"/>
    <s v="Completed"/>
    <s v="Chennai"/>
    <x v="3"/>
    <s v="Retail"/>
    <n v="37"/>
    <x v="1"/>
  </r>
  <r>
    <s v="ORD-00153"/>
    <x v="127"/>
    <s v="CUST-0117"/>
    <s v="PROD-011"/>
    <x v="15"/>
    <n v="2"/>
    <n v="3450"/>
    <n v="1.2"/>
    <n v="6817.2"/>
    <s v="Completed"/>
    <s v="Delhi"/>
    <x v="0"/>
    <s v="SMB"/>
    <n v="34"/>
    <x v="1"/>
  </r>
  <r>
    <s v="ORD-00154"/>
    <x v="21"/>
    <s v="CUST-0104"/>
    <s v="PROD-029"/>
    <x v="25"/>
    <n v="10"/>
    <n v="2210"/>
    <n v="18.8"/>
    <n v="17945.2"/>
    <s v="Completed"/>
    <s v="Hyderabad"/>
    <x v="2"/>
    <s v="Corporate"/>
    <n v="43"/>
    <x v="0"/>
  </r>
  <r>
    <s v="ORD-00155"/>
    <x v="128"/>
    <s v="CUST-0082"/>
    <s v="PROD-036"/>
    <x v="22"/>
    <n v="2"/>
    <n v="3250"/>
    <n v="26.2"/>
    <n v="4797"/>
    <s v="Completed"/>
    <s v="Hyderabad"/>
    <x v="3"/>
    <s v="SMB"/>
    <n v="36"/>
    <x v="1"/>
  </r>
  <r>
    <s v="ORD-00156"/>
    <x v="129"/>
    <s v="CUST-0165"/>
    <s v="PROD-012"/>
    <x v="19"/>
    <n v="5"/>
    <n v="3160"/>
    <n v="0.9"/>
    <n v="15657.8"/>
    <s v="Completed"/>
    <s v="Pune"/>
    <x v="0"/>
    <s v="Retail"/>
    <n v="29"/>
    <x v="0"/>
  </r>
  <r>
    <s v="ORD-00157"/>
    <x v="130"/>
    <s v="CUST-0150"/>
    <s v="PROD-004"/>
    <x v="14"/>
    <n v="4"/>
    <n v="3870"/>
    <n v="29.6"/>
    <n v="10897.92"/>
    <s v="Cancelled"/>
    <s v="Pune"/>
    <x v="4"/>
    <s v="SMB"/>
    <n v="53"/>
    <x v="2"/>
  </r>
  <r>
    <s v="ORD-00158"/>
    <x v="131"/>
    <s v="CUST-0228"/>
    <s v="PROD-059"/>
    <x v="24"/>
    <n v="4"/>
    <n v="3780"/>
    <n v="3.5"/>
    <n v="14590.8"/>
    <s v="Cancelled"/>
    <s v="Pune"/>
    <x v="1"/>
    <s v="Corporate"/>
    <n v="37"/>
    <x v="3"/>
  </r>
  <r>
    <s v="ORD-00159"/>
    <x v="49"/>
    <s v="CUST-0197"/>
    <s v="PROD-045"/>
    <x v="13"/>
    <n v="4"/>
    <n v="3020"/>
    <n v="18.899999999999999"/>
    <n v="9796.8799999999992"/>
    <s v="Completed"/>
    <s v="Bengaluru"/>
    <x v="5"/>
    <s v="Retail"/>
    <n v="55"/>
    <x v="3"/>
  </r>
  <r>
    <s v="ORD-00160"/>
    <x v="132"/>
    <s v="CUST-0009"/>
    <s v="PROD-031"/>
    <x v="15"/>
    <n v="1"/>
    <n v="3730"/>
    <n v="10.8"/>
    <n v="3327.16"/>
    <s v="Refunded"/>
    <s v="Mumbai"/>
    <x v="3"/>
    <s v="Retail"/>
    <n v="61"/>
    <x v="1"/>
  </r>
  <r>
    <s v="ORD-00161"/>
    <x v="18"/>
    <s v="CUST-0139"/>
    <s v="PROD-046"/>
    <x v="26"/>
    <n v="8"/>
    <n v="4880"/>
    <n v="20.3"/>
    <n v="31114.880000000001"/>
    <s v="Completed"/>
    <s v="Hyderabad"/>
    <x v="5"/>
    <s v="SMB"/>
    <n v="65"/>
    <x v="3"/>
  </r>
  <r>
    <s v="ORD-00162"/>
    <x v="133"/>
    <s v="CUST-0184"/>
    <s v="PROD-030"/>
    <x v="17"/>
    <n v="9"/>
    <n v="970"/>
    <n v="18.2"/>
    <n v="7141.14"/>
    <s v="Completed"/>
    <s v="Pune"/>
    <x v="2"/>
    <s v="Retail"/>
    <n v="63"/>
    <x v="2"/>
  </r>
  <r>
    <s v="ORD-00163"/>
    <x v="33"/>
    <s v="CUST-0119"/>
    <s v="PROD-008"/>
    <x v="21"/>
    <n v="8"/>
    <n v="2660"/>
    <n v="17.600000000000001"/>
    <n v="17534.72"/>
    <s v="Completed"/>
    <s v="Bengaluru"/>
    <x v="4"/>
    <s v="SMB"/>
    <n v="43"/>
    <x v="3"/>
  </r>
  <r>
    <s v="ORD-00164"/>
    <x v="85"/>
    <s v="CUST-0280"/>
    <s v="PROD-020"/>
    <x v="15"/>
    <n v="2"/>
    <n v="820"/>
    <n v="18.100000000000001"/>
    <n v="1343.16"/>
    <s v="Cancelled"/>
    <s v="Delhi"/>
    <x v="0"/>
    <s v="SMB"/>
    <n v="27"/>
    <x v="1"/>
  </r>
  <r>
    <s v="ORD-00165"/>
    <x v="134"/>
    <s v="CUST-0240"/>
    <s v="PROD-033"/>
    <x v="18"/>
    <n v="7"/>
    <n v="2030"/>
    <n v="23.7"/>
    <n v="10842.23"/>
    <s v="Pending"/>
    <s v="Chennai"/>
    <x v="3"/>
    <s v="Corporate"/>
    <n v="35"/>
    <x v="1"/>
  </r>
  <r>
    <s v="ORD-00166"/>
    <x v="80"/>
    <s v="CUST-0067"/>
    <s v="PROD-016"/>
    <x v="18"/>
    <n v="5"/>
    <n v="620"/>
    <n v="13.8"/>
    <n v="2672.2"/>
    <s v="Completed"/>
    <s v="Delhi"/>
    <x v="0"/>
    <s v="SMB"/>
    <n v="59"/>
    <x v="1"/>
  </r>
  <r>
    <s v="ORD-00167"/>
    <x v="135"/>
    <s v="CUST-0117"/>
    <s v="PROD-022"/>
    <x v="24"/>
    <n v="7"/>
    <n v="2270"/>
    <n v="5.5"/>
    <n v="15016.05"/>
    <s v="Completed"/>
    <s v="Delhi"/>
    <x v="2"/>
    <s v="SMB"/>
    <n v="34"/>
    <x v="3"/>
  </r>
  <r>
    <s v="ORD-00168"/>
    <x v="136"/>
    <s v="CUST-0101"/>
    <s v="PROD-053"/>
    <x v="29"/>
    <n v="1"/>
    <n v="470"/>
    <n v="13.7"/>
    <n v="405.61"/>
    <s v="Pending"/>
    <s v="Hyderabad"/>
    <x v="1"/>
    <s v="SMB"/>
    <n v="40"/>
    <x v="1"/>
  </r>
  <r>
    <s v="ORD-00169"/>
    <x v="131"/>
    <s v="CUST-0184"/>
    <s v="PROD-001"/>
    <x v="0"/>
    <n v="6"/>
    <n v="5330"/>
    <n v="17.899999999999999"/>
    <n v="26255.58"/>
    <s v="Completed"/>
    <s v="Pune"/>
    <x v="4"/>
    <s v="Retail"/>
    <n v="63"/>
    <x v="0"/>
  </r>
  <r>
    <s v="ORD-00170"/>
    <x v="137"/>
    <s v="CUST-0087"/>
    <s v="PROD-050"/>
    <x v="25"/>
    <n v="1"/>
    <n v="6080"/>
    <n v="25.5"/>
    <n v="4529.6000000000004"/>
    <s v="Completed"/>
    <s v="Pune"/>
    <x v="5"/>
    <s v="SMB"/>
    <n v="49"/>
    <x v="0"/>
  </r>
  <r>
    <s v="ORD-00171"/>
    <x v="138"/>
    <s v="CUST-0261"/>
    <s v="PROD-027"/>
    <x v="24"/>
    <n v="5"/>
    <n v="3780"/>
    <n v="28.6"/>
    <n v="13494.6"/>
    <s v="Completed"/>
    <s v="Delhi"/>
    <x v="2"/>
    <s v="Retail"/>
    <n v="54"/>
    <x v="3"/>
  </r>
  <r>
    <s v="ORD-00172"/>
    <x v="139"/>
    <s v="CUST-0027"/>
    <s v="PROD-016"/>
    <x v="9"/>
    <n v="5"/>
    <n v="620"/>
    <n v="6.9"/>
    <n v="2886.1"/>
    <s v="Cancelled"/>
    <s v="Hyderabad"/>
    <x v="0"/>
    <s v="Corporate"/>
    <n v="52"/>
    <x v="1"/>
  </r>
  <r>
    <s v="ORD-00173"/>
    <x v="140"/>
    <s v="CUST-0210"/>
    <s v="PROD-017"/>
    <x v="28"/>
    <n v="8"/>
    <n v="2510"/>
    <n v="0.7"/>
    <n v="19939.439999999999"/>
    <s v="Completed"/>
    <s v="Pune"/>
    <x v="0"/>
    <s v="Corporate"/>
    <n v="48"/>
    <x v="2"/>
  </r>
  <r>
    <s v="ORD-00174"/>
    <x v="141"/>
    <s v="CUST-0163"/>
    <s v="PROD-015"/>
    <x v="16"/>
    <n v="1"/>
    <n v="2720"/>
    <n v="13.7"/>
    <n v="2347.36"/>
    <s v="Completed"/>
    <s v="Pune"/>
    <x v="0"/>
    <s v="Retail"/>
    <n v="49"/>
    <x v="3"/>
  </r>
  <r>
    <s v="ORD-00175"/>
    <x v="14"/>
    <s v="CUST-0059"/>
    <s v="PROD-053"/>
    <x v="26"/>
    <n v="9"/>
    <n v="470"/>
    <n v="23.6"/>
    <n v="3231.72"/>
    <s v="Completed"/>
    <s v="Pune"/>
    <x v="1"/>
    <s v="Corporate"/>
    <n v="29"/>
    <x v="3"/>
  </r>
  <r>
    <s v="ORD-00176"/>
    <x v="142"/>
    <s v="CUST-0020"/>
    <s v="PROD-036"/>
    <x v="26"/>
    <n v="10"/>
    <n v="3250"/>
    <n v="21"/>
    <n v="25675"/>
    <s v="Cancelled"/>
    <s v="Hyderabad"/>
    <x v="3"/>
    <s v="Retail"/>
    <n v="46"/>
    <x v="3"/>
  </r>
  <r>
    <s v="ORD-00177"/>
    <x v="51"/>
    <s v="CUST-0048"/>
    <s v="PROD-034"/>
    <x v="8"/>
    <n v="6"/>
    <n v="5080"/>
    <n v="16.8"/>
    <n v="25359.360000000001"/>
    <s v="Pending"/>
    <s v="Delhi"/>
    <x v="3"/>
    <s v="Retail"/>
    <n v="59"/>
    <x v="2"/>
  </r>
  <r>
    <s v="ORD-00178"/>
    <x v="42"/>
    <s v="CUST-0172"/>
    <s v="PROD-003"/>
    <x v="27"/>
    <n v="2"/>
    <n v="3570"/>
    <n v="6.7"/>
    <n v="6661.62"/>
    <s v="Cancelled"/>
    <s v="Pune"/>
    <x v="4"/>
    <s v="Retail"/>
    <n v="65"/>
    <x v="1"/>
  </r>
  <r>
    <s v="ORD-00179"/>
    <x v="143"/>
    <s v="CUST-0124"/>
    <s v="PROD-013"/>
    <x v="27"/>
    <n v="4"/>
    <n v="3640"/>
    <n v="18.399999999999999"/>
    <n v="11880.96"/>
    <s v="Completed"/>
    <s v="Pune"/>
    <x v="0"/>
    <s v="Retail"/>
    <n v="57"/>
    <x v="1"/>
  </r>
  <r>
    <s v="ORD-00180"/>
    <x v="111"/>
    <s v="CUST-0184"/>
    <s v="PROD-026"/>
    <x v="19"/>
    <n v="8"/>
    <n v="4070"/>
    <n v="6.6"/>
    <n v="30411.040000000001"/>
    <s v="Completed"/>
    <s v="Pune"/>
    <x v="2"/>
    <s v="Retail"/>
    <n v="63"/>
    <x v="0"/>
  </r>
  <r>
    <s v="ORD-00181"/>
    <x v="40"/>
    <s v="CUST-0259"/>
    <s v="PROD-011"/>
    <x v="27"/>
    <n v="6"/>
    <n v="3450"/>
    <n v="14.4"/>
    <n v="17719.2"/>
    <s v="Pending"/>
    <s v="Mumbai"/>
    <x v="0"/>
    <s v="Retail"/>
    <n v="34"/>
    <x v="1"/>
  </r>
  <r>
    <s v="ORD-00182"/>
    <x v="68"/>
    <s v="CUST-0204"/>
    <s v="PROD-034"/>
    <x v="20"/>
    <n v="7"/>
    <n v="5080"/>
    <n v="25.4"/>
    <n v="26527.759999999998"/>
    <s v="Pending"/>
    <s v="Hyderabad"/>
    <x v="3"/>
    <s v="Retail"/>
    <n v="60"/>
    <x v="2"/>
  </r>
  <r>
    <s v="ORD-00183"/>
    <x v="144"/>
    <s v="CUST-0032"/>
    <s v="PROD-021"/>
    <x v="8"/>
    <n v="10"/>
    <n v="2760"/>
    <n v="20.100000000000001"/>
    <n v="22052.400000000001"/>
    <s v="Completed"/>
    <s v="Hyderabad"/>
    <x v="2"/>
    <s v="Retail"/>
    <n v="28"/>
    <x v="2"/>
  </r>
  <r>
    <s v="ORD-00184"/>
    <x v="145"/>
    <s v="CUST-0239"/>
    <s v="PROD-044"/>
    <x v="29"/>
    <n v="6"/>
    <n v="1650"/>
    <n v="11.3"/>
    <n v="8781.2999999999993"/>
    <s v="Pending"/>
    <s v="Mumbai"/>
    <x v="5"/>
    <s v="Retail"/>
    <n v="61"/>
    <x v="1"/>
  </r>
  <r>
    <s v="ORD-00185"/>
    <x v="146"/>
    <s v="CUST-0191"/>
    <s v="PROD-004"/>
    <x v="0"/>
    <n v="9"/>
    <n v="3870"/>
    <n v="27.5"/>
    <n v="25251.75"/>
    <s v="Completed"/>
    <s v="Hyderabad"/>
    <x v="4"/>
    <s v="SMB"/>
    <n v="43"/>
    <x v="0"/>
  </r>
  <r>
    <s v="ORD-00186"/>
    <x v="147"/>
    <s v="CUST-0284"/>
    <s v="PROD-035"/>
    <x v="24"/>
    <n v="2"/>
    <n v="1090"/>
    <n v="18.7"/>
    <n v="1772.34"/>
    <s v="Refunded"/>
    <s v="Hyderabad"/>
    <x v="3"/>
    <s v="SMB"/>
    <n v="65"/>
    <x v="3"/>
  </r>
  <r>
    <s v="ORD-00187"/>
    <x v="148"/>
    <s v="CUST-0274"/>
    <s v="PROD-049"/>
    <x v="5"/>
    <n v="4"/>
    <n v="960"/>
    <n v="23.4"/>
    <n v="2941.44"/>
    <s v="Completed"/>
    <s v="Bengaluru"/>
    <x v="5"/>
    <s v="Corporate"/>
    <n v="36"/>
    <x v="2"/>
  </r>
  <r>
    <s v="ORD-00188"/>
    <x v="149"/>
    <s v="CUST-0234"/>
    <s v="PROD-043"/>
    <x v="13"/>
    <n v="3"/>
    <n v="3350"/>
    <n v="17.899999999999999"/>
    <n v="8251.0499999999993"/>
    <s v="Completed"/>
    <s v="Bengaluru"/>
    <x v="5"/>
    <s v="Retail"/>
    <n v="34"/>
    <x v="3"/>
  </r>
  <r>
    <s v="ORD-00189"/>
    <x v="150"/>
    <s v="CUST-0264"/>
    <s v="PROD-022"/>
    <x v="1"/>
    <n v="4"/>
    <n v="2270"/>
    <n v="29"/>
    <n v="6446.8"/>
    <s v="Completed"/>
    <s v="Pune"/>
    <x v="2"/>
    <s v="Retail"/>
    <n v="59"/>
    <x v="0"/>
  </r>
  <r>
    <s v="ORD-00190"/>
    <x v="151"/>
    <s v="CUST-0192"/>
    <s v="PROD-039"/>
    <x v="12"/>
    <n v="9"/>
    <n v="4610"/>
    <n v="28.3"/>
    <n v="29748.33"/>
    <s v="Pending"/>
    <s v="Bengaluru"/>
    <x v="3"/>
    <s v="Retail"/>
    <n v="55"/>
    <x v="3"/>
  </r>
  <r>
    <s v="ORD-00191"/>
    <x v="152"/>
    <s v="CUST-0041"/>
    <s v="PROD-012"/>
    <x v="18"/>
    <n v="3"/>
    <n v="3160"/>
    <n v="7.3"/>
    <n v="8787.9599999999991"/>
    <s v="Completed"/>
    <s v="Bengaluru"/>
    <x v="0"/>
    <s v="SMB"/>
    <n v="26"/>
    <x v="1"/>
  </r>
  <r>
    <s v="ORD-00192"/>
    <x v="52"/>
    <s v="CUST-0043"/>
    <s v="PROD-022"/>
    <x v="10"/>
    <n v="8"/>
    <n v="2270"/>
    <n v="15.6"/>
    <n v="15327.04"/>
    <s v="Completed"/>
    <s v="Hyderabad"/>
    <x v="2"/>
    <s v="Retail"/>
    <n v="61"/>
    <x v="0"/>
  </r>
  <r>
    <s v="ORD-00193"/>
    <x v="64"/>
    <s v="CUST-0147"/>
    <s v="PROD-045"/>
    <x v="8"/>
    <n v="8"/>
    <n v="3020"/>
    <n v="16.3"/>
    <n v="20221.919999999998"/>
    <s v="Cancelled"/>
    <s v="Pune"/>
    <x v="5"/>
    <s v="Retail"/>
    <n v="56"/>
    <x v="2"/>
  </r>
  <r>
    <s v="ORD-00194"/>
    <x v="7"/>
    <s v="CUST-0056"/>
    <s v="PROD-056"/>
    <x v="14"/>
    <n v="7"/>
    <n v="6940"/>
    <n v="8.5"/>
    <n v="44450.7"/>
    <s v="Completed"/>
    <s v="Bengaluru"/>
    <x v="1"/>
    <s v="SMB"/>
    <n v="46"/>
    <x v="2"/>
  </r>
  <r>
    <s v="ORD-00195"/>
    <x v="14"/>
    <s v="CUST-0059"/>
    <s v="PROD-041"/>
    <x v="27"/>
    <n v="8"/>
    <n v="1540"/>
    <n v="21"/>
    <n v="9732.7999999999993"/>
    <s v="Completed"/>
    <s v="Pune"/>
    <x v="5"/>
    <s v="Corporate"/>
    <n v="29"/>
    <x v="1"/>
  </r>
  <r>
    <s v="ORD-00196"/>
    <x v="82"/>
    <s v="CUST-0047"/>
    <s v="PROD-019"/>
    <x v="20"/>
    <n v="6"/>
    <n v="2480"/>
    <n v="27.9"/>
    <n v="10728.48"/>
    <s v="Completed"/>
    <s v="Pune"/>
    <x v="0"/>
    <s v="Retail"/>
    <n v="49"/>
    <x v="2"/>
  </r>
  <r>
    <s v="ORD-00197"/>
    <x v="153"/>
    <s v="CUST-0162"/>
    <s v="PROD-060"/>
    <x v="24"/>
    <n v="4"/>
    <n v="190"/>
    <n v="21.5"/>
    <n v="596.6"/>
    <s v="Completed"/>
    <s v="Mumbai"/>
    <x v="1"/>
    <s v="Corporate"/>
    <n v="35"/>
    <x v="3"/>
  </r>
  <r>
    <s v="ORD-00198"/>
    <x v="36"/>
    <s v="CUST-0121"/>
    <s v="PROD-055"/>
    <x v="2"/>
    <n v="1"/>
    <n v="2860"/>
    <n v="15.3"/>
    <n v="2422.42"/>
    <s v="Completed"/>
    <s v="Delhi"/>
    <x v="1"/>
    <s v="SMB"/>
    <n v="55"/>
    <x v="1"/>
  </r>
  <r>
    <s v="ORD-00199"/>
    <x v="154"/>
    <s v="CUST-0075"/>
    <s v="PROD-017"/>
    <x v="15"/>
    <n v="4"/>
    <n v="2510"/>
    <n v="10.1"/>
    <n v="9025.9599999999991"/>
    <s v="Refunded"/>
    <s v="Mumbai"/>
    <x v="0"/>
    <s v="Corporate"/>
    <n v="55"/>
    <x v="1"/>
  </r>
  <r>
    <s v="ORD-00200"/>
    <x v="78"/>
    <s v="CUST-0025"/>
    <s v="PROD-003"/>
    <x v="11"/>
    <n v="2"/>
    <n v="3570"/>
    <n v="11.6"/>
    <n v="6311.76"/>
    <s v="Pending"/>
    <s v="Bengaluru"/>
    <x v="4"/>
    <s v="Retail"/>
    <n v="23"/>
    <x v="0"/>
  </r>
  <r>
    <s v="ORD-00201"/>
    <x v="112"/>
    <s v="CUST-0048"/>
    <s v="PROD-031"/>
    <x v="29"/>
    <n v="7"/>
    <n v="3730"/>
    <n v="2.5"/>
    <n v="25457.25"/>
    <s v="Cancelled"/>
    <s v="Delhi"/>
    <x v="3"/>
    <s v="Retail"/>
    <n v="59"/>
    <x v="1"/>
  </r>
  <r>
    <s v="ORD-00202"/>
    <x v="155"/>
    <s v="CUST-0251"/>
    <s v="PROD-032"/>
    <x v="14"/>
    <n v="6"/>
    <n v="370"/>
    <n v="9.9"/>
    <n v="2000.22"/>
    <s v="Completed"/>
    <s v="Mumbai"/>
    <x v="3"/>
    <s v="Retail"/>
    <n v="44"/>
    <x v="2"/>
  </r>
  <r>
    <s v="ORD-00203"/>
    <x v="156"/>
    <s v="CUST-0125"/>
    <s v="PROD-008"/>
    <x v="2"/>
    <n v="4"/>
    <n v="2660"/>
    <n v="29.7"/>
    <n v="7479.92"/>
    <s v="Completed"/>
    <s v="Delhi"/>
    <x v="4"/>
    <s v="Retail"/>
    <n v="45"/>
    <x v="1"/>
  </r>
  <r>
    <s v="ORD-00204"/>
    <x v="152"/>
    <s v="CUST-0025"/>
    <s v="PROD-021"/>
    <x v="15"/>
    <n v="6"/>
    <n v="2760"/>
    <n v="0.9"/>
    <n v="16410.96"/>
    <s v="Completed"/>
    <s v="Bengaluru"/>
    <x v="2"/>
    <s v="Retail"/>
    <n v="23"/>
    <x v="1"/>
  </r>
  <r>
    <s v="ORD-00205"/>
    <x v="157"/>
    <s v="CUST-0068"/>
    <s v="PROD-043"/>
    <x v="18"/>
    <n v="6"/>
    <n v="3350"/>
    <n v="17.899999999999999"/>
    <n v="16502.099999999999"/>
    <s v="Completed"/>
    <s v="Delhi"/>
    <x v="5"/>
    <s v="SMB"/>
    <n v="48"/>
    <x v="1"/>
  </r>
  <r>
    <s v="ORD-00206"/>
    <x v="158"/>
    <s v="CUST-0080"/>
    <s v="PROD-005"/>
    <x v="21"/>
    <n v="8"/>
    <n v="300"/>
    <n v="20.6"/>
    <n v="1905.6"/>
    <s v="Refunded"/>
    <s v="Pune"/>
    <x v="4"/>
    <s v="SMB"/>
    <n v="30"/>
    <x v="3"/>
  </r>
  <r>
    <s v="ORD-00207"/>
    <x v="159"/>
    <s v="CUST-0251"/>
    <s v="PROD-015"/>
    <x v="25"/>
    <n v="5"/>
    <n v="2720"/>
    <n v="17.100000000000001"/>
    <n v="11274.4"/>
    <s v="Pending"/>
    <s v="Mumbai"/>
    <x v="0"/>
    <s v="Retail"/>
    <n v="44"/>
    <x v="0"/>
  </r>
  <r>
    <s v="ORD-00208"/>
    <x v="160"/>
    <s v="CUST-0077"/>
    <s v="PROD-004"/>
    <x v="15"/>
    <n v="1"/>
    <n v="3870"/>
    <n v="23.5"/>
    <n v="2960.55"/>
    <s v="Pending"/>
    <s v="Hyderabad"/>
    <x v="4"/>
    <s v="SMB"/>
    <n v="48"/>
    <x v="1"/>
  </r>
  <r>
    <s v="ORD-00209"/>
    <x v="161"/>
    <s v="CUST-0232"/>
    <s v="PROD-031"/>
    <x v="27"/>
    <n v="3"/>
    <n v="3730"/>
    <n v="0.7"/>
    <n v="11111.67"/>
    <s v="Pending"/>
    <s v="Hyderabad"/>
    <x v="3"/>
    <s v="Retail"/>
    <n v="38"/>
    <x v="1"/>
  </r>
  <r>
    <s v="ORD-00210"/>
    <x v="162"/>
    <s v="CUST-0277"/>
    <s v="PROD-019"/>
    <x v="27"/>
    <n v="8"/>
    <n v="2480"/>
    <n v="18.2"/>
    <n v="16229.12"/>
    <s v="Cancelled"/>
    <s v="Chennai"/>
    <x v="0"/>
    <s v="Corporate"/>
    <n v="34"/>
    <x v="1"/>
  </r>
  <r>
    <s v="ORD-00211"/>
    <x v="163"/>
    <s v="CUST-0149"/>
    <s v="PROD-057"/>
    <x v="7"/>
    <n v="2"/>
    <n v="960"/>
    <n v="2.2000000000000002"/>
    <n v="1877.76"/>
    <s v="Completed"/>
    <s v="Hyderabad"/>
    <x v="1"/>
    <s v="Retail"/>
    <n v="44"/>
    <x v="3"/>
  </r>
  <r>
    <s v="ORD-00212"/>
    <x v="164"/>
    <s v="CUST-0178"/>
    <s v="PROD-046"/>
    <x v="26"/>
    <n v="8"/>
    <n v="4880"/>
    <n v="11.9"/>
    <n v="34394.239999999998"/>
    <s v="Completed"/>
    <s v="Hyderabad"/>
    <x v="5"/>
    <s v="Retail"/>
    <n v="25"/>
    <x v="3"/>
  </r>
  <r>
    <s v="ORD-00213"/>
    <x v="165"/>
    <s v="CUST-0246"/>
    <s v="PROD-014"/>
    <x v="14"/>
    <n v="2"/>
    <n v="3620"/>
    <n v="1.1000000000000001"/>
    <n v="7160.36"/>
    <s v="Pending"/>
    <s v="Delhi"/>
    <x v="0"/>
    <s v="SMB"/>
    <n v="29"/>
    <x v="2"/>
  </r>
  <r>
    <s v="ORD-00214"/>
    <x v="52"/>
    <s v="CUST-0033"/>
    <s v="PROD-006"/>
    <x v="4"/>
    <n v="8"/>
    <n v="3970"/>
    <n v="18.100000000000001"/>
    <n v="26011.439999999999"/>
    <s v="Completed"/>
    <s v="Delhi"/>
    <x v="4"/>
    <s v="Retail"/>
    <n v="35"/>
    <x v="0"/>
  </r>
  <r>
    <s v="ORD-00215"/>
    <x v="166"/>
    <s v="CUST-0159"/>
    <s v="PROD-022"/>
    <x v="17"/>
    <n v="8"/>
    <n v="2270"/>
    <n v="19.600000000000001"/>
    <n v="14600.64"/>
    <s v="Completed"/>
    <s v="Hyderabad"/>
    <x v="2"/>
    <s v="Retail"/>
    <n v="32"/>
    <x v="2"/>
  </r>
  <r>
    <s v="ORD-00216"/>
    <x v="167"/>
    <s v="CUST-0175"/>
    <s v="PROD-027"/>
    <x v="22"/>
    <n v="1"/>
    <n v="3780"/>
    <n v="22.6"/>
    <n v="2925.72"/>
    <s v="Completed"/>
    <s v="Delhi"/>
    <x v="2"/>
    <s v="Corporate"/>
    <n v="55"/>
    <x v="1"/>
  </r>
  <r>
    <s v="ORD-00217"/>
    <x v="168"/>
    <s v="CUST-0079"/>
    <s v="PROD-026"/>
    <x v="24"/>
    <n v="9"/>
    <n v="4070"/>
    <n v="28.2"/>
    <n v="26300.34"/>
    <s v="Completed"/>
    <s v="Mumbai"/>
    <x v="2"/>
    <s v="Corporate"/>
    <n v="60"/>
    <x v="3"/>
  </r>
  <r>
    <s v="ORD-00218"/>
    <x v="75"/>
    <s v="CUST-0173"/>
    <s v="PROD-008"/>
    <x v="3"/>
    <n v="9"/>
    <n v="2660"/>
    <n v="13.1"/>
    <n v="20803.86"/>
    <s v="Pending"/>
    <s v="Mumbai"/>
    <x v="4"/>
    <s v="Retail"/>
    <n v="65"/>
    <x v="0"/>
  </r>
  <r>
    <s v="ORD-00219"/>
    <x v="169"/>
    <s v="CUST-0050"/>
    <s v="PROD-003"/>
    <x v="10"/>
    <n v="4"/>
    <n v="3570"/>
    <n v="1.5"/>
    <n v="14065.8"/>
    <s v="Cancelled"/>
    <s v="Mumbai"/>
    <x v="4"/>
    <s v="Retail"/>
    <n v="37"/>
    <x v="0"/>
  </r>
  <r>
    <s v="ORD-00220"/>
    <x v="101"/>
    <s v="CUST-0097"/>
    <s v="PROD-049"/>
    <x v="19"/>
    <n v="2"/>
    <n v="960"/>
    <n v="18.600000000000001"/>
    <n v="1562.88"/>
    <s v="Completed"/>
    <s v="Mumbai"/>
    <x v="5"/>
    <s v="Retail"/>
    <n v="65"/>
    <x v="0"/>
  </r>
  <r>
    <s v="ORD-00221"/>
    <x v="14"/>
    <s v="CUST-0026"/>
    <s v="PROD-047"/>
    <x v="26"/>
    <n v="2"/>
    <n v="3450"/>
    <n v="3.7"/>
    <n v="6644.7"/>
    <s v="Completed"/>
    <s v="Pune"/>
    <x v="5"/>
    <s v="Retail"/>
    <n v="62"/>
    <x v="3"/>
  </r>
  <r>
    <s v="ORD-00222"/>
    <x v="170"/>
    <s v="CUST-0185"/>
    <s v="PROD-048"/>
    <x v="0"/>
    <n v="6"/>
    <n v="5100"/>
    <n v="1.2"/>
    <n v="30232.799999999999"/>
    <s v="Completed"/>
    <s v="Hyderabad"/>
    <x v="5"/>
    <s v="SMB"/>
    <n v="43"/>
    <x v="0"/>
  </r>
  <r>
    <s v="ORD-00223"/>
    <x v="105"/>
    <s v="CUST-0135"/>
    <s v="PROD-005"/>
    <x v="1"/>
    <n v="9"/>
    <n v="300"/>
    <n v="25.4"/>
    <n v="2014.2"/>
    <s v="Cancelled"/>
    <s v="Pune"/>
    <x v="4"/>
    <s v="SMB"/>
    <n v="24"/>
    <x v="0"/>
  </r>
  <r>
    <s v="ORD-00224"/>
    <x v="171"/>
    <s v="CUST-0010"/>
    <s v="PROD-046"/>
    <x v="16"/>
    <n v="7"/>
    <n v="4880"/>
    <n v="16.899999999999999"/>
    <n v="28386.959999999999"/>
    <s v="Pending"/>
    <s v="Mumbai"/>
    <x v="5"/>
    <s v="SMB"/>
    <n v="61"/>
    <x v="3"/>
  </r>
  <r>
    <s v="ORD-00225"/>
    <x v="172"/>
    <s v="CUST-0271"/>
    <s v="PROD-036"/>
    <x v="12"/>
    <n v="9"/>
    <n v="3250"/>
    <n v="10.8"/>
    <n v="26091"/>
    <s v="Cancelled"/>
    <s v="Bengaluru"/>
    <x v="3"/>
    <s v="Corporate"/>
    <n v="41"/>
    <x v="3"/>
  </r>
  <r>
    <s v="ORD-00226"/>
    <x v="129"/>
    <s v="CUST-0172"/>
    <s v="PROD-047"/>
    <x v="3"/>
    <n v="3"/>
    <n v="3450"/>
    <n v="5.4"/>
    <n v="9791.1"/>
    <s v="Pending"/>
    <s v="Pune"/>
    <x v="5"/>
    <s v="Retail"/>
    <n v="65"/>
    <x v="0"/>
  </r>
  <r>
    <s v="ORD-00227"/>
    <x v="63"/>
    <s v="CUST-0296"/>
    <s v="PROD-050"/>
    <x v="13"/>
    <n v="5"/>
    <n v="6080"/>
    <n v="18"/>
    <n v="24928"/>
    <s v="Completed"/>
    <s v="Delhi"/>
    <x v="5"/>
    <s v="Corporate"/>
    <n v="47"/>
    <x v="3"/>
  </r>
  <r>
    <s v="ORD-00228"/>
    <x v="173"/>
    <s v="CUST-0080"/>
    <s v="PROD-050"/>
    <x v="24"/>
    <n v="7"/>
    <n v="6080"/>
    <n v="9.1999999999999993"/>
    <n v="38644.480000000003"/>
    <s v="Completed"/>
    <s v="Pune"/>
    <x v="5"/>
    <s v="SMB"/>
    <n v="30"/>
    <x v="3"/>
  </r>
  <r>
    <s v="ORD-00229"/>
    <x v="65"/>
    <s v="CUST-0232"/>
    <s v="PROD-024"/>
    <x v="2"/>
    <n v="5"/>
    <n v="2270"/>
    <n v="0.4"/>
    <n v="11304.6"/>
    <s v="Cancelled"/>
    <s v="Hyderabad"/>
    <x v="2"/>
    <s v="Retail"/>
    <n v="38"/>
    <x v="1"/>
  </r>
  <r>
    <s v="ORD-00230"/>
    <x v="41"/>
    <s v="CUST-0070"/>
    <s v="PROD-046"/>
    <x v="29"/>
    <n v="10"/>
    <n v="4880"/>
    <n v="24.5"/>
    <n v="36844"/>
    <s v="Refunded"/>
    <s v="Mumbai"/>
    <x v="5"/>
    <s v="Retail"/>
    <n v="42"/>
    <x v="1"/>
  </r>
  <r>
    <s v="ORD-00231"/>
    <x v="174"/>
    <s v="CUST-0142"/>
    <s v="PROD-023"/>
    <x v="25"/>
    <n v="2"/>
    <n v="2380"/>
    <n v="2.2999999999999998"/>
    <n v="4650.5200000000004"/>
    <s v="Completed"/>
    <s v="Chennai"/>
    <x v="2"/>
    <s v="Corporate"/>
    <n v="55"/>
    <x v="0"/>
  </r>
  <r>
    <s v="ORD-00232"/>
    <x v="71"/>
    <s v="CUST-0161"/>
    <s v="PROD-054"/>
    <x v="5"/>
    <n v="1"/>
    <n v="1010"/>
    <n v="29.9"/>
    <n v="708.01"/>
    <s v="Completed"/>
    <s v="Chennai"/>
    <x v="1"/>
    <s v="Retail"/>
    <n v="38"/>
    <x v="2"/>
  </r>
  <r>
    <s v="ORD-00233"/>
    <x v="175"/>
    <s v="CUST-0020"/>
    <s v="PROD-056"/>
    <x v="20"/>
    <n v="7"/>
    <n v="6940"/>
    <n v="25.8"/>
    <n v="36046.36"/>
    <s v="Completed"/>
    <s v="Hyderabad"/>
    <x v="1"/>
    <s v="Retail"/>
    <n v="46"/>
    <x v="2"/>
  </r>
  <r>
    <s v="ORD-00234"/>
    <x v="176"/>
    <s v="CUST-0173"/>
    <s v="PROD-042"/>
    <x v="6"/>
    <n v="6"/>
    <n v="2290"/>
    <n v="25.9"/>
    <n v="10181.34"/>
    <s v="Pending"/>
    <s v="Mumbai"/>
    <x v="5"/>
    <s v="Retail"/>
    <n v="65"/>
    <x v="2"/>
  </r>
  <r>
    <s v="ORD-00235"/>
    <x v="118"/>
    <s v="CUST-0280"/>
    <s v="PROD-032"/>
    <x v="2"/>
    <n v="2"/>
    <n v="370"/>
    <n v="3.9"/>
    <n v="711.14"/>
    <s v="Completed"/>
    <s v="Delhi"/>
    <x v="3"/>
    <s v="SMB"/>
    <n v="27"/>
    <x v="1"/>
  </r>
  <r>
    <s v="ORD-00236"/>
    <x v="177"/>
    <s v="CUST-0073"/>
    <s v="PROD-022"/>
    <x v="16"/>
    <n v="1"/>
    <n v="2270"/>
    <n v="25.3"/>
    <n v="1695.69"/>
    <s v="Completed"/>
    <s v="Pune"/>
    <x v="2"/>
    <s v="Corporate"/>
    <n v="40"/>
    <x v="3"/>
  </r>
  <r>
    <s v="ORD-00237"/>
    <x v="112"/>
    <s v="CUST-0242"/>
    <s v="PROD-050"/>
    <x v="25"/>
    <n v="4"/>
    <n v="6080"/>
    <n v="28.8"/>
    <n v="17315.84"/>
    <s v="Pending"/>
    <s v="Chennai"/>
    <x v="5"/>
    <s v="SMB"/>
    <n v="59"/>
    <x v="0"/>
  </r>
  <r>
    <s v="ORD-00238"/>
    <x v="44"/>
    <s v="CUST-0234"/>
    <s v="PROD-001"/>
    <x v="26"/>
    <n v="2"/>
    <n v="5330"/>
    <n v="23.8"/>
    <n v="8122.92"/>
    <s v="Pending"/>
    <s v="Bengaluru"/>
    <x v="4"/>
    <s v="Retail"/>
    <n v="34"/>
    <x v="3"/>
  </r>
  <r>
    <s v="ORD-00239"/>
    <x v="112"/>
    <s v="CUST-0085"/>
    <s v="PROD-026"/>
    <x v="6"/>
    <n v="2"/>
    <n v="4070"/>
    <n v="4.3"/>
    <n v="7789.98"/>
    <s v="Completed"/>
    <s v="Chennai"/>
    <x v="2"/>
    <s v="Retail"/>
    <n v="26"/>
    <x v="2"/>
  </r>
  <r>
    <s v="ORD-00240"/>
    <x v="178"/>
    <s v="CUST-0228"/>
    <s v="PROD-005"/>
    <x v="10"/>
    <n v="6"/>
    <n v="300"/>
    <n v="17.399999999999999"/>
    <n v="1486.8"/>
    <s v="Cancelled"/>
    <s v="Pune"/>
    <x v="4"/>
    <s v="Corporate"/>
    <n v="37"/>
    <x v="0"/>
  </r>
  <r>
    <s v="ORD-00241"/>
    <x v="56"/>
    <s v="CUST-0147"/>
    <s v="PROD-046"/>
    <x v="2"/>
    <n v="1"/>
    <n v="4880"/>
    <n v="17.5"/>
    <n v="4026"/>
    <s v="Completed"/>
    <s v="Pune"/>
    <x v="5"/>
    <s v="Retail"/>
    <n v="56"/>
    <x v="1"/>
  </r>
  <r>
    <s v="ORD-00242"/>
    <x v="179"/>
    <s v="CUST-0171"/>
    <s v="PROD-055"/>
    <x v="28"/>
    <n v="3"/>
    <n v="2860"/>
    <n v="20.100000000000001"/>
    <n v="6855.42"/>
    <s v="Completed"/>
    <s v="Chennai"/>
    <x v="1"/>
    <s v="Corporate"/>
    <n v="30"/>
    <x v="2"/>
  </r>
  <r>
    <s v="ORD-00243"/>
    <x v="180"/>
    <s v="CUST-0051"/>
    <s v="PROD-041"/>
    <x v="25"/>
    <n v="3"/>
    <n v="1540"/>
    <n v="20.9"/>
    <n v="3654.42"/>
    <s v="Completed"/>
    <s v="Pune"/>
    <x v="5"/>
    <s v="SMB"/>
    <n v="54"/>
    <x v="0"/>
  </r>
  <r>
    <s v="ORD-00244"/>
    <x v="31"/>
    <s v="CUST-0285"/>
    <s v="PROD-010"/>
    <x v="9"/>
    <n v="10"/>
    <n v="2640"/>
    <n v="11.2"/>
    <n v="23443.200000000001"/>
    <s v="Pending"/>
    <s v="Hyderabad"/>
    <x v="4"/>
    <s v="Retail"/>
    <n v="22"/>
    <x v="1"/>
  </r>
  <r>
    <s v="ORD-00245"/>
    <x v="58"/>
    <s v="CUST-0114"/>
    <s v="PROD-012"/>
    <x v="22"/>
    <n v="1"/>
    <n v="3160"/>
    <n v="11.5"/>
    <n v="2796.6"/>
    <s v="Completed"/>
    <s v="Bengaluru"/>
    <x v="0"/>
    <s v="Corporate"/>
    <n v="42"/>
    <x v="1"/>
  </r>
  <r>
    <s v="ORD-00246"/>
    <x v="181"/>
    <s v="CUST-0295"/>
    <s v="PROD-040"/>
    <x v="0"/>
    <n v="4"/>
    <n v="1080"/>
    <n v="20.7"/>
    <n v="3425.76"/>
    <s v="Pending"/>
    <s v="Delhi"/>
    <x v="3"/>
    <s v="SMB"/>
    <n v="48"/>
    <x v="0"/>
  </r>
  <r>
    <s v="ORD-00247"/>
    <x v="65"/>
    <s v="CUST-0218"/>
    <s v="PROD-054"/>
    <x v="22"/>
    <n v="4"/>
    <n v="1010"/>
    <n v="29.5"/>
    <n v="2848.2"/>
    <s v="Pending"/>
    <s v="Mumbai"/>
    <x v="1"/>
    <s v="Retail"/>
    <n v="39"/>
    <x v="1"/>
  </r>
  <r>
    <s v="ORD-00248"/>
    <x v="182"/>
    <s v="CUST-0090"/>
    <s v="PROD-002"/>
    <x v="28"/>
    <n v="7"/>
    <n v="2600"/>
    <n v="6.6"/>
    <n v="16998.8"/>
    <s v="Completed"/>
    <s v="Bengaluru"/>
    <x v="4"/>
    <s v="Corporate"/>
    <n v="26"/>
    <x v="2"/>
  </r>
  <r>
    <s v="ORD-00249"/>
    <x v="183"/>
    <s v="CUST-0194"/>
    <s v="PROD-017"/>
    <x v="18"/>
    <n v="4"/>
    <n v="2510"/>
    <n v="1"/>
    <n v="9939.6"/>
    <s v="Completed"/>
    <s v="Delhi"/>
    <x v="0"/>
    <s v="SMB"/>
    <n v="55"/>
    <x v="1"/>
  </r>
  <r>
    <s v="ORD-00250"/>
    <x v="184"/>
    <s v="CUST-0231"/>
    <s v="PROD-026"/>
    <x v="24"/>
    <n v="9"/>
    <n v="4070"/>
    <n v="6.7"/>
    <n v="34175.79"/>
    <s v="Cancelled"/>
    <s v="Chennai"/>
    <x v="2"/>
    <s v="Retail"/>
    <n v="61"/>
    <x v="3"/>
  </r>
  <r>
    <s v="ORD-00251"/>
    <x v="109"/>
    <s v="CUST-0055"/>
    <s v="PROD-020"/>
    <x v="9"/>
    <n v="6"/>
    <n v="820"/>
    <n v="14"/>
    <n v="4231.2"/>
    <s v="Completed"/>
    <s v="Bengaluru"/>
    <x v="0"/>
    <s v="Retail"/>
    <n v="34"/>
    <x v="1"/>
  </r>
  <r>
    <s v="ORD-00252"/>
    <x v="185"/>
    <s v="CUST-0262"/>
    <s v="PROD-030"/>
    <x v="1"/>
    <n v="2"/>
    <n v="970"/>
    <n v="23.8"/>
    <n v="1478.28"/>
    <s v="Completed"/>
    <s v="Mumbai"/>
    <x v="2"/>
    <s v="Retail"/>
    <n v="52"/>
    <x v="0"/>
  </r>
  <r>
    <s v="ORD-00253"/>
    <x v="186"/>
    <s v="CUST-0155"/>
    <s v="PROD-026"/>
    <x v="27"/>
    <n v="4"/>
    <n v="4070"/>
    <n v="19"/>
    <n v="13186.8"/>
    <s v="Pending"/>
    <s v="Pune"/>
    <x v="2"/>
    <s v="Corporate"/>
    <n v="40"/>
    <x v="1"/>
  </r>
  <r>
    <s v="ORD-00254"/>
    <x v="144"/>
    <s v="CUST-0169"/>
    <s v="PROD-047"/>
    <x v="21"/>
    <n v="3"/>
    <n v="3450"/>
    <n v="4.4000000000000004"/>
    <n v="9894.6"/>
    <s v="Cancelled"/>
    <s v="Bengaluru"/>
    <x v="5"/>
    <s v="SMB"/>
    <n v="42"/>
    <x v="3"/>
  </r>
  <r>
    <s v="ORD-00255"/>
    <x v="187"/>
    <s v="CUST-0208"/>
    <s v="PROD-027"/>
    <x v="9"/>
    <n v="5"/>
    <n v="3780"/>
    <n v="13.5"/>
    <n v="16348.5"/>
    <s v="Completed"/>
    <s v="Mumbai"/>
    <x v="2"/>
    <s v="Retail"/>
    <n v="49"/>
    <x v="1"/>
  </r>
  <r>
    <s v="ORD-00256"/>
    <x v="127"/>
    <s v="CUST-0249"/>
    <s v="PROD-057"/>
    <x v="10"/>
    <n v="1"/>
    <n v="960"/>
    <n v="29.2"/>
    <n v="679.68"/>
    <s v="Completed"/>
    <s v="Mumbai"/>
    <x v="1"/>
    <s v="Retail"/>
    <n v="44"/>
    <x v="0"/>
  </r>
  <r>
    <s v="ORD-00257"/>
    <x v="188"/>
    <s v="CUST-0151"/>
    <s v="PROD-003"/>
    <x v="24"/>
    <n v="10"/>
    <n v="3570"/>
    <n v="10.7"/>
    <n v="31880.1"/>
    <s v="Completed"/>
    <s v="Mumbai"/>
    <x v="4"/>
    <s v="Retail"/>
    <n v="53"/>
    <x v="3"/>
  </r>
  <r>
    <s v="ORD-00258"/>
    <x v="187"/>
    <s v="CUST-0115"/>
    <s v="PROD-003"/>
    <x v="6"/>
    <n v="7"/>
    <n v="3570"/>
    <n v="12.2"/>
    <n v="21941.22"/>
    <s v="Completed"/>
    <s v="Mumbai"/>
    <x v="4"/>
    <s v="SMB"/>
    <n v="65"/>
    <x v="2"/>
  </r>
  <r>
    <s v="ORD-00259"/>
    <x v="189"/>
    <s v="CUST-0041"/>
    <s v="PROD-040"/>
    <x v="2"/>
    <n v="6"/>
    <n v="1080"/>
    <n v="19.8"/>
    <n v="5196.96"/>
    <s v="Completed"/>
    <s v="Bengaluru"/>
    <x v="3"/>
    <s v="SMB"/>
    <n v="26"/>
    <x v="1"/>
  </r>
  <r>
    <s v="ORD-00260"/>
    <x v="51"/>
    <s v="CUST-0101"/>
    <s v="PROD-011"/>
    <x v="9"/>
    <n v="8"/>
    <n v="3450"/>
    <n v="19"/>
    <n v="22356"/>
    <s v="Completed"/>
    <s v="Hyderabad"/>
    <x v="0"/>
    <s v="SMB"/>
    <n v="40"/>
    <x v="1"/>
  </r>
  <r>
    <s v="ORD-00261"/>
    <x v="2"/>
    <s v="CUST-0198"/>
    <s v="PROD-008"/>
    <x v="12"/>
    <n v="4"/>
    <n v="2660"/>
    <n v="18.8"/>
    <n v="8639.68"/>
    <s v="Pending"/>
    <s v="Chennai"/>
    <x v="4"/>
    <s v="Corporate"/>
    <n v="22"/>
    <x v="3"/>
  </r>
  <r>
    <s v="ORD-00262"/>
    <x v="190"/>
    <s v="CUST-0200"/>
    <s v="PROD-058"/>
    <x v="18"/>
    <n v="4"/>
    <n v="2400"/>
    <n v="5.6"/>
    <n v="9062.4"/>
    <s v="Completed"/>
    <s v="Hyderabad"/>
    <x v="1"/>
    <s v="Corporate"/>
    <n v="46"/>
    <x v="1"/>
  </r>
  <r>
    <s v="ORD-00263"/>
    <x v="191"/>
    <s v="CUST-0110"/>
    <s v="PROD-002"/>
    <x v="11"/>
    <n v="10"/>
    <n v="2600"/>
    <n v="24.7"/>
    <n v="19578"/>
    <s v="Completed"/>
    <s v="Pune"/>
    <x v="4"/>
    <s v="Corporate"/>
    <n v="31"/>
    <x v="0"/>
  </r>
  <r>
    <s v="ORD-00264"/>
    <x v="191"/>
    <s v="CUST-0134"/>
    <s v="PROD-025"/>
    <x v="10"/>
    <n v="3"/>
    <n v="4060"/>
    <n v="6.9"/>
    <n v="11339.58"/>
    <s v="Completed"/>
    <s v="Delhi"/>
    <x v="2"/>
    <s v="Retail"/>
    <n v="40"/>
    <x v="0"/>
  </r>
  <r>
    <s v="ORD-00265"/>
    <x v="57"/>
    <s v="CUST-0141"/>
    <s v="PROD-038"/>
    <x v="12"/>
    <n v="6"/>
    <n v="5490"/>
    <n v="8.4"/>
    <n v="30173.040000000001"/>
    <s v="Completed"/>
    <s v="Hyderabad"/>
    <x v="3"/>
    <s v="Corporate"/>
    <n v="22"/>
    <x v="3"/>
  </r>
  <r>
    <s v="ORD-00266"/>
    <x v="192"/>
    <s v="CUST-0163"/>
    <s v="PROD-032"/>
    <x v="26"/>
    <n v="6"/>
    <n v="370"/>
    <n v="15.1"/>
    <n v="1884.78"/>
    <s v="Completed"/>
    <s v="Pune"/>
    <x v="3"/>
    <s v="Retail"/>
    <n v="49"/>
    <x v="3"/>
  </r>
  <r>
    <s v="ORD-00267"/>
    <x v="171"/>
    <s v="CUST-0181"/>
    <s v="PROD-016"/>
    <x v="12"/>
    <n v="5"/>
    <n v="620"/>
    <n v="13.1"/>
    <n v="2693.9"/>
    <s v="Cancelled"/>
    <s v="Delhi"/>
    <x v="0"/>
    <s v="SMB"/>
    <n v="38"/>
    <x v="3"/>
  </r>
  <r>
    <s v="ORD-00268"/>
    <x v="10"/>
    <s v="CUST-0133"/>
    <s v="PROD-036"/>
    <x v="20"/>
    <n v="9"/>
    <n v="3250"/>
    <n v="16.5"/>
    <n v="24423.75"/>
    <s v="Completed"/>
    <s v="Chennai"/>
    <x v="3"/>
    <s v="Retail"/>
    <n v="26"/>
    <x v="2"/>
  </r>
  <r>
    <s v="ORD-00269"/>
    <x v="193"/>
    <s v="CUST-0095"/>
    <s v="PROD-050"/>
    <x v="23"/>
    <n v="1"/>
    <n v="6080"/>
    <n v="0.1"/>
    <n v="6073.92"/>
    <s v="Completed"/>
    <s v="Mumbai"/>
    <x v="5"/>
    <s v="SMB"/>
    <n v="54"/>
    <x v="1"/>
  </r>
  <r>
    <s v="ORD-00270"/>
    <x v="194"/>
    <s v="CUST-0171"/>
    <s v="PROD-013"/>
    <x v="2"/>
    <n v="8"/>
    <n v="3640"/>
    <n v="13.5"/>
    <n v="25188.799999999999"/>
    <s v="Completed"/>
    <s v="Chennai"/>
    <x v="0"/>
    <s v="Corporate"/>
    <n v="30"/>
    <x v="1"/>
  </r>
  <r>
    <s v="ORD-00271"/>
    <x v="22"/>
    <s v="CUST-0238"/>
    <s v="PROD-012"/>
    <x v="1"/>
    <n v="9"/>
    <n v="3160"/>
    <n v="29.7"/>
    <n v="19993.32"/>
    <s v="Completed"/>
    <s v="Delhi"/>
    <x v="0"/>
    <s v="Retail"/>
    <n v="49"/>
    <x v="0"/>
  </r>
  <r>
    <s v="ORD-00272"/>
    <x v="49"/>
    <s v="CUST-0185"/>
    <s v="PROD-004"/>
    <x v="0"/>
    <n v="2"/>
    <n v="3870"/>
    <n v="18.100000000000001"/>
    <n v="6339.06"/>
    <s v="Cancelled"/>
    <s v="Hyderabad"/>
    <x v="4"/>
    <s v="SMB"/>
    <n v="43"/>
    <x v="0"/>
  </r>
  <r>
    <s v="ORD-00273"/>
    <x v="195"/>
    <s v="CUST-0167"/>
    <s v="PROD-037"/>
    <x v="14"/>
    <n v="3"/>
    <n v="660"/>
    <n v="9.1999999999999993"/>
    <n v="1797.84"/>
    <s v="Completed"/>
    <s v="Delhi"/>
    <x v="3"/>
    <s v="Retail"/>
    <n v="43"/>
    <x v="2"/>
  </r>
  <r>
    <s v="ORD-00274"/>
    <x v="196"/>
    <s v="CUST-0224"/>
    <s v="PROD-025"/>
    <x v="22"/>
    <n v="4"/>
    <n v="4060"/>
    <n v="28"/>
    <n v="11692.8"/>
    <s v="Completed"/>
    <s v="Chennai"/>
    <x v="2"/>
    <s v="Corporate"/>
    <n v="24"/>
    <x v="1"/>
  </r>
  <r>
    <s v="ORD-00275"/>
    <x v="107"/>
    <s v="CUST-0181"/>
    <s v="PROD-034"/>
    <x v="29"/>
    <n v="2"/>
    <n v="5080"/>
    <n v="7.7"/>
    <n v="9377.68"/>
    <s v="Refunded"/>
    <s v="Delhi"/>
    <x v="3"/>
    <s v="SMB"/>
    <n v="38"/>
    <x v="1"/>
  </r>
  <r>
    <s v="ORD-00276"/>
    <x v="197"/>
    <s v="CUST-0020"/>
    <s v="PROD-003"/>
    <x v="1"/>
    <n v="3"/>
    <n v="3570"/>
    <n v="9.5"/>
    <n v="9692.5499999999993"/>
    <s v="Completed"/>
    <s v="Hyderabad"/>
    <x v="4"/>
    <s v="Retail"/>
    <n v="46"/>
    <x v="0"/>
  </r>
  <r>
    <s v="ORD-00277"/>
    <x v="151"/>
    <s v="CUST-0183"/>
    <s v="PROD-016"/>
    <x v="16"/>
    <n v="2"/>
    <n v="620"/>
    <n v="29.5"/>
    <n v="874.2"/>
    <s v="Completed"/>
    <s v="Mumbai"/>
    <x v="0"/>
    <s v="SMB"/>
    <n v="27"/>
    <x v="3"/>
  </r>
  <r>
    <s v="ORD-00278"/>
    <x v="198"/>
    <s v="CUST-0028"/>
    <s v="PROD-011"/>
    <x v="22"/>
    <n v="3"/>
    <n v="3450"/>
    <n v="3"/>
    <n v="10039.5"/>
    <s v="Completed"/>
    <s v="Bengaluru"/>
    <x v="0"/>
    <s v="Retail"/>
    <n v="59"/>
    <x v="1"/>
  </r>
  <r>
    <s v="ORD-00279"/>
    <x v="199"/>
    <s v="CUST-0121"/>
    <s v="PROD-048"/>
    <x v="3"/>
    <n v="7"/>
    <n v="5100"/>
    <n v="4.3"/>
    <n v="34164.9"/>
    <s v="Completed"/>
    <s v="Delhi"/>
    <x v="5"/>
    <s v="SMB"/>
    <n v="55"/>
    <x v="0"/>
  </r>
  <r>
    <s v="ORD-00280"/>
    <x v="110"/>
    <s v="CUST-0192"/>
    <s v="PROD-004"/>
    <x v="11"/>
    <n v="9"/>
    <n v="3870"/>
    <n v="4.8"/>
    <n v="33158.160000000003"/>
    <s v="Completed"/>
    <s v="Bengaluru"/>
    <x v="4"/>
    <s v="Retail"/>
    <n v="55"/>
    <x v="0"/>
  </r>
  <r>
    <s v="ORD-00281"/>
    <x v="142"/>
    <s v="CUST-0155"/>
    <s v="PROD-009"/>
    <x v="20"/>
    <n v="5"/>
    <n v="1220"/>
    <n v="4"/>
    <n v="5856"/>
    <s v="Cancelled"/>
    <s v="Pune"/>
    <x v="4"/>
    <s v="Corporate"/>
    <n v="40"/>
    <x v="2"/>
  </r>
  <r>
    <s v="ORD-00282"/>
    <x v="200"/>
    <s v="CUST-0159"/>
    <s v="PROD-038"/>
    <x v="12"/>
    <n v="5"/>
    <n v="5490"/>
    <n v="19.8"/>
    <n v="22014.9"/>
    <s v="Completed"/>
    <s v="Hyderabad"/>
    <x v="3"/>
    <s v="Retail"/>
    <n v="32"/>
    <x v="3"/>
  </r>
  <r>
    <s v="ORD-00283"/>
    <x v="201"/>
    <s v="CUST-0025"/>
    <s v="PROD-044"/>
    <x v="19"/>
    <n v="1"/>
    <n v="1650"/>
    <n v="26.2"/>
    <n v="1217.7"/>
    <s v="Completed"/>
    <s v="Bengaluru"/>
    <x v="5"/>
    <s v="Retail"/>
    <n v="23"/>
    <x v="0"/>
  </r>
  <r>
    <s v="ORD-00284"/>
    <x v="151"/>
    <s v="CUST-0297"/>
    <s v="PROD-008"/>
    <x v="11"/>
    <n v="1"/>
    <n v="2660"/>
    <n v="21"/>
    <n v="2101.4"/>
    <s v="Completed"/>
    <s v="Hyderabad"/>
    <x v="4"/>
    <s v="Retail"/>
    <n v="50"/>
    <x v="0"/>
  </r>
  <r>
    <s v="ORD-00285"/>
    <x v="67"/>
    <s v="CUST-0108"/>
    <s v="PROD-029"/>
    <x v="11"/>
    <n v="6"/>
    <n v="2210"/>
    <n v="9.8000000000000007"/>
    <n v="11960.52"/>
    <s v="Pending"/>
    <s v="Bengaluru"/>
    <x v="2"/>
    <s v="Corporate"/>
    <n v="59"/>
    <x v="0"/>
  </r>
  <r>
    <s v="ORD-00286"/>
    <x v="202"/>
    <s v="CUST-0121"/>
    <s v="PROD-002"/>
    <x v="19"/>
    <n v="9"/>
    <n v="2600"/>
    <n v="15.7"/>
    <n v="19726.2"/>
    <s v="Completed"/>
    <s v="Delhi"/>
    <x v="4"/>
    <s v="SMB"/>
    <n v="55"/>
    <x v="0"/>
  </r>
  <r>
    <s v="ORD-00287"/>
    <x v="203"/>
    <s v="CUST-0160"/>
    <s v="PROD-045"/>
    <x v="5"/>
    <n v="3"/>
    <n v="3020"/>
    <n v="22.6"/>
    <n v="7012.44"/>
    <s v="Completed"/>
    <s v="Hyderabad"/>
    <x v="5"/>
    <s v="Retail"/>
    <n v="27"/>
    <x v="2"/>
  </r>
  <r>
    <s v="ORD-00288"/>
    <x v="61"/>
    <s v="CUST-0230"/>
    <s v="PROD-032"/>
    <x v="1"/>
    <n v="6"/>
    <n v="370"/>
    <n v="12.4"/>
    <n v="1944.72"/>
    <s v="Completed"/>
    <s v="Pune"/>
    <x v="3"/>
    <s v="Corporate"/>
    <n v="33"/>
    <x v="0"/>
  </r>
  <r>
    <s v="ORD-00289"/>
    <x v="42"/>
    <s v="CUST-0151"/>
    <s v="PROD-001"/>
    <x v="3"/>
    <n v="8"/>
    <n v="5330"/>
    <n v="16.2"/>
    <n v="35732.32"/>
    <s v="Completed"/>
    <s v="Mumbai"/>
    <x v="4"/>
    <s v="Retail"/>
    <n v="53"/>
    <x v="0"/>
  </r>
  <r>
    <s v="ORD-00290"/>
    <x v="66"/>
    <s v="CUST-0222"/>
    <s v="PROD-018"/>
    <x v="14"/>
    <n v="4"/>
    <n v="3560"/>
    <n v="10.5"/>
    <n v="12744.8"/>
    <s v="Completed"/>
    <s v="Chennai"/>
    <x v="0"/>
    <s v="Retail"/>
    <n v="37"/>
    <x v="2"/>
  </r>
  <r>
    <s v="ORD-00291"/>
    <x v="44"/>
    <s v="CUST-0055"/>
    <s v="PROD-054"/>
    <x v="14"/>
    <n v="10"/>
    <n v="1010"/>
    <n v="10.8"/>
    <n v="9009.2000000000007"/>
    <s v="Completed"/>
    <s v="Bengaluru"/>
    <x v="1"/>
    <s v="Retail"/>
    <n v="34"/>
    <x v="2"/>
  </r>
  <r>
    <s v="ORD-00292"/>
    <x v="204"/>
    <s v="CUST-0011"/>
    <s v="PROD-056"/>
    <x v="3"/>
    <n v="8"/>
    <n v="6940"/>
    <n v="3.2"/>
    <n v="53743.360000000001"/>
    <s v="Cancelled"/>
    <s v="Chennai"/>
    <x v="1"/>
    <s v="Corporate"/>
    <n v="41"/>
    <x v="0"/>
  </r>
  <r>
    <s v="ORD-00335"/>
    <x v="7"/>
    <s v="CUST-0020"/>
    <s v="PROD-012"/>
    <x v="15"/>
    <n v="7"/>
    <n v="3160"/>
    <n v="3.6"/>
    <n v="21323.68"/>
    <s v="Completed"/>
    <s v="Hyderabad"/>
    <x v="0"/>
    <s v="Retail"/>
    <n v="46"/>
    <x v="1"/>
  </r>
  <r>
    <s v="ORD-00294"/>
    <x v="93"/>
    <s v="CUST-0163"/>
    <s v="PROD-028"/>
    <x v="4"/>
    <n v="2"/>
    <n v="3660"/>
    <n v="30"/>
    <n v="5124"/>
    <s v="Pending"/>
    <s v="Pune"/>
    <x v="2"/>
    <s v="Retail"/>
    <n v="49"/>
    <x v="0"/>
  </r>
  <r>
    <s v="ORD-00295"/>
    <x v="24"/>
    <s v="CUST-0081"/>
    <s v="PROD-024"/>
    <x v="1"/>
    <n v="1"/>
    <n v="2270"/>
    <n v="4.8"/>
    <n v="2161.04"/>
    <s v="Cancelled"/>
    <s v="Mumbai"/>
    <x v="2"/>
    <s v="Retail"/>
    <n v="25"/>
    <x v="0"/>
  </r>
  <r>
    <s v="ORD-00296"/>
    <x v="171"/>
    <s v="CUST-0053"/>
    <s v="PROD-059"/>
    <x v="5"/>
    <n v="8"/>
    <n v="3780"/>
    <n v="13"/>
    <n v="26308.799999999999"/>
    <s v="Completed"/>
    <s v="Delhi"/>
    <x v="1"/>
    <s v="Retail"/>
    <n v="53"/>
    <x v="2"/>
  </r>
  <r>
    <s v="ORD-01770"/>
    <x v="205"/>
    <s v="CUST-0115"/>
    <s v="PROD-013"/>
    <x v="27"/>
    <n v="1"/>
    <n v="3640"/>
    <n v="15.3"/>
    <n v="3083.08"/>
    <s v="Pending"/>
    <s v="Mumbai"/>
    <x v="0"/>
    <s v="SMB"/>
    <n v="65"/>
    <x v="1"/>
  </r>
  <r>
    <s v="ORD-00298"/>
    <x v="206"/>
    <s v="CUST-0166"/>
    <s v="PROD-009"/>
    <x v="18"/>
    <n v="8"/>
    <n v="1220"/>
    <n v="28.2"/>
    <n v="7007.68"/>
    <s v="Completed"/>
    <s v="Hyderabad"/>
    <x v="4"/>
    <s v="Retail"/>
    <n v="31"/>
    <x v="1"/>
  </r>
  <r>
    <s v="ORD-00299"/>
    <x v="207"/>
    <s v="CUST-0263"/>
    <s v="PROD-017"/>
    <x v="14"/>
    <n v="3"/>
    <n v="2510"/>
    <n v="17.399999999999999"/>
    <n v="6219.78"/>
    <s v="Completed"/>
    <s v="Mumbai"/>
    <x v="0"/>
    <s v="Retail"/>
    <n v="40"/>
    <x v="2"/>
  </r>
  <r>
    <s v="ORD-00300"/>
    <x v="208"/>
    <s v="CUST-0010"/>
    <s v="PROD-040"/>
    <x v="10"/>
    <n v="1"/>
    <n v="1080"/>
    <n v="13.9"/>
    <n v="929.88"/>
    <s v="Completed"/>
    <s v="Mumbai"/>
    <x v="3"/>
    <s v="SMB"/>
    <n v="61"/>
    <x v="0"/>
  </r>
  <r>
    <s v="ORD-00301"/>
    <x v="183"/>
    <s v="CUST-0036"/>
    <s v="PROD-033"/>
    <x v="29"/>
    <n v="7"/>
    <n v="2030"/>
    <n v="29.2"/>
    <n v="10060.68"/>
    <s v="Completed"/>
    <s v="Mumbai"/>
    <x v="3"/>
    <s v="Retail"/>
    <n v="35"/>
    <x v="1"/>
  </r>
  <r>
    <s v="ORD-00302"/>
    <x v="209"/>
    <s v="CUST-0259"/>
    <s v="PROD-059"/>
    <x v="16"/>
    <n v="6"/>
    <n v="3780"/>
    <n v="20.9"/>
    <n v="17939.88"/>
    <s v="Refunded"/>
    <s v="Mumbai"/>
    <x v="1"/>
    <s v="Retail"/>
    <n v="34"/>
    <x v="3"/>
  </r>
  <r>
    <s v="ORD-00303"/>
    <x v="168"/>
    <s v="CUST-0247"/>
    <s v="PROD-012"/>
    <x v="29"/>
    <n v="1"/>
    <n v="3160"/>
    <n v="10.7"/>
    <n v="2821.88"/>
    <s v="Completed"/>
    <s v="Pune"/>
    <x v="0"/>
    <s v="SMB"/>
    <n v="35"/>
    <x v="1"/>
  </r>
  <r>
    <s v="ORD-00881"/>
    <x v="148"/>
    <s v="CUST-0191"/>
    <s v="PROD-046"/>
    <x v="9"/>
    <n v="5"/>
    <n v="4880"/>
    <n v="11.4"/>
    <n v="21618.400000000001"/>
    <s v="Completed"/>
    <s v="Hyderabad"/>
    <x v="5"/>
    <s v="SMB"/>
    <n v="43"/>
    <x v="1"/>
  </r>
  <r>
    <s v="ORD-00305"/>
    <x v="142"/>
    <s v="CUST-0167"/>
    <s v="PROD-031"/>
    <x v="18"/>
    <n v="9"/>
    <n v="3730"/>
    <n v="10"/>
    <n v="30213"/>
    <s v="Completed"/>
    <s v="Delhi"/>
    <x v="3"/>
    <s v="Retail"/>
    <n v="43"/>
    <x v="1"/>
  </r>
  <r>
    <s v="ORD-00306"/>
    <x v="119"/>
    <s v="CUST-0196"/>
    <s v="PROD-034"/>
    <x v="10"/>
    <n v="5"/>
    <n v="5080"/>
    <n v="15.3"/>
    <n v="21513.8"/>
    <s v="Completed"/>
    <s v="Chennai"/>
    <x v="3"/>
    <s v="Retail"/>
    <n v="26"/>
    <x v="0"/>
  </r>
  <r>
    <s v="ORD-00307"/>
    <x v="210"/>
    <s v="CUST-0182"/>
    <s v="PROD-042"/>
    <x v="22"/>
    <n v="9"/>
    <n v="2290"/>
    <n v="3.3"/>
    <n v="19929.87"/>
    <s v="Pending"/>
    <s v="Mumbai"/>
    <x v="5"/>
    <s v="Retail"/>
    <n v="54"/>
    <x v="1"/>
  </r>
  <r>
    <s v="ORD-00308"/>
    <x v="211"/>
    <s v="CUST-0246"/>
    <s v="PROD-008"/>
    <x v="9"/>
    <n v="5"/>
    <n v="2660"/>
    <n v="8.3000000000000007"/>
    <n v="12196.1"/>
    <s v="Completed"/>
    <s v="Delhi"/>
    <x v="4"/>
    <s v="SMB"/>
    <n v="29"/>
    <x v="1"/>
  </r>
  <r>
    <s v="ORD-00309"/>
    <x v="201"/>
    <s v="CUST-0132"/>
    <s v="PROD-027"/>
    <x v="5"/>
    <n v="6"/>
    <n v="3780"/>
    <n v="28.3"/>
    <n v="16261.56"/>
    <s v="Completed"/>
    <s v="Delhi"/>
    <x v="2"/>
    <s v="Retail"/>
    <n v="41"/>
    <x v="2"/>
  </r>
  <r>
    <s v="ORD-00310"/>
    <x v="212"/>
    <s v="CUST-0153"/>
    <s v="PROD-021"/>
    <x v="8"/>
    <n v="5"/>
    <n v="2760"/>
    <n v="4.9000000000000004"/>
    <n v="13123.8"/>
    <s v="Completed"/>
    <s v="Mumbai"/>
    <x v="2"/>
    <s v="Retail"/>
    <n v="35"/>
    <x v="2"/>
  </r>
  <r>
    <s v="ORD-00311"/>
    <x v="213"/>
    <s v="CUST-0139"/>
    <s v="PROD-041"/>
    <x v="3"/>
    <n v="8"/>
    <n v="1540"/>
    <n v="29.4"/>
    <n v="8697.92"/>
    <s v="Cancelled"/>
    <s v="Hyderabad"/>
    <x v="5"/>
    <s v="SMB"/>
    <n v="65"/>
    <x v="0"/>
  </r>
  <r>
    <s v="ORD-00312"/>
    <x v="163"/>
    <s v="CUST-0256"/>
    <s v="PROD-046"/>
    <x v="24"/>
    <n v="1"/>
    <n v="4880"/>
    <n v="18.100000000000001"/>
    <n v="3996.72"/>
    <s v="Completed"/>
    <s v="Hyderabad"/>
    <x v="5"/>
    <s v="Retail"/>
    <n v="28"/>
    <x v="3"/>
  </r>
  <r>
    <s v="ORD-00313"/>
    <x v="95"/>
    <s v="CUST-0027"/>
    <s v="PROD-024"/>
    <x v="15"/>
    <n v="8"/>
    <n v="2270"/>
    <n v="19.8"/>
    <n v="14564.32"/>
    <s v="Pending"/>
    <s v="Hyderabad"/>
    <x v="2"/>
    <s v="Corporate"/>
    <n v="52"/>
    <x v="1"/>
  </r>
  <r>
    <s v="ORD-00314"/>
    <x v="118"/>
    <s v="CUST-0151"/>
    <s v="PROD-019"/>
    <x v="9"/>
    <n v="10"/>
    <n v="2480"/>
    <n v="24.4"/>
    <n v="18748.8"/>
    <s v="Pending"/>
    <s v="Mumbai"/>
    <x v="0"/>
    <s v="Retail"/>
    <n v="53"/>
    <x v="1"/>
  </r>
  <r>
    <s v="ORD-00315"/>
    <x v="214"/>
    <s v="CUST-0204"/>
    <s v="PROD-045"/>
    <x v="2"/>
    <n v="8"/>
    <n v="3020"/>
    <n v="15.2"/>
    <n v="20487.68"/>
    <s v="Pending"/>
    <s v="Hyderabad"/>
    <x v="5"/>
    <s v="Retail"/>
    <n v="60"/>
    <x v="1"/>
  </r>
  <r>
    <s v="ORD-00316"/>
    <x v="25"/>
    <s v="CUST-0084"/>
    <s v="PROD-041"/>
    <x v="7"/>
    <n v="10"/>
    <n v="1540"/>
    <n v="0.6"/>
    <n v="15307.6"/>
    <s v="Completed"/>
    <s v="Chennai"/>
    <x v="5"/>
    <s v="Retail"/>
    <n v="28"/>
    <x v="3"/>
  </r>
  <r>
    <s v="ORD-00317"/>
    <x v="215"/>
    <s v="CUST-0048"/>
    <s v="PROD-012"/>
    <x v="19"/>
    <n v="7"/>
    <n v="3160"/>
    <n v="8.9"/>
    <n v="20151.32"/>
    <s v="Completed"/>
    <s v="Delhi"/>
    <x v="0"/>
    <s v="Retail"/>
    <n v="59"/>
    <x v="0"/>
  </r>
  <r>
    <s v="ORD-00318"/>
    <x v="95"/>
    <s v="CUST-0013"/>
    <s v="PROD-054"/>
    <x v="22"/>
    <n v="6"/>
    <n v="1010"/>
    <n v="12.9"/>
    <n v="5278.26"/>
    <s v="Completed"/>
    <s v="Delhi"/>
    <x v="1"/>
    <s v="Retail"/>
    <n v="41"/>
    <x v="1"/>
  </r>
  <r>
    <s v="ORD-00319"/>
    <x v="216"/>
    <s v="CUST-0245"/>
    <s v="PROD-039"/>
    <x v="16"/>
    <n v="4"/>
    <n v="4610"/>
    <n v="18.2"/>
    <n v="15083.92"/>
    <s v="Completed"/>
    <s v="Hyderabad"/>
    <x v="3"/>
    <s v="Retail"/>
    <n v="65"/>
    <x v="3"/>
  </r>
  <r>
    <s v="ORD-00320"/>
    <x v="30"/>
    <s v="CUST-0031"/>
    <s v="PROD-025"/>
    <x v="20"/>
    <n v="6"/>
    <n v="4060"/>
    <n v="24.3"/>
    <n v="18440.52"/>
    <s v="Completed"/>
    <s v="Hyderabad"/>
    <x v="2"/>
    <s v="Retail"/>
    <n v="53"/>
    <x v="2"/>
  </r>
  <r>
    <s v="ORD-00321"/>
    <x v="89"/>
    <s v="CUST-0212"/>
    <s v="PROD-016"/>
    <x v="19"/>
    <n v="5"/>
    <n v="620"/>
    <n v="10.7"/>
    <n v="2768.3"/>
    <s v="Refunded"/>
    <s v="Chennai"/>
    <x v="0"/>
    <s v="SMB"/>
    <n v="46"/>
    <x v="0"/>
  </r>
  <r>
    <s v="ORD-00322"/>
    <x v="191"/>
    <s v="CUST-0104"/>
    <s v="PROD-018"/>
    <x v="11"/>
    <n v="3"/>
    <n v="3560"/>
    <n v="4.0999999999999996"/>
    <n v="10242.120000000001"/>
    <s v="Completed"/>
    <s v="Hyderabad"/>
    <x v="0"/>
    <s v="Corporate"/>
    <n v="43"/>
    <x v="0"/>
  </r>
  <r>
    <s v="ORD-00323"/>
    <x v="66"/>
    <s v="CUST-0157"/>
    <s v="PROD-058"/>
    <x v="27"/>
    <n v="2"/>
    <n v="2400"/>
    <n v="13"/>
    <n v="4176"/>
    <s v="Completed"/>
    <s v="Pune"/>
    <x v="1"/>
    <s v="Corporate"/>
    <n v="52"/>
    <x v="1"/>
  </r>
  <r>
    <s v="ORD-00324"/>
    <x v="192"/>
    <s v="CUST-0004"/>
    <s v="PROD-056"/>
    <x v="3"/>
    <n v="9"/>
    <n v="6940"/>
    <n v="26.2"/>
    <n v="46095.48"/>
    <s v="Completed"/>
    <s v="Delhi"/>
    <x v="1"/>
    <s v="Retail"/>
    <n v="53"/>
    <x v="0"/>
  </r>
  <r>
    <s v="ORD-00325"/>
    <x v="217"/>
    <s v="CUST-0003"/>
    <s v="PROD-023"/>
    <x v="5"/>
    <n v="9"/>
    <n v="2380"/>
    <n v="22.7"/>
    <n v="16557.66"/>
    <s v="Completed"/>
    <s v="Mumbai"/>
    <x v="2"/>
    <s v="Retail"/>
    <n v="33"/>
    <x v="2"/>
  </r>
  <r>
    <s v="ORD-00326"/>
    <x v="176"/>
    <s v="CUST-0175"/>
    <s v="PROD-014"/>
    <x v="8"/>
    <n v="6"/>
    <n v="3620"/>
    <n v="9.1999999999999993"/>
    <n v="19721.759999999998"/>
    <s v="Completed"/>
    <s v="Delhi"/>
    <x v="0"/>
    <s v="Corporate"/>
    <n v="55"/>
    <x v="2"/>
  </r>
  <r>
    <s v="ORD-00327"/>
    <x v="124"/>
    <s v="CUST-0104"/>
    <s v="PROD-050"/>
    <x v="10"/>
    <n v="1"/>
    <n v="6080"/>
    <n v="29.4"/>
    <n v="4292.4799999999996"/>
    <s v="Cancelled"/>
    <s v="Hyderabad"/>
    <x v="5"/>
    <s v="Corporate"/>
    <n v="43"/>
    <x v="0"/>
  </r>
  <r>
    <s v="ORD-00328"/>
    <x v="30"/>
    <s v="CUST-0196"/>
    <s v="PROD-020"/>
    <x v="26"/>
    <n v="6"/>
    <n v="820"/>
    <n v="29.1"/>
    <n v="3488.28"/>
    <s v="Completed"/>
    <s v="Chennai"/>
    <x v="0"/>
    <s v="Retail"/>
    <n v="26"/>
    <x v="3"/>
  </r>
  <r>
    <s v="ORD-00329"/>
    <x v="34"/>
    <s v="CUST-0299"/>
    <s v="PROD-045"/>
    <x v="6"/>
    <n v="9"/>
    <n v="3020"/>
    <n v="7.9"/>
    <n v="25032.78"/>
    <s v="Completed"/>
    <s v="Mumbai"/>
    <x v="5"/>
    <s v="Corporate"/>
    <n v="51"/>
    <x v="2"/>
  </r>
  <r>
    <s v="ORD-00330"/>
    <x v="218"/>
    <s v="CUST-0066"/>
    <s v="PROD-004"/>
    <x v="20"/>
    <n v="8"/>
    <n v="3870"/>
    <n v="11.9"/>
    <n v="27275.759999999998"/>
    <s v="Completed"/>
    <s v="Delhi"/>
    <x v="4"/>
    <s v="Retail"/>
    <n v="24"/>
    <x v="2"/>
  </r>
  <r>
    <s v="ORD-00331"/>
    <x v="72"/>
    <s v="CUST-0080"/>
    <s v="PROD-047"/>
    <x v="14"/>
    <n v="6"/>
    <n v="3450"/>
    <n v="13.9"/>
    <n v="17822.7"/>
    <s v="Completed"/>
    <s v="Pune"/>
    <x v="5"/>
    <s v="SMB"/>
    <n v="30"/>
    <x v="2"/>
  </r>
  <r>
    <s v="ORD-00332"/>
    <x v="219"/>
    <s v="CUST-0138"/>
    <s v="PROD-048"/>
    <x v="4"/>
    <n v="9"/>
    <n v="5100"/>
    <n v="2.1"/>
    <n v="44936.1"/>
    <s v="Completed"/>
    <s v="Chennai"/>
    <x v="5"/>
    <s v="Retail"/>
    <n v="24"/>
    <x v="0"/>
  </r>
  <r>
    <s v="ORD-00333"/>
    <x v="79"/>
    <s v="CUST-0253"/>
    <s v="PROD-026"/>
    <x v="4"/>
    <n v="2"/>
    <n v="4070"/>
    <n v="28.6"/>
    <n v="5811.96"/>
    <s v="Completed"/>
    <s v="Delhi"/>
    <x v="2"/>
    <s v="SMB"/>
    <n v="53"/>
    <x v="0"/>
  </r>
  <r>
    <s v="ORD-00334"/>
    <x v="220"/>
    <s v="CUST-0247"/>
    <s v="PROD-001"/>
    <x v="0"/>
    <n v="9"/>
    <n v="5330"/>
    <n v="6.2"/>
    <n v="44995.86"/>
    <s v="Completed"/>
    <s v="Pune"/>
    <x v="4"/>
    <s v="SMB"/>
    <n v="35"/>
    <x v="0"/>
  </r>
  <r>
    <s v="ORD-00335"/>
    <x v="158"/>
    <s v="CUST-0269"/>
    <s v="PROD-024"/>
    <x v="16"/>
    <n v="6"/>
    <n v="2270"/>
    <n v="23.7"/>
    <n v="10392.06"/>
    <s v="Completed"/>
    <s v="Pune"/>
    <x v="2"/>
    <s v="Retail"/>
    <n v="48"/>
    <x v="3"/>
  </r>
  <r>
    <s v="ORD-00336"/>
    <x v="221"/>
    <s v="CUST-0008"/>
    <s v="PROD-017"/>
    <x v="6"/>
    <n v="5"/>
    <n v="2510"/>
    <n v="25"/>
    <n v="9412.5"/>
    <s v="Completed"/>
    <s v="Pune"/>
    <x v="0"/>
    <s v="SMB"/>
    <n v="39"/>
    <x v="2"/>
  </r>
  <r>
    <s v="ORD-00337"/>
    <x v="164"/>
    <s v="CUST-0134"/>
    <s v="PROD-023"/>
    <x v="7"/>
    <n v="9"/>
    <n v="2380"/>
    <n v="16.8"/>
    <n v="17821.439999999999"/>
    <s v="Completed"/>
    <s v="Delhi"/>
    <x v="2"/>
    <s v="Retail"/>
    <n v="40"/>
    <x v="3"/>
  </r>
  <r>
    <s v="ORD-00338"/>
    <x v="103"/>
    <s v="CUST-0016"/>
    <s v="PROD-011"/>
    <x v="4"/>
    <n v="1"/>
    <n v="3450"/>
    <n v="1.5"/>
    <n v="3398.25"/>
    <s v="Refunded"/>
    <s v="Delhi"/>
    <x v="0"/>
    <s v="SMB"/>
    <n v="26"/>
    <x v="0"/>
  </r>
  <r>
    <s v="ORD-00339"/>
    <x v="146"/>
    <s v="CUST-0281"/>
    <s v="PROD-003"/>
    <x v="25"/>
    <n v="5"/>
    <n v="3570"/>
    <n v="12.8"/>
    <n v="15565.2"/>
    <s v="Completed"/>
    <s v="Bengaluru"/>
    <x v="4"/>
    <s v="Corporate"/>
    <n v="57"/>
    <x v="0"/>
  </r>
  <r>
    <s v="ORD-00340"/>
    <x v="222"/>
    <s v="CUST-0267"/>
    <s v="PROD-001"/>
    <x v="20"/>
    <n v="3"/>
    <n v="5330"/>
    <n v="16.2"/>
    <n v="13399.62"/>
    <s v="Completed"/>
    <s v="Hyderabad"/>
    <x v="4"/>
    <s v="Retail"/>
    <n v="27"/>
    <x v="2"/>
  </r>
  <r>
    <s v="ORD-00341"/>
    <x v="123"/>
    <s v="CUST-0279"/>
    <s v="PROD-028"/>
    <x v="28"/>
    <n v="3"/>
    <n v="3660"/>
    <n v="25.3"/>
    <n v="8202.06"/>
    <s v="Completed"/>
    <s v="Mumbai"/>
    <x v="2"/>
    <s v="Retail"/>
    <n v="56"/>
    <x v="2"/>
  </r>
  <r>
    <s v="ORD-00342"/>
    <x v="77"/>
    <s v="CUST-0036"/>
    <s v="PROD-054"/>
    <x v="15"/>
    <n v="2"/>
    <n v="1010"/>
    <n v="29.2"/>
    <n v="1430.16"/>
    <s v="Completed"/>
    <s v="Mumbai"/>
    <x v="1"/>
    <s v="Retail"/>
    <n v="35"/>
    <x v="1"/>
  </r>
  <r>
    <s v="ORD-00343"/>
    <x v="47"/>
    <s v="CUST-0295"/>
    <s v="PROD-040"/>
    <x v="15"/>
    <n v="1"/>
    <n v="1080"/>
    <n v="1.8"/>
    <n v="1060.56"/>
    <s v="Completed"/>
    <s v="Delhi"/>
    <x v="3"/>
    <s v="SMB"/>
    <n v="48"/>
    <x v="1"/>
  </r>
  <r>
    <s v="ORD-00344"/>
    <x v="85"/>
    <s v="CUST-0106"/>
    <s v="PROD-051"/>
    <x v="9"/>
    <n v="8"/>
    <n v="3450"/>
    <n v="20.399999999999999"/>
    <n v="21969.599999999999"/>
    <s v="Completed"/>
    <s v="Pune"/>
    <x v="1"/>
    <s v="Retail"/>
    <n v="22"/>
    <x v="1"/>
  </r>
  <r>
    <s v="ORD-00593"/>
    <x v="223"/>
    <s v="CUST-0070"/>
    <s v="PROD-056"/>
    <x v="15"/>
    <n v="8"/>
    <n v="6940"/>
    <n v="19.399999999999999"/>
    <n v="44749.120000000003"/>
    <s v="Completed"/>
    <s v="Mumbai"/>
    <x v="1"/>
    <s v="Retail"/>
    <n v="42"/>
    <x v="1"/>
  </r>
  <r>
    <s v="ORD-00346"/>
    <x v="224"/>
    <s v="CUST-0062"/>
    <s v="PROD-041"/>
    <x v="11"/>
    <n v="2"/>
    <n v="1540"/>
    <n v="9.3000000000000007"/>
    <n v="2793.56"/>
    <s v="Completed"/>
    <s v="Pune"/>
    <x v="5"/>
    <s v="Retail"/>
    <n v="54"/>
    <x v="0"/>
  </r>
  <r>
    <s v="ORD-00347"/>
    <x v="225"/>
    <s v="CUST-0241"/>
    <s v="PROD-010"/>
    <x v="15"/>
    <n v="4"/>
    <n v="2640"/>
    <n v="23.2"/>
    <n v="8110.08"/>
    <s v="Refunded"/>
    <s v="Pune"/>
    <x v="4"/>
    <s v="Corporate"/>
    <n v="47"/>
    <x v="1"/>
  </r>
  <r>
    <s v="ORD-00348"/>
    <x v="17"/>
    <s v="CUST-0001"/>
    <s v="PROD-052"/>
    <x v="6"/>
    <n v="6"/>
    <n v="5410"/>
    <n v="29.4"/>
    <n v="22916.76"/>
    <s v="Completed"/>
    <s v="Pune"/>
    <x v="1"/>
    <s v="Retail"/>
    <n v="36"/>
    <x v="2"/>
  </r>
  <r>
    <s v="ORD-00349"/>
    <x v="61"/>
    <s v="CUST-0181"/>
    <s v="PROD-003"/>
    <x v="28"/>
    <n v="1"/>
    <n v="3570"/>
    <n v="4.3"/>
    <n v="3416.49"/>
    <s v="Completed"/>
    <s v="Delhi"/>
    <x v="4"/>
    <s v="SMB"/>
    <n v="38"/>
    <x v="2"/>
  </r>
  <r>
    <s v="ORD-00350"/>
    <x v="226"/>
    <s v="CUST-0044"/>
    <s v="PROD-032"/>
    <x v="8"/>
    <n v="2"/>
    <n v="370"/>
    <n v="7.2"/>
    <n v="686.72"/>
    <s v="Completed"/>
    <s v="Hyderabad"/>
    <x v="3"/>
    <s v="SMB"/>
    <n v="29"/>
    <x v="2"/>
  </r>
  <r>
    <s v="ORD-00351"/>
    <x v="203"/>
    <s v="CUST-0218"/>
    <s v="PROD-017"/>
    <x v="21"/>
    <n v="1"/>
    <n v="2510"/>
    <n v="2.4"/>
    <n v="2449.7600000000002"/>
    <s v="Completed"/>
    <s v="Mumbai"/>
    <x v="0"/>
    <s v="Retail"/>
    <n v="39"/>
    <x v="3"/>
  </r>
  <r>
    <s v="ORD-00352"/>
    <x v="178"/>
    <s v="CUST-0061"/>
    <s v="PROD-013"/>
    <x v="24"/>
    <n v="8"/>
    <n v="3640"/>
    <n v="28.7"/>
    <n v="20762.560000000001"/>
    <s v="Pending"/>
    <s v="Hyderabad"/>
    <x v="0"/>
    <s v="Retail"/>
    <n v="64"/>
    <x v="3"/>
  </r>
  <r>
    <s v="ORD-00353"/>
    <x v="226"/>
    <s v="CUST-0143"/>
    <s v="PROD-044"/>
    <x v="20"/>
    <n v="5"/>
    <n v="1650"/>
    <n v="13.4"/>
    <n v="7144.5"/>
    <s v="Pending"/>
    <s v="Chennai"/>
    <x v="5"/>
    <s v="SMB"/>
    <n v="52"/>
    <x v="2"/>
  </r>
  <r>
    <s v="ORD-00354"/>
    <x v="107"/>
    <s v="CUST-0164"/>
    <s v="PROD-049"/>
    <x v="6"/>
    <n v="9"/>
    <n v="960"/>
    <n v="28.6"/>
    <n v="6168.96"/>
    <s v="Pending"/>
    <s v="Chennai"/>
    <x v="5"/>
    <s v="Retail"/>
    <n v="60"/>
    <x v="2"/>
  </r>
  <r>
    <s v="ORD-00355"/>
    <x v="97"/>
    <s v="CUST-0152"/>
    <s v="PROD-027"/>
    <x v="13"/>
    <n v="4"/>
    <n v="3780"/>
    <n v="25.3"/>
    <n v="11294.64"/>
    <s v="Completed"/>
    <s v="Bengaluru"/>
    <x v="2"/>
    <s v="SMB"/>
    <n v="64"/>
    <x v="3"/>
  </r>
  <r>
    <s v="ORD-00356"/>
    <x v="227"/>
    <s v="CUST-0143"/>
    <s v="PROD-044"/>
    <x v="2"/>
    <n v="4"/>
    <n v="1650"/>
    <n v="13.7"/>
    <n v="5695.8"/>
    <s v="Cancelled"/>
    <s v="Chennai"/>
    <x v="5"/>
    <s v="SMB"/>
    <n v="52"/>
    <x v="1"/>
  </r>
  <r>
    <s v="ORD-00357"/>
    <x v="228"/>
    <s v="CUST-0232"/>
    <s v="PROD-014"/>
    <x v="27"/>
    <n v="6"/>
    <n v="3620"/>
    <n v="21.3"/>
    <n v="17093.64"/>
    <s v="Pending"/>
    <s v="Hyderabad"/>
    <x v="0"/>
    <s v="Retail"/>
    <n v="38"/>
    <x v="1"/>
  </r>
  <r>
    <s v="ORD-00358"/>
    <x v="42"/>
    <s v="CUST-0067"/>
    <s v="PROD-022"/>
    <x v="14"/>
    <n v="10"/>
    <n v="2270"/>
    <n v="17.7"/>
    <n v="18682.099999999999"/>
    <s v="Completed"/>
    <s v="Delhi"/>
    <x v="2"/>
    <s v="SMB"/>
    <n v="59"/>
    <x v="2"/>
  </r>
  <r>
    <s v="ORD-00359"/>
    <x v="130"/>
    <s v="CUST-0292"/>
    <s v="PROD-041"/>
    <x v="22"/>
    <n v="9"/>
    <n v="1540"/>
    <n v="10.7"/>
    <n v="12376.98"/>
    <s v="Completed"/>
    <s v="Bengaluru"/>
    <x v="5"/>
    <s v="Retail"/>
    <n v="32"/>
    <x v="1"/>
  </r>
  <r>
    <s v="ORD-00360"/>
    <x v="84"/>
    <s v="CUST-0118"/>
    <s v="PROD-055"/>
    <x v="13"/>
    <n v="9"/>
    <n v="2860"/>
    <n v="12.9"/>
    <n v="22419.54"/>
    <s v="Completed"/>
    <s v="Hyderabad"/>
    <x v="1"/>
    <s v="Retail"/>
    <n v="26"/>
    <x v="3"/>
  </r>
  <r>
    <s v="ORD-00361"/>
    <x v="229"/>
    <s v="CUST-0212"/>
    <s v="PROD-029"/>
    <x v="29"/>
    <n v="5"/>
    <n v="2210"/>
    <n v="5.0999999999999996"/>
    <n v="10486.45"/>
    <s v="Completed"/>
    <s v="Chennai"/>
    <x v="2"/>
    <s v="SMB"/>
    <n v="46"/>
    <x v="1"/>
  </r>
  <r>
    <s v="ORD-00362"/>
    <x v="157"/>
    <s v="CUST-0287"/>
    <s v="PROD-009"/>
    <x v="20"/>
    <n v="1"/>
    <n v="1220"/>
    <n v="16.100000000000001"/>
    <n v="1023.58"/>
    <s v="Completed"/>
    <s v="Chennai"/>
    <x v="4"/>
    <s v="SMB"/>
    <n v="53"/>
    <x v="2"/>
  </r>
  <r>
    <s v="ORD-00363"/>
    <x v="230"/>
    <s v="CUST-0030"/>
    <s v="PROD-003"/>
    <x v="3"/>
    <n v="2"/>
    <n v="3570"/>
    <n v="1.1000000000000001"/>
    <n v="7061.46"/>
    <s v="Completed"/>
    <s v="Bengaluru"/>
    <x v="4"/>
    <s v="Corporate"/>
    <n v="43"/>
    <x v="0"/>
  </r>
  <r>
    <s v="ORD-00364"/>
    <x v="231"/>
    <s v="CUST-0270"/>
    <s v="PROD-011"/>
    <x v="29"/>
    <n v="10"/>
    <n v="3450"/>
    <n v="12.6"/>
    <n v="30153"/>
    <s v="Completed"/>
    <s v="Bengaluru"/>
    <x v="0"/>
    <s v="Retail"/>
    <n v="29"/>
    <x v="1"/>
  </r>
  <r>
    <s v="ORD-00365"/>
    <x v="232"/>
    <s v="CUST-0001"/>
    <s v="PROD-029"/>
    <x v="13"/>
    <n v="4"/>
    <n v="2210"/>
    <n v="5.4"/>
    <n v="8362.64"/>
    <s v="Completed"/>
    <s v="Pune"/>
    <x v="2"/>
    <s v="Retail"/>
    <n v="36"/>
    <x v="3"/>
  </r>
  <r>
    <s v="ORD-00366"/>
    <x v="233"/>
    <s v="CUST-0215"/>
    <s v="PROD-035"/>
    <x v="2"/>
    <n v="6"/>
    <n v="1090"/>
    <n v="2.9"/>
    <n v="6350.34"/>
    <s v="Cancelled"/>
    <s v="Hyderabad"/>
    <x v="3"/>
    <s v="Retail"/>
    <n v="52"/>
    <x v="1"/>
  </r>
  <r>
    <s v="ORD-00367"/>
    <x v="234"/>
    <s v="CUST-0225"/>
    <s v="PROD-041"/>
    <x v="21"/>
    <n v="8"/>
    <n v="1540"/>
    <n v="17.899999999999999"/>
    <n v="10114.719999999999"/>
    <s v="Pending"/>
    <s v="Chennai"/>
    <x v="5"/>
    <s v="SMB"/>
    <n v="26"/>
    <x v="3"/>
  </r>
  <r>
    <s v="ORD-00368"/>
    <x v="2"/>
    <s v="CUST-0163"/>
    <s v="PROD-002"/>
    <x v="8"/>
    <n v="9"/>
    <n v="2600"/>
    <n v="4.0999999999999996"/>
    <n v="22440.6"/>
    <s v="Completed"/>
    <s v="Pune"/>
    <x v="4"/>
    <s v="Retail"/>
    <n v="49"/>
    <x v="2"/>
  </r>
  <r>
    <s v="ORD-00369"/>
    <x v="235"/>
    <s v="CUST-0196"/>
    <s v="PROD-060"/>
    <x v="0"/>
    <n v="2"/>
    <n v="190"/>
    <n v="4.8"/>
    <n v="361.76"/>
    <s v="Completed"/>
    <s v="Chennai"/>
    <x v="1"/>
    <s v="Retail"/>
    <n v="26"/>
    <x v="0"/>
  </r>
  <r>
    <s v="ORD-00370"/>
    <x v="236"/>
    <s v="CUST-0002"/>
    <s v="PROD-019"/>
    <x v="2"/>
    <n v="9"/>
    <n v="2480"/>
    <n v="28.3"/>
    <n v="16003.44"/>
    <s v="Completed"/>
    <s v="Pune"/>
    <x v="0"/>
    <s v="Corporate"/>
    <n v="42"/>
    <x v="1"/>
  </r>
  <r>
    <s v="ORD-00371"/>
    <x v="33"/>
    <s v="CUST-0057"/>
    <s v="PROD-042"/>
    <x v="3"/>
    <n v="7"/>
    <n v="2290"/>
    <n v="25"/>
    <n v="12022.5"/>
    <s v="Cancelled"/>
    <s v="Pune"/>
    <x v="5"/>
    <s v="Retail"/>
    <n v="35"/>
    <x v="0"/>
  </r>
  <r>
    <s v="ORD-00372"/>
    <x v="237"/>
    <s v="CUST-0112"/>
    <s v="PROD-041"/>
    <x v="15"/>
    <n v="9"/>
    <n v="1540"/>
    <n v="23.3"/>
    <n v="10630.62"/>
    <s v="Completed"/>
    <s v="Hyderabad"/>
    <x v="5"/>
    <s v="Retail"/>
    <n v="64"/>
    <x v="1"/>
  </r>
  <r>
    <s v="ORD-00373"/>
    <x v="168"/>
    <s v="CUST-0131"/>
    <s v="PROD-034"/>
    <x v="5"/>
    <n v="2"/>
    <n v="5080"/>
    <n v="2.5"/>
    <n v="9906"/>
    <s v="Cancelled"/>
    <s v="Delhi"/>
    <x v="3"/>
    <s v="SMB"/>
    <n v="28"/>
    <x v="2"/>
  </r>
  <r>
    <s v="ORD-00374"/>
    <x v="238"/>
    <s v="CUST-0124"/>
    <s v="PROD-017"/>
    <x v="29"/>
    <n v="4"/>
    <n v="2510"/>
    <n v="23.6"/>
    <n v="7670.56"/>
    <s v="Completed"/>
    <s v="Pune"/>
    <x v="0"/>
    <s v="Retail"/>
    <n v="57"/>
    <x v="1"/>
  </r>
  <r>
    <s v="ORD-00375"/>
    <x v="10"/>
    <s v="CUST-0131"/>
    <s v="PROD-042"/>
    <x v="23"/>
    <n v="5"/>
    <n v="2290"/>
    <n v="17"/>
    <n v="9503.5"/>
    <s v="Completed"/>
    <s v="Delhi"/>
    <x v="5"/>
    <s v="SMB"/>
    <n v="28"/>
    <x v="1"/>
  </r>
  <r>
    <s v="ORD-00376"/>
    <x v="1"/>
    <s v="CUST-0084"/>
    <s v="PROD-053"/>
    <x v="3"/>
    <n v="8"/>
    <n v="470"/>
    <n v="9.3000000000000007"/>
    <n v="3410.32"/>
    <s v="Completed"/>
    <s v="Chennai"/>
    <x v="1"/>
    <s v="Retail"/>
    <n v="28"/>
    <x v="0"/>
  </r>
  <r>
    <s v="ORD-00377"/>
    <x v="148"/>
    <s v="CUST-0082"/>
    <s v="PROD-048"/>
    <x v="18"/>
    <n v="8"/>
    <n v="5100"/>
    <n v="4.5999999999999996"/>
    <n v="38923.199999999997"/>
    <s v="Completed"/>
    <s v="Hyderabad"/>
    <x v="5"/>
    <s v="SMB"/>
    <n v="36"/>
    <x v="1"/>
  </r>
  <r>
    <s v="ORD-00378"/>
    <x v="197"/>
    <s v="CUST-0242"/>
    <s v="PROD-001"/>
    <x v="9"/>
    <n v="7"/>
    <n v="5330"/>
    <n v="2.5"/>
    <n v="36377.25"/>
    <s v="Completed"/>
    <s v="Chennai"/>
    <x v="4"/>
    <s v="SMB"/>
    <n v="59"/>
    <x v="1"/>
  </r>
  <r>
    <s v="ORD-00379"/>
    <x v="234"/>
    <s v="CUST-0074"/>
    <s v="PROD-033"/>
    <x v="8"/>
    <n v="10"/>
    <n v="2030"/>
    <n v="8.5"/>
    <n v="18574.5"/>
    <s v="Completed"/>
    <s v="Bengaluru"/>
    <x v="3"/>
    <s v="Retail"/>
    <n v="27"/>
    <x v="2"/>
  </r>
  <r>
    <s v="ORD-00380"/>
    <x v="9"/>
    <s v="CUST-0221"/>
    <s v="PROD-034"/>
    <x v="11"/>
    <n v="8"/>
    <n v="5080"/>
    <n v="9.6"/>
    <n v="36738.559999999998"/>
    <s v="Cancelled"/>
    <s v="Delhi"/>
    <x v="3"/>
    <s v="SMB"/>
    <n v="29"/>
    <x v="0"/>
  </r>
  <r>
    <s v="ORD-00381"/>
    <x v="239"/>
    <s v="CUST-0101"/>
    <s v="PROD-023"/>
    <x v="2"/>
    <n v="1"/>
    <n v="2380"/>
    <n v="11.6"/>
    <n v="2103.92"/>
    <s v="Pending"/>
    <s v="Hyderabad"/>
    <x v="2"/>
    <s v="SMB"/>
    <n v="40"/>
    <x v="1"/>
  </r>
  <r>
    <s v="ORD-00382"/>
    <x v="222"/>
    <s v="CUST-0203"/>
    <s v="PROD-041"/>
    <x v="28"/>
    <n v="8"/>
    <n v="1540"/>
    <n v="27.8"/>
    <n v="8895.0400000000009"/>
    <s v="Completed"/>
    <s v="Chennai"/>
    <x v="5"/>
    <s v="SMB"/>
    <n v="55"/>
    <x v="2"/>
  </r>
  <r>
    <s v="ORD-00383"/>
    <x v="157"/>
    <s v="CUST-0209"/>
    <s v="PROD-024"/>
    <x v="6"/>
    <n v="1"/>
    <n v="2270"/>
    <n v="6.5"/>
    <n v="2122.4499999999998"/>
    <s v="Pending"/>
    <s v="Pune"/>
    <x v="2"/>
    <s v="Retail"/>
    <n v="31"/>
    <x v="2"/>
  </r>
  <r>
    <s v="ORD-00384"/>
    <x v="240"/>
    <s v="CUST-0094"/>
    <s v="PROD-019"/>
    <x v="8"/>
    <n v="6"/>
    <n v="2480"/>
    <n v="25.9"/>
    <n v="11026.08"/>
    <s v="Completed"/>
    <s v="Pune"/>
    <x v="0"/>
    <s v="SMB"/>
    <n v="60"/>
    <x v="2"/>
  </r>
  <r>
    <s v="ORD-00385"/>
    <x v="170"/>
    <s v="CUST-0248"/>
    <s v="PROD-018"/>
    <x v="7"/>
    <n v="3"/>
    <n v="3560"/>
    <n v="0.4"/>
    <n v="10637.28"/>
    <s v="Refunded"/>
    <s v="Chennai"/>
    <x v="0"/>
    <s v="SMB"/>
    <n v="57"/>
    <x v="3"/>
  </r>
  <r>
    <s v="ORD-00386"/>
    <x v="124"/>
    <s v="CUST-0297"/>
    <s v="PROD-008"/>
    <x v="3"/>
    <n v="4"/>
    <n v="2660"/>
    <n v="19.7"/>
    <n v="8543.92"/>
    <s v="Cancelled"/>
    <s v="Hyderabad"/>
    <x v="4"/>
    <s v="Retail"/>
    <n v="50"/>
    <x v="0"/>
  </r>
  <r>
    <s v="ORD-00387"/>
    <x v="194"/>
    <s v="CUST-0107"/>
    <s v="PROD-009"/>
    <x v="22"/>
    <n v="10"/>
    <n v="1220"/>
    <n v="10.1"/>
    <n v="10967.8"/>
    <s v="Cancelled"/>
    <s v="Pune"/>
    <x v="4"/>
    <s v="Retail"/>
    <n v="50"/>
    <x v="1"/>
  </r>
  <r>
    <s v="ORD-00388"/>
    <x v="241"/>
    <s v="CUST-0247"/>
    <s v="PROD-002"/>
    <x v="2"/>
    <n v="8"/>
    <n v="2600"/>
    <n v="26.7"/>
    <n v="15246.4"/>
    <s v="Completed"/>
    <s v="Pune"/>
    <x v="4"/>
    <s v="SMB"/>
    <n v="35"/>
    <x v="1"/>
  </r>
  <r>
    <s v="ORD-00389"/>
    <x v="242"/>
    <s v="CUST-0047"/>
    <s v="PROD-011"/>
    <x v="16"/>
    <n v="10"/>
    <n v="3450"/>
    <n v="20.399999999999999"/>
    <n v="27462"/>
    <s v="Completed"/>
    <s v="Pune"/>
    <x v="0"/>
    <s v="Retail"/>
    <n v="49"/>
    <x v="3"/>
  </r>
  <r>
    <s v="ORD-00390"/>
    <x v="242"/>
    <s v="CUST-0118"/>
    <s v="PROD-056"/>
    <x v="7"/>
    <n v="1"/>
    <n v="6940"/>
    <n v="9.6999999999999993"/>
    <n v="6266.82"/>
    <s v="Completed"/>
    <s v="Hyderabad"/>
    <x v="1"/>
    <s v="Retail"/>
    <n v="26"/>
    <x v="3"/>
  </r>
  <r>
    <s v="ORD-00391"/>
    <x v="243"/>
    <s v="CUST-0019"/>
    <s v="PROD-043"/>
    <x v="3"/>
    <n v="10"/>
    <n v="3350"/>
    <n v="3.2"/>
    <n v="32428"/>
    <s v="Completed"/>
    <s v="Chennai"/>
    <x v="5"/>
    <s v="Retail"/>
    <n v="22"/>
    <x v="0"/>
  </r>
  <r>
    <s v="ORD-00392"/>
    <x v="244"/>
    <s v="CUST-0290"/>
    <s v="PROD-041"/>
    <x v="17"/>
    <n v="7"/>
    <n v="1540"/>
    <n v="0.5"/>
    <n v="10726.1"/>
    <s v="Completed"/>
    <s v="Delhi"/>
    <x v="5"/>
    <s v="Retail"/>
    <n v="63"/>
    <x v="2"/>
  </r>
  <r>
    <s v="ORD-00393"/>
    <x v="219"/>
    <s v="CUST-9557"/>
    <s v="PROD-014"/>
    <x v="17"/>
    <n v="10"/>
    <n v="3620"/>
    <n v="22"/>
    <n v="28236"/>
    <s v="Completed"/>
    <s v="Pune"/>
    <x v="0"/>
    <e v="#N/A"/>
    <e v="#N/A"/>
    <x v="2"/>
  </r>
  <r>
    <s v="ORD-00394"/>
    <x v="98"/>
    <s v="CUST-0291"/>
    <s v="PROD-053"/>
    <x v="17"/>
    <n v="2"/>
    <n v="470"/>
    <n v="26.5"/>
    <n v="690.9"/>
    <s v="Pending"/>
    <s v="Pune"/>
    <x v="1"/>
    <s v="SMB"/>
    <n v="29"/>
    <x v="2"/>
  </r>
  <r>
    <s v="ORD-00395"/>
    <x v="46"/>
    <s v="CUST-0045"/>
    <s v="PROD-028"/>
    <x v="9"/>
    <n v="6"/>
    <n v="3660"/>
    <n v="1.5"/>
    <n v="21630.6"/>
    <s v="Completed"/>
    <s v="Chennai"/>
    <x v="2"/>
    <s v="SMB"/>
    <n v="39"/>
    <x v="1"/>
  </r>
  <r>
    <s v="ORD-00396"/>
    <x v="39"/>
    <s v="CUST-0281"/>
    <s v="PROD-056"/>
    <x v="21"/>
    <n v="10"/>
    <n v="6940"/>
    <n v="1.9"/>
    <n v="68081.399999999994"/>
    <s v="Completed"/>
    <s v="Bengaluru"/>
    <x v="1"/>
    <s v="Corporate"/>
    <n v="57"/>
    <x v="3"/>
  </r>
  <r>
    <s v="ORD-00397"/>
    <x v="245"/>
    <s v="CUST-0073"/>
    <s v="PROD-042"/>
    <x v="1"/>
    <n v="8"/>
    <n v="2290"/>
    <n v="27.9"/>
    <n v="13208.72"/>
    <s v="Completed"/>
    <s v="Pune"/>
    <x v="5"/>
    <s v="Corporate"/>
    <n v="40"/>
    <x v="0"/>
  </r>
  <r>
    <s v="ORD-00398"/>
    <x v="52"/>
    <s v="CUST-0043"/>
    <s v="PROD-012"/>
    <x v="6"/>
    <n v="9"/>
    <n v="3160"/>
    <n v="10.199999999999999"/>
    <n v="25539.119999999999"/>
    <s v="Completed"/>
    <s v="Hyderabad"/>
    <x v="0"/>
    <s v="Retail"/>
    <n v="61"/>
    <x v="2"/>
  </r>
  <r>
    <s v="ORD-00399"/>
    <x v="246"/>
    <s v="CUST-0154"/>
    <s v="PROD-034"/>
    <x v="8"/>
    <n v="6"/>
    <n v="5080"/>
    <n v="25.4"/>
    <n v="22738.080000000002"/>
    <s v="Completed"/>
    <s v="Pune"/>
    <x v="3"/>
    <s v="Retail"/>
    <n v="36"/>
    <x v="2"/>
  </r>
  <r>
    <s v="ORD-00400"/>
    <x v="247"/>
    <s v="CUST-0061"/>
    <s v="PROD-021"/>
    <x v="27"/>
    <n v="6"/>
    <n v="2760"/>
    <n v="21.3"/>
    <n v="13032.72"/>
    <s v="Completed"/>
    <s v="Hyderabad"/>
    <x v="2"/>
    <s v="Retail"/>
    <n v="64"/>
    <x v="1"/>
  </r>
  <r>
    <s v="ORD-00401"/>
    <x v="32"/>
    <s v="CUST-9654"/>
    <s v="PROD-009"/>
    <x v="27"/>
    <n v="5"/>
    <n v="1220"/>
    <n v="7.6"/>
    <n v="5636.4"/>
    <s v="Completed"/>
    <s v="Mumbai"/>
    <x v="4"/>
    <e v="#N/A"/>
    <e v="#N/A"/>
    <x v="1"/>
  </r>
  <r>
    <s v="ORD-00402"/>
    <x v="81"/>
    <s v="CUST-0189"/>
    <s v="PROD-046"/>
    <x v="8"/>
    <n v="5"/>
    <n v="4880"/>
    <n v="8.5"/>
    <n v="22326"/>
    <s v="Completed"/>
    <s v="Chennai"/>
    <x v="5"/>
    <s v="Retail"/>
    <n v="41"/>
    <x v="2"/>
  </r>
  <r>
    <s v="ORD-00403"/>
    <x v="102"/>
    <s v="CUST-0152"/>
    <s v="PROD-026"/>
    <x v="24"/>
    <n v="7"/>
    <n v="4070"/>
    <n v="28"/>
    <n v="20512.8"/>
    <s v="Completed"/>
    <s v="Bengaluru"/>
    <x v="2"/>
    <s v="SMB"/>
    <n v="64"/>
    <x v="3"/>
  </r>
  <r>
    <s v="ORD-00404"/>
    <x v="47"/>
    <s v="CUST-0284"/>
    <s v="PROD-006"/>
    <x v="8"/>
    <n v="2"/>
    <n v="3970"/>
    <n v="14"/>
    <n v="6828.4"/>
    <s v="Completed"/>
    <s v="Hyderabad"/>
    <x v="4"/>
    <s v="SMB"/>
    <n v="65"/>
    <x v="2"/>
  </r>
  <r>
    <s v="ORD-00405"/>
    <x v="134"/>
    <s v="CUST-0175"/>
    <s v="PROD-008"/>
    <x v="26"/>
    <n v="9"/>
    <n v="2660"/>
    <n v="10.1"/>
    <n v="21522.06"/>
    <s v="Completed"/>
    <s v="Delhi"/>
    <x v="4"/>
    <s v="Corporate"/>
    <n v="55"/>
    <x v="3"/>
  </r>
  <r>
    <s v="ORD-00406"/>
    <x v="192"/>
    <s v="CUST-0093"/>
    <s v="PROD-055"/>
    <x v="24"/>
    <n v="9"/>
    <n v="2860"/>
    <n v="10.1"/>
    <n v="23140.26"/>
    <s v="Refunded"/>
    <s v="Pune"/>
    <x v="1"/>
    <s v="Retail"/>
    <n v="36"/>
    <x v="3"/>
  </r>
  <r>
    <s v="ORD-00407"/>
    <x v="157"/>
    <s v="CUST-0033"/>
    <s v="PROD-009"/>
    <x v="0"/>
    <n v="7"/>
    <n v="1220"/>
    <n v="23.5"/>
    <n v="6533.1"/>
    <s v="Refunded"/>
    <s v="Delhi"/>
    <x v="4"/>
    <s v="Retail"/>
    <n v="35"/>
    <x v="0"/>
  </r>
  <r>
    <s v="ORD-00408"/>
    <x v="241"/>
    <s v="CUST-0294"/>
    <s v="PROD-022"/>
    <x v="17"/>
    <n v="1"/>
    <n v="2270"/>
    <n v="5.8"/>
    <n v="2138.34"/>
    <s v="Cancelled"/>
    <s v="Delhi"/>
    <x v="2"/>
    <s v="Corporate"/>
    <n v="31"/>
    <x v="2"/>
  </r>
  <r>
    <s v="ORD-00409"/>
    <x v="248"/>
    <s v="CUST-0115"/>
    <s v="PROD-037"/>
    <x v="25"/>
    <n v="2"/>
    <n v="660"/>
    <n v="2.2999999999999998"/>
    <n v="1289.6400000000001"/>
    <s v="Completed"/>
    <s v="Mumbai"/>
    <x v="3"/>
    <s v="SMB"/>
    <n v="65"/>
    <x v="0"/>
  </r>
  <r>
    <s v="ORD-00410"/>
    <x v="236"/>
    <s v="CUST-0219"/>
    <s v="PROD-012"/>
    <x v="2"/>
    <n v="1"/>
    <n v="3160"/>
    <n v="5.6"/>
    <n v="2983.04"/>
    <s v="Completed"/>
    <s v="Chennai"/>
    <x v="0"/>
    <s v="Corporate"/>
    <n v="38"/>
    <x v="1"/>
  </r>
  <r>
    <s v="ORD-00411"/>
    <x v="199"/>
    <s v="CUST-0180"/>
    <s v="PROD-002"/>
    <x v="22"/>
    <n v="1"/>
    <n v="2600"/>
    <n v="1"/>
    <n v="2574"/>
    <s v="Completed"/>
    <s v="Chennai"/>
    <x v="4"/>
    <s v="Retail"/>
    <n v="36"/>
    <x v="1"/>
  </r>
  <r>
    <s v="ORD-00412"/>
    <x v="50"/>
    <s v="CUST-0148"/>
    <s v="PROD-039"/>
    <x v="2"/>
    <n v="4"/>
    <n v="4610"/>
    <n v="18.7"/>
    <n v="14991.72"/>
    <s v="Completed"/>
    <s v="Chennai"/>
    <x v="3"/>
    <s v="Retail"/>
    <n v="32"/>
    <x v="1"/>
  </r>
  <r>
    <s v="ORD-00413"/>
    <x v="249"/>
    <s v="CUST-0026"/>
    <s v="PROD-013"/>
    <x v="26"/>
    <n v="3"/>
    <n v="3640"/>
    <n v="9.6999999999999993"/>
    <n v="9860.76"/>
    <s v="Cancelled"/>
    <s v="Pune"/>
    <x v="0"/>
    <s v="Retail"/>
    <n v="62"/>
    <x v="3"/>
  </r>
  <r>
    <s v="ORD-00414"/>
    <x v="120"/>
    <s v="CUST-0246"/>
    <s v="PROD-015"/>
    <x v="10"/>
    <n v="6"/>
    <n v="2720"/>
    <n v="13"/>
    <n v="14198.4"/>
    <s v="Pending"/>
    <s v="Delhi"/>
    <x v="0"/>
    <s v="SMB"/>
    <n v="29"/>
    <x v="0"/>
  </r>
  <r>
    <s v="ORD-00415"/>
    <x v="128"/>
    <s v="CUST-0125"/>
    <s v="PROD-059"/>
    <x v="4"/>
    <n v="5"/>
    <n v="3780"/>
    <n v="15.2"/>
    <n v="16027.2"/>
    <s v="Completed"/>
    <s v="Delhi"/>
    <x v="1"/>
    <s v="Retail"/>
    <n v="45"/>
    <x v="0"/>
  </r>
  <r>
    <s v="ORD-00416"/>
    <x v="192"/>
    <s v="CUST-0190"/>
    <s v="PROD-035"/>
    <x v="14"/>
    <n v="9"/>
    <n v="1090"/>
    <n v="28.5"/>
    <n v="7014.15"/>
    <s v="Completed"/>
    <s v="Hyderabad"/>
    <x v="3"/>
    <s v="Retail"/>
    <n v="52"/>
    <x v="2"/>
  </r>
  <r>
    <s v="ORD-00417"/>
    <x v="248"/>
    <s v="CUST-0085"/>
    <s v="PROD-035"/>
    <x v="8"/>
    <n v="6"/>
    <n v="1090"/>
    <n v="28.7"/>
    <n v="4663.0200000000004"/>
    <s v="Completed"/>
    <s v="Chennai"/>
    <x v="3"/>
    <s v="Retail"/>
    <n v="26"/>
    <x v="2"/>
  </r>
  <r>
    <s v="ORD-00418"/>
    <x v="250"/>
    <s v="CUST-0249"/>
    <s v="PROD-017"/>
    <x v="14"/>
    <n v="5"/>
    <n v="2510"/>
    <n v="25"/>
    <n v="9412.5"/>
    <s v="Completed"/>
    <s v="Mumbai"/>
    <x v="0"/>
    <s v="Retail"/>
    <n v="44"/>
    <x v="2"/>
  </r>
  <r>
    <s v="ORD-00419"/>
    <x v="251"/>
    <s v="CUST-0012"/>
    <s v="PROD-006"/>
    <x v="9"/>
    <n v="5"/>
    <n v="3970"/>
    <n v="26"/>
    <n v="14689"/>
    <s v="Completed"/>
    <s v="Pune"/>
    <x v="4"/>
    <s v="Retail"/>
    <n v="43"/>
    <x v="1"/>
  </r>
  <r>
    <s v="ORD-00420"/>
    <x v="144"/>
    <s v="CUST-0251"/>
    <s v="PROD-026"/>
    <x v="19"/>
    <n v="9"/>
    <n v="4070"/>
    <n v="15.7"/>
    <n v="30879.09"/>
    <s v="Completed"/>
    <s v="Mumbai"/>
    <x v="2"/>
    <s v="Retail"/>
    <n v="44"/>
    <x v="0"/>
  </r>
  <r>
    <s v="ORD-00421"/>
    <x v="196"/>
    <s v="CUST-0088"/>
    <s v="PROD-038"/>
    <x v="10"/>
    <n v="6"/>
    <n v="5490"/>
    <n v="8.5"/>
    <n v="30140.1"/>
    <s v="Refunded"/>
    <s v="Chennai"/>
    <x v="3"/>
    <s v="Retail"/>
    <n v="24"/>
    <x v="0"/>
  </r>
  <r>
    <s v="ORD-00422"/>
    <x v="70"/>
    <s v="CUST-0037"/>
    <s v="PROD-054"/>
    <x v="24"/>
    <n v="9"/>
    <n v="1010"/>
    <n v="3.6"/>
    <n v="8762.76"/>
    <s v="Completed"/>
    <s v="Bengaluru"/>
    <x v="1"/>
    <s v="Retail"/>
    <n v="52"/>
    <x v="3"/>
  </r>
  <r>
    <s v="ORD-00423"/>
    <x v="252"/>
    <s v="CUST-0039"/>
    <s v="PROD-028"/>
    <x v="4"/>
    <n v="6"/>
    <n v="3660"/>
    <n v="10.8"/>
    <n v="19588.32"/>
    <s v="Completed"/>
    <s v="Bengaluru"/>
    <x v="2"/>
    <s v="Retail"/>
    <n v="37"/>
    <x v="0"/>
  </r>
  <r>
    <s v="ORD-00424"/>
    <x v="111"/>
    <s v="CUST-0106"/>
    <s v="PROD-047"/>
    <x v="29"/>
    <n v="6"/>
    <n v="3450"/>
    <n v="10.7"/>
    <n v="18485.099999999999"/>
    <s v="Completed"/>
    <s v="Pune"/>
    <x v="5"/>
    <s v="Retail"/>
    <n v="22"/>
    <x v="1"/>
  </r>
  <r>
    <s v="ORD-00425"/>
    <x v="229"/>
    <s v="CUST-0222"/>
    <s v="PROD-026"/>
    <x v="23"/>
    <n v="10"/>
    <n v="4070"/>
    <n v="23.4"/>
    <n v="31176.2"/>
    <s v="Refunded"/>
    <s v="Chennai"/>
    <x v="2"/>
    <s v="Retail"/>
    <n v="37"/>
    <x v="1"/>
  </r>
  <r>
    <s v="ORD-00426"/>
    <x v="253"/>
    <s v="CUST-0130"/>
    <s v="PROD-003"/>
    <x v="5"/>
    <n v="9"/>
    <n v="3570"/>
    <n v="15.2"/>
    <n v="27246.240000000002"/>
    <s v="Completed"/>
    <s v="Bengaluru"/>
    <x v="4"/>
    <s v="Corporate"/>
    <n v="41"/>
    <x v="2"/>
  </r>
  <r>
    <s v="ORD-00427"/>
    <x v="254"/>
    <s v="CUST-0281"/>
    <s v="PROD-056"/>
    <x v="1"/>
    <n v="10"/>
    <n v="6940"/>
    <n v="21.8"/>
    <n v="54270.8"/>
    <s v="Pending"/>
    <s v="Bengaluru"/>
    <x v="1"/>
    <s v="Corporate"/>
    <n v="57"/>
    <x v="0"/>
  </r>
  <r>
    <s v="ORD-00428"/>
    <x v="135"/>
    <s v="CUST-0094"/>
    <s v="PROD-044"/>
    <x v="2"/>
    <n v="9"/>
    <n v="1650"/>
    <n v="24.3"/>
    <n v="11241.45"/>
    <s v="Completed"/>
    <s v="Pune"/>
    <x v="5"/>
    <s v="SMB"/>
    <n v="60"/>
    <x v="1"/>
  </r>
  <r>
    <s v="ORD-00429"/>
    <x v="207"/>
    <s v="CUST-0271"/>
    <s v="PROD-007"/>
    <x v="2"/>
    <n v="10"/>
    <n v="1430"/>
    <n v="25.2"/>
    <n v="10696.4"/>
    <s v="Completed"/>
    <s v="Bengaluru"/>
    <x v="4"/>
    <s v="Corporate"/>
    <n v="41"/>
    <x v="1"/>
  </r>
  <r>
    <s v="ORD-00430"/>
    <x v="178"/>
    <s v="CUST-0110"/>
    <s v="PROD-025"/>
    <x v="9"/>
    <n v="4"/>
    <n v="4060"/>
    <n v="1.6"/>
    <n v="15980.16"/>
    <s v="Completed"/>
    <s v="Pune"/>
    <x v="2"/>
    <s v="Corporate"/>
    <n v="31"/>
    <x v="1"/>
  </r>
  <r>
    <s v="ORD-00431"/>
    <x v="103"/>
    <s v="CUST-0262"/>
    <s v="PROD-032"/>
    <x v="1"/>
    <n v="9"/>
    <n v="370"/>
    <n v="17"/>
    <n v="2763.9"/>
    <s v="Completed"/>
    <s v="Mumbai"/>
    <x v="3"/>
    <s v="Retail"/>
    <n v="52"/>
    <x v="0"/>
  </r>
  <r>
    <s v="ORD-00432"/>
    <x v="94"/>
    <s v="CUST-0157"/>
    <s v="PROD-041"/>
    <x v="9"/>
    <n v="1"/>
    <n v="1540"/>
    <n v="24"/>
    <n v="1170.4000000000001"/>
    <s v="Cancelled"/>
    <s v="Pune"/>
    <x v="5"/>
    <s v="Corporate"/>
    <n v="52"/>
    <x v="1"/>
  </r>
  <r>
    <s v="ORD-00433"/>
    <x v="143"/>
    <s v="CUST-0135"/>
    <s v="PROD-002"/>
    <x v="5"/>
    <n v="9"/>
    <n v="2600"/>
    <n v="7.7"/>
    <n v="21598.2"/>
    <s v="Completed"/>
    <s v="Pune"/>
    <x v="4"/>
    <s v="SMB"/>
    <n v="24"/>
    <x v="2"/>
  </r>
  <r>
    <s v="ORD-00434"/>
    <x v="255"/>
    <s v="CUST-0136"/>
    <s v="PROD-017"/>
    <x v="15"/>
    <n v="8"/>
    <n v="2510"/>
    <n v="3.7"/>
    <n v="19337.04"/>
    <s v="Completed"/>
    <s v="Chennai"/>
    <x v="0"/>
    <s v="SMB"/>
    <n v="26"/>
    <x v="1"/>
  </r>
  <r>
    <s v="ORD-00435"/>
    <x v="256"/>
    <s v="CUST-0110"/>
    <s v="PROD-001"/>
    <x v="11"/>
    <n v="6"/>
    <n v="5330"/>
    <n v="8.4"/>
    <n v="29293.68"/>
    <s v="Completed"/>
    <s v="Pune"/>
    <x v="4"/>
    <s v="Corporate"/>
    <n v="31"/>
    <x v="0"/>
  </r>
  <r>
    <s v="ORD-00436"/>
    <x v="190"/>
    <s v="CUST-0192"/>
    <s v="PROD-034"/>
    <x v="2"/>
    <n v="5"/>
    <n v="5080"/>
    <n v="10.3"/>
    <n v="22783.8"/>
    <s v="Completed"/>
    <s v="Bengaluru"/>
    <x v="3"/>
    <s v="Retail"/>
    <n v="55"/>
    <x v="1"/>
  </r>
  <r>
    <s v="ORD-00437"/>
    <x v="257"/>
    <s v="CUST-0169"/>
    <s v="PROD-026"/>
    <x v="5"/>
    <n v="3"/>
    <n v="4070"/>
    <n v="23.7"/>
    <n v="9316.23"/>
    <s v="Completed"/>
    <s v="Bengaluru"/>
    <x v="2"/>
    <s v="SMB"/>
    <n v="42"/>
    <x v="2"/>
  </r>
  <r>
    <s v="ORD-00438"/>
    <x v="187"/>
    <s v="CUST-0086"/>
    <s v="PROD-016"/>
    <x v="22"/>
    <n v="4"/>
    <n v="620"/>
    <n v="18.8"/>
    <n v="2013.76"/>
    <s v="Completed"/>
    <s v="Hyderabad"/>
    <x v="0"/>
    <s v="Corporate"/>
    <n v="56"/>
    <x v="1"/>
  </r>
  <r>
    <s v="ORD-00439"/>
    <x v="108"/>
    <s v="CUST-0217"/>
    <s v="PROD-010"/>
    <x v="21"/>
    <n v="10"/>
    <n v="2640"/>
    <n v="12.7"/>
    <n v="23047.200000000001"/>
    <s v="Completed"/>
    <s v="Pune"/>
    <x v="4"/>
    <s v="SMB"/>
    <n v="59"/>
    <x v="3"/>
  </r>
  <r>
    <s v="ORD-00440"/>
    <x v="179"/>
    <s v="CUST-0119"/>
    <s v="PROD-026"/>
    <x v="14"/>
    <n v="2"/>
    <n v="4070"/>
    <n v="29"/>
    <n v="5779.4"/>
    <s v="Completed"/>
    <s v="Bengaluru"/>
    <x v="2"/>
    <s v="SMB"/>
    <n v="43"/>
    <x v="2"/>
  </r>
  <r>
    <s v="ORD-00441"/>
    <x v="230"/>
    <s v="CUST-0011"/>
    <s v="PROD-054"/>
    <x v="0"/>
    <n v="8"/>
    <n v="1010"/>
    <n v="25.4"/>
    <n v="6027.68"/>
    <s v="Completed"/>
    <s v="Chennai"/>
    <x v="1"/>
    <s v="Corporate"/>
    <n v="41"/>
    <x v="0"/>
  </r>
  <r>
    <s v="ORD-00442"/>
    <x v="98"/>
    <s v="CUST-0059"/>
    <s v="PROD-036"/>
    <x v="1"/>
    <n v="8"/>
    <n v="3250"/>
    <n v="5.4"/>
    <n v="24596"/>
    <s v="Completed"/>
    <s v="Pune"/>
    <x v="3"/>
    <s v="Corporate"/>
    <n v="29"/>
    <x v="0"/>
  </r>
  <r>
    <s v="ORD-00443"/>
    <x v="151"/>
    <s v="CUST-0210"/>
    <s v="PROD-007"/>
    <x v="18"/>
    <n v="7"/>
    <n v="1430"/>
    <n v="19.3"/>
    <n v="8078.07"/>
    <s v="Completed"/>
    <s v="Pune"/>
    <x v="4"/>
    <s v="Corporate"/>
    <n v="48"/>
    <x v="1"/>
  </r>
  <r>
    <s v="ORD-00444"/>
    <x v="100"/>
    <s v="CUST-0145"/>
    <s v="PROD-045"/>
    <x v="26"/>
    <n v="9"/>
    <n v="3020"/>
    <n v="15"/>
    <n v="23103"/>
    <s v="Completed"/>
    <s v="Bengaluru"/>
    <x v="5"/>
    <s v="SMB"/>
    <n v="44"/>
    <x v="3"/>
  </r>
  <r>
    <s v="ORD-00445"/>
    <x v="258"/>
    <s v="CUST-9626"/>
    <s v="PROD-008"/>
    <x v="25"/>
    <n v="2"/>
    <n v="2660"/>
    <n v="21.4"/>
    <n v="4181.5200000000004"/>
    <s v="Completed"/>
    <s v="Chennai"/>
    <x v="4"/>
    <e v="#N/A"/>
    <e v="#N/A"/>
    <x v="0"/>
  </r>
  <r>
    <s v="ORD-00446"/>
    <x v="156"/>
    <s v="CUST-0250"/>
    <s v="PROD-003"/>
    <x v="7"/>
    <n v="10"/>
    <n v="3570"/>
    <n v="20.3"/>
    <n v="28452.9"/>
    <s v="Completed"/>
    <s v="Delhi"/>
    <x v="4"/>
    <s v="Retail"/>
    <n v="31"/>
    <x v="3"/>
  </r>
  <r>
    <s v="ORD-00447"/>
    <x v="259"/>
    <s v="CUST-0241"/>
    <s v="PROD-043"/>
    <x v="9"/>
    <n v="4"/>
    <n v="3350"/>
    <n v="28.1"/>
    <n v="9634.6"/>
    <s v="Completed"/>
    <s v="Pune"/>
    <x v="5"/>
    <s v="Corporate"/>
    <n v="47"/>
    <x v="1"/>
  </r>
  <r>
    <s v="ORD-00448"/>
    <x v="260"/>
    <s v="CUST-0071"/>
    <s v="PROD-019"/>
    <x v="13"/>
    <n v="1"/>
    <n v="2480"/>
    <n v="13.5"/>
    <n v="2145.1999999999998"/>
    <s v="Completed"/>
    <s v="Delhi"/>
    <x v="0"/>
    <s v="Corporate"/>
    <n v="46"/>
    <x v="3"/>
  </r>
  <r>
    <s v="ORD-00449"/>
    <x v="51"/>
    <s v="CUST-0017"/>
    <s v="PROD-052"/>
    <x v="15"/>
    <n v="10"/>
    <n v="5410"/>
    <n v="26.1"/>
    <n v="39979.9"/>
    <s v="Completed"/>
    <s v="Delhi"/>
    <x v="1"/>
    <s v="SMB"/>
    <n v="38"/>
    <x v="1"/>
  </r>
  <r>
    <s v="ORD-00450"/>
    <x v="261"/>
    <s v="CUST-0007"/>
    <s v="PROD-037"/>
    <x v="12"/>
    <n v="2"/>
    <n v="660"/>
    <n v="5"/>
    <n v="1254"/>
    <s v="Completed"/>
    <s v="Bengaluru"/>
    <x v="3"/>
    <s v="Retail"/>
    <n v="47"/>
    <x v="3"/>
  </r>
  <r>
    <s v="ORD-00451"/>
    <x v="262"/>
    <s v="CUST-0054"/>
    <s v="PROD-054"/>
    <x v="0"/>
    <n v="10"/>
    <n v="1010"/>
    <n v="10"/>
    <n v="9090"/>
    <s v="Completed"/>
    <s v="Mumbai"/>
    <x v="1"/>
    <s v="Corporate"/>
    <n v="62"/>
    <x v="0"/>
  </r>
  <r>
    <s v="ORD-00452"/>
    <x v="263"/>
    <s v="CUST-0038"/>
    <s v="PROD-042"/>
    <x v="19"/>
    <n v="3"/>
    <n v="2290"/>
    <n v="8.9"/>
    <n v="6258.57"/>
    <s v="Completed"/>
    <s v="Mumbai"/>
    <x v="5"/>
    <s v="Retail"/>
    <n v="57"/>
    <x v="0"/>
  </r>
  <r>
    <s v="ORD-00453"/>
    <x v="264"/>
    <s v="CUST-0066"/>
    <s v="PROD-047"/>
    <x v="19"/>
    <n v="9"/>
    <n v="3450"/>
    <n v="24.3"/>
    <n v="23504.85"/>
    <s v="Completed"/>
    <s v="Delhi"/>
    <x v="5"/>
    <s v="Retail"/>
    <n v="24"/>
    <x v="0"/>
  </r>
  <r>
    <s v="ORD-00454"/>
    <x v="44"/>
    <s v="CUST-0161"/>
    <s v="PROD-013"/>
    <x v="11"/>
    <n v="10"/>
    <n v="3640"/>
    <n v="21.4"/>
    <n v="28610.400000000001"/>
    <s v="Cancelled"/>
    <s v="Chennai"/>
    <x v="0"/>
    <s v="Retail"/>
    <n v="38"/>
    <x v="0"/>
  </r>
  <r>
    <s v="ORD-00455"/>
    <x v="260"/>
    <s v="CUST-0072"/>
    <s v="PROD-023"/>
    <x v="15"/>
    <n v="5"/>
    <n v="2380"/>
    <n v="12.2"/>
    <n v="10448.200000000001"/>
    <s v="Completed"/>
    <s v="Mumbai"/>
    <x v="2"/>
    <s v="Corporate"/>
    <n v="62"/>
    <x v="1"/>
  </r>
  <r>
    <s v="ORD-00456"/>
    <x v="265"/>
    <s v="CUST-0232"/>
    <s v="PROD-052"/>
    <x v="21"/>
    <n v="10"/>
    <n v="5410"/>
    <n v="29.8"/>
    <n v="37978.199999999997"/>
    <s v="Completed"/>
    <s v="Hyderabad"/>
    <x v="1"/>
    <s v="Retail"/>
    <n v="38"/>
    <x v="3"/>
  </r>
  <r>
    <s v="ORD-00457"/>
    <x v="67"/>
    <s v="CUST-0054"/>
    <s v="PROD-044"/>
    <x v="13"/>
    <n v="3"/>
    <n v="1650"/>
    <n v="9.4"/>
    <n v="4484.7"/>
    <s v="Cancelled"/>
    <s v="Mumbai"/>
    <x v="5"/>
    <s v="Corporate"/>
    <n v="62"/>
    <x v="3"/>
  </r>
  <r>
    <s v="ORD-00458"/>
    <x v="266"/>
    <s v="CUST-0214"/>
    <s v="PROD-002"/>
    <x v="24"/>
    <n v="7"/>
    <n v="2600"/>
    <n v="19.899999999999999"/>
    <n v="14578.2"/>
    <s v="Pending"/>
    <s v="Mumbai"/>
    <x v="4"/>
    <s v="Retail"/>
    <n v="22"/>
    <x v="3"/>
  </r>
  <r>
    <s v="ORD-00135"/>
    <x v="267"/>
    <s v="CUST-0236"/>
    <s v="PROD-039"/>
    <x v="25"/>
    <n v="4"/>
    <n v="4610"/>
    <n v="13.2"/>
    <n v="16005.92"/>
    <s v="Completed"/>
    <s v="Hyderabad"/>
    <x v="3"/>
    <s v="SMB"/>
    <n v="28"/>
    <x v="0"/>
  </r>
  <r>
    <s v="ORD-00460"/>
    <x v="268"/>
    <s v="CUST-0031"/>
    <s v="PROD-039"/>
    <x v="13"/>
    <n v="9"/>
    <n v="4610"/>
    <n v="25.8"/>
    <n v="30785.58"/>
    <s v="Completed"/>
    <s v="Hyderabad"/>
    <x v="3"/>
    <s v="Retail"/>
    <n v="53"/>
    <x v="3"/>
  </r>
  <r>
    <s v="ORD-00461"/>
    <x v="269"/>
    <s v="CUST-0123"/>
    <s v="PROD-005"/>
    <x v="2"/>
    <n v="5"/>
    <n v="300"/>
    <n v="11.8"/>
    <n v="1323"/>
    <s v="Completed"/>
    <s v="Chennai"/>
    <x v="4"/>
    <s v="Corporate"/>
    <n v="44"/>
    <x v="1"/>
  </r>
  <r>
    <s v="ORD-00462"/>
    <x v="270"/>
    <s v="CUST-0019"/>
    <s v="PROD-011"/>
    <x v="16"/>
    <n v="3"/>
    <n v="3450"/>
    <n v="14.2"/>
    <n v="8880.2999999999993"/>
    <s v="Completed"/>
    <s v="Chennai"/>
    <x v="0"/>
    <s v="Retail"/>
    <n v="22"/>
    <x v="3"/>
  </r>
  <r>
    <s v="ORD-00463"/>
    <x v="271"/>
    <s v="CUST-0171"/>
    <s v="PROD-015"/>
    <x v="8"/>
    <n v="2"/>
    <n v="2720"/>
    <n v="14.6"/>
    <n v="4645.76"/>
    <s v="Cancelled"/>
    <s v="Chennai"/>
    <x v="0"/>
    <s v="Corporate"/>
    <n v="30"/>
    <x v="2"/>
  </r>
  <r>
    <s v="ORD-00464"/>
    <x v="17"/>
    <s v="CUST-0166"/>
    <s v="PROD-008"/>
    <x v="21"/>
    <n v="7"/>
    <n v="2660"/>
    <n v="27.4"/>
    <n v="13518.12"/>
    <s v="Cancelled"/>
    <s v="Hyderabad"/>
    <x v="4"/>
    <s v="Retail"/>
    <n v="31"/>
    <x v="3"/>
  </r>
  <r>
    <s v="ORD-00465"/>
    <x v="272"/>
    <s v="CUST-0151"/>
    <s v="PROD-051"/>
    <x v="1"/>
    <n v="8"/>
    <n v="3450"/>
    <n v="20.399999999999999"/>
    <n v="21969.599999999999"/>
    <s v="Completed"/>
    <s v="Mumbai"/>
    <x v="1"/>
    <s v="Retail"/>
    <n v="53"/>
    <x v="0"/>
  </r>
  <r>
    <s v="ORD-00466"/>
    <x v="273"/>
    <s v="CUST-0027"/>
    <s v="PROD-052"/>
    <x v="29"/>
    <n v="2"/>
    <n v="5410"/>
    <n v="7.2"/>
    <n v="10040.959999999999"/>
    <s v="Completed"/>
    <s v="Hyderabad"/>
    <x v="1"/>
    <s v="Corporate"/>
    <n v="52"/>
    <x v="1"/>
  </r>
  <r>
    <s v="ORD-00467"/>
    <x v="162"/>
    <s v="CUST-0171"/>
    <s v="PROD-004"/>
    <x v="22"/>
    <n v="3"/>
    <n v="3870"/>
    <n v="4.2"/>
    <n v="11122.38"/>
    <s v="Completed"/>
    <s v="Chennai"/>
    <x v="4"/>
    <s v="Corporate"/>
    <n v="30"/>
    <x v="1"/>
  </r>
  <r>
    <s v="ORD-00468"/>
    <x v="60"/>
    <s v="CUST-0094"/>
    <s v="PROD-024"/>
    <x v="1"/>
    <n v="10"/>
    <n v="2270"/>
    <n v="17.3"/>
    <n v="18772.900000000001"/>
    <s v="Completed"/>
    <s v="Pune"/>
    <x v="2"/>
    <s v="SMB"/>
    <n v="60"/>
    <x v="0"/>
  </r>
  <r>
    <s v="ORD-00469"/>
    <x v="18"/>
    <s v="CUST-0223"/>
    <s v="PROD-001"/>
    <x v="5"/>
    <n v="1"/>
    <n v="5330"/>
    <n v="24.2"/>
    <n v="4040.14"/>
    <s v="Completed"/>
    <s v="Bengaluru"/>
    <x v="4"/>
    <s v="Retail"/>
    <n v="46"/>
    <x v="2"/>
  </r>
  <r>
    <s v="ORD-00470"/>
    <x v="85"/>
    <s v="CUST-0281"/>
    <s v="PROD-043"/>
    <x v="15"/>
    <n v="2"/>
    <n v="3350"/>
    <n v="23.4"/>
    <n v="5132.2"/>
    <s v="Completed"/>
    <s v="Bengaluru"/>
    <x v="5"/>
    <s v="Corporate"/>
    <n v="57"/>
    <x v="1"/>
  </r>
  <r>
    <s v="ORD-00471"/>
    <x v="274"/>
    <s v="CUST-0148"/>
    <s v="PROD-045"/>
    <x v="3"/>
    <n v="7"/>
    <n v="3020"/>
    <n v="23.7"/>
    <n v="16129.82"/>
    <s v="Completed"/>
    <s v="Chennai"/>
    <x v="5"/>
    <s v="Retail"/>
    <n v="32"/>
    <x v="0"/>
  </r>
  <r>
    <s v="ORD-00472"/>
    <x v="275"/>
    <s v="CUST-0010"/>
    <s v="PROD-012"/>
    <x v="16"/>
    <n v="7"/>
    <n v="3160"/>
    <n v="22.8"/>
    <n v="17076.64"/>
    <s v="Completed"/>
    <s v="Mumbai"/>
    <x v="0"/>
    <s v="SMB"/>
    <n v="61"/>
    <x v="3"/>
  </r>
  <r>
    <s v="ORD-00473"/>
    <x v="110"/>
    <s v="CUST-0254"/>
    <s v="PROD-053"/>
    <x v="16"/>
    <n v="2"/>
    <n v="470"/>
    <n v="28.8"/>
    <n v="669.28"/>
    <s v="Cancelled"/>
    <s v="Bengaluru"/>
    <x v="1"/>
    <s v="Retail"/>
    <n v="35"/>
    <x v="3"/>
  </r>
  <r>
    <s v="ORD-00474"/>
    <x v="253"/>
    <s v="CUST-0126"/>
    <s v="PROD-036"/>
    <x v="13"/>
    <n v="2"/>
    <n v="3250"/>
    <n v="24.7"/>
    <n v="4894.5"/>
    <s v="Completed"/>
    <s v="Mumbai"/>
    <x v="3"/>
    <s v="Retail"/>
    <n v="37"/>
    <x v="3"/>
  </r>
  <r>
    <s v="ORD-00475"/>
    <x v="252"/>
    <s v="CUST-0018"/>
    <s v="PROD-054"/>
    <x v="12"/>
    <n v="2"/>
    <n v="1010"/>
    <n v="5.2"/>
    <n v="1914.96"/>
    <s v="Cancelled"/>
    <s v="Pune"/>
    <x v="1"/>
    <s v="SMB"/>
    <n v="54"/>
    <x v="3"/>
  </r>
  <r>
    <s v="ORD-00476"/>
    <x v="276"/>
    <s v="CUST-0089"/>
    <s v="PROD-005"/>
    <x v="19"/>
    <n v="9"/>
    <n v="300"/>
    <n v="7.9"/>
    <n v="2486.6999999999998"/>
    <s v="Completed"/>
    <s v="Mumbai"/>
    <x v="4"/>
    <s v="SMB"/>
    <n v="43"/>
    <x v="0"/>
  </r>
  <r>
    <s v="ORD-00477"/>
    <x v="277"/>
    <s v="CUST-0157"/>
    <s v="PROD-048"/>
    <x v="3"/>
    <n v="10"/>
    <n v="5100"/>
    <n v="26.3"/>
    <n v="37587"/>
    <s v="Pending"/>
    <s v="Pune"/>
    <x v="5"/>
    <s v="Corporate"/>
    <n v="52"/>
    <x v="0"/>
  </r>
  <r>
    <s v="ORD-00478"/>
    <x v="278"/>
    <s v="CUST-0201"/>
    <s v="PROD-043"/>
    <x v="8"/>
    <n v="1"/>
    <n v="3350"/>
    <n v="8.5"/>
    <n v="3065.25"/>
    <s v="Cancelled"/>
    <s v="Hyderabad"/>
    <x v="5"/>
    <s v="Retail"/>
    <n v="31"/>
    <x v="2"/>
  </r>
  <r>
    <s v="ORD-01195"/>
    <x v="211"/>
    <s v="CUST-0091"/>
    <s v="PROD-036"/>
    <x v="24"/>
    <n v="2"/>
    <n v="3250"/>
    <n v="25.7"/>
    <n v="4829.5"/>
    <s v="Refunded"/>
    <s v="Delhi"/>
    <x v="3"/>
    <s v="Retail"/>
    <n v="55"/>
    <x v="3"/>
  </r>
  <r>
    <s v="ORD-00480"/>
    <x v="279"/>
    <s v="CUST-0052"/>
    <s v="PROD-028"/>
    <x v="4"/>
    <n v="10"/>
    <n v="3660"/>
    <n v="12"/>
    <n v="32208"/>
    <s v="Completed"/>
    <s v="Pune"/>
    <x v="2"/>
    <s v="Retail"/>
    <n v="38"/>
    <x v="0"/>
  </r>
  <r>
    <s v="ORD-00481"/>
    <x v="126"/>
    <s v="CUST-0069"/>
    <s v="PROD-058"/>
    <x v="18"/>
    <n v="1"/>
    <n v="2400"/>
    <n v="24.5"/>
    <n v="1812"/>
    <s v="Completed"/>
    <s v="Chennai"/>
    <x v="1"/>
    <s v="Retail"/>
    <n v="51"/>
    <x v="1"/>
  </r>
  <r>
    <s v="ORD-00482"/>
    <x v="263"/>
    <s v="CUST-0294"/>
    <s v="PROD-035"/>
    <x v="9"/>
    <n v="1"/>
    <n v="1090"/>
    <n v="18.399999999999999"/>
    <n v="889.44"/>
    <s v="Completed"/>
    <s v="Delhi"/>
    <x v="3"/>
    <s v="Corporate"/>
    <n v="31"/>
    <x v="1"/>
  </r>
  <r>
    <s v="ORD-00483"/>
    <x v="280"/>
    <s v="CUST-0019"/>
    <s v="PROD-059"/>
    <x v="15"/>
    <n v="6"/>
    <n v="3780"/>
    <n v="15.9"/>
    <n v="19073.88"/>
    <s v="Completed"/>
    <s v="Chennai"/>
    <x v="1"/>
    <s v="Retail"/>
    <n v="22"/>
    <x v="1"/>
  </r>
  <r>
    <s v="ORD-00484"/>
    <x v="259"/>
    <s v="CUST-0087"/>
    <s v="PROD-043"/>
    <x v="7"/>
    <n v="3"/>
    <n v="3350"/>
    <n v="18.8"/>
    <n v="8160.6"/>
    <s v="Refunded"/>
    <s v="Pune"/>
    <x v="5"/>
    <s v="SMB"/>
    <n v="49"/>
    <x v="3"/>
  </r>
  <r>
    <s v="ORD-00485"/>
    <x v="46"/>
    <s v="CUST-0281"/>
    <s v="PROD-040"/>
    <x v="14"/>
    <n v="3"/>
    <n v="1080"/>
    <n v="3.4"/>
    <n v="3129.84"/>
    <s v="Completed"/>
    <s v="Bengaluru"/>
    <x v="3"/>
    <s v="Corporate"/>
    <n v="57"/>
    <x v="2"/>
  </r>
  <r>
    <s v="ORD-00486"/>
    <x v="281"/>
    <s v="CUST-0248"/>
    <s v="PROD-026"/>
    <x v="24"/>
    <n v="6"/>
    <n v="4070"/>
    <n v="27.7"/>
    <n v="17655.66"/>
    <s v="Pending"/>
    <s v="Chennai"/>
    <x v="2"/>
    <s v="SMB"/>
    <n v="57"/>
    <x v="3"/>
  </r>
  <r>
    <s v="ORD-00487"/>
    <x v="282"/>
    <s v="CUST-0019"/>
    <s v="PROD-041"/>
    <x v="17"/>
    <n v="5"/>
    <n v="1540"/>
    <n v="24.9"/>
    <n v="5782.7"/>
    <s v="Completed"/>
    <s v="Chennai"/>
    <x v="5"/>
    <s v="Retail"/>
    <n v="22"/>
    <x v="2"/>
  </r>
  <r>
    <s v="ORD-00488"/>
    <x v="255"/>
    <s v="CUST-0092"/>
    <s v="PROD-021"/>
    <x v="8"/>
    <n v="6"/>
    <n v="2760"/>
    <n v="29.9"/>
    <n v="11608.56"/>
    <s v="Completed"/>
    <s v="Bengaluru"/>
    <x v="2"/>
    <s v="SMB"/>
    <n v="28"/>
    <x v="2"/>
  </r>
  <r>
    <s v="ORD-00489"/>
    <x v="167"/>
    <s v="CUST-0195"/>
    <s v="PROD-006"/>
    <x v="24"/>
    <n v="8"/>
    <n v="3970"/>
    <n v="23.7"/>
    <n v="24232.880000000001"/>
    <s v="Completed"/>
    <s v="Bengaluru"/>
    <x v="4"/>
    <s v="Retail"/>
    <n v="28"/>
    <x v="3"/>
  </r>
  <r>
    <s v="ORD-00490"/>
    <x v="254"/>
    <s v="CUST-0126"/>
    <s v="PROD-011"/>
    <x v="13"/>
    <n v="1"/>
    <n v="3450"/>
    <n v="7.4"/>
    <n v="3194.7"/>
    <s v="Completed"/>
    <s v="Mumbai"/>
    <x v="0"/>
    <s v="Retail"/>
    <n v="37"/>
    <x v="3"/>
  </r>
  <r>
    <s v="ORD-00491"/>
    <x v="231"/>
    <s v="CUST-0274"/>
    <s v="PROD-018"/>
    <x v="1"/>
    <n v="3"/>
    <n v="3560"/>
    <n v="15.2"/>
    <n v="9056.64"/>
    <s v="Completed"/>
    <s v="Bengaluru"/>
    <x v="0"/>
    <s v="Corporate"/>
    <n v="36"/>
    <x v="0"/>
  </r>
  <r>
    <s v="ORD-00492"/>
    <x v="49"/>
    <s v="CUST-0059"/>
    <s v="PROD-003"/>
    <x v="14"/>
    <n v="4"/>
    <n v="3570"/>
    <n v="18.899999999999999"/>
    <n v="11581.08"/>
    <s v="Completed"/>
    <s v="Pune"/>
    <x v="4"/>
    <s v="Corporate"/>
    <n v="29"/>
    <x v="2"/>
  </r>
  <r>
    <s v="ORD-00493"/>
    <x v="22"/>
    <s v="CUST-0264"/>
    <s v="PROD-057"/>
    <x v="5"/>
    <n v="9"/>
    <n v="960"/>
    <n v="14"/>
    <n v="7430.4"/>
    <s v="Refunded"/>
    <s v="Pune"/>
    <x v="1"/>
    <s v="Retail"/>
    <n v="59"/>
    <x v="2"/>
  </r>
  <r>
    <s v="ORD-00494"/>
    <x v="5"/>
    <s v="CUST-0157"/>
    <s v="PROD-047"/>
    <x v="29"/>
    <n v="9"/>
    <n v="3450"/>
    <n v="6"/>
    <n v="29187"/>
    <s v="Cancelled"/>
    <s v="Pune"/>
    <x v="5"/>
    <s v="Corporate"/>
    <n v="52"/>
    <x v="1"/>
  </r>
  <r>
    <s v="ORD-00495"/>
    <x v="136"/>
    <s v="CUST-0028"/>
    <s v="PROD-043"/>
    <x v="27"/>
    <n v="7"/>
    <n v="3350"/>
    <n v="14"/>
    <n v="20167"/>
    <s v="Cancelled"/>
    <s v="Bengaluru"/>
    <x v="5"/>
    <s v="Retail"/>
    <n v="59"/>
    <x v="1"/>
  </r>
  <r>
    <s v="ORD-00496"/>
    <x v="129"/>
    <s v="CUST-0033"/>
    <s v="PROD-049"/>
    <x v="10"/>
    <n v="6"/>
    <n v="960"/>
    <n v="10.1"/>
    <n v="5178.24"/>
    <s v="Completed"/>
    <s v="Delhi"/>
    <x v="5"/>
    <s v="Retail"/>
    <n v="35"/>
    <x v="0"/>
  </r>
  <r>
    <s v="ORD-00497"/>
    <x v="186"/>
    <s v="CUST-0280"/>
    <s v="PROD-005"/>
    <x v="29"/>
    <n v="7"/>
    <n v="300"/>
    <n v="21.9"/>
    <n v="1640.1"/>
    <s v="Completed"/>
    <s v="Delhi"/>
    <x v="4"/>
    <s v="SMB"/>
    <n v="27"/>
    <x v="1"/>
  </r>
  <r>
    <s v="ORD-00498"/>
    <x v="44"/>
    <s v="CUST-0232"/>
    <s v="PROD-023"/>
    <x v="7"/>
    <n v="2"/>
    <n v="2380"/>
    <n v="6.8"/>
    <n v="4436.32"/>
    <s v="Completed"/>
    <s v="Hyderabad"/>
    <x v="2"/>
    <s v="Retail"/>
    <n v="38"/>
    <x v="3"/>
  </r>
  <r>
    <s v="ORD-00499"/>
    <x v="129"/>
    <s v="CUST-0270"/>
    <s v="PROD-057"/>
    <x v="6"/>
    <n v="5"/>
    <n v="960"/>
    <n v="15"/>
    <n v="4080"/>
    <s v="Cancelled"/>
    <s v="Bengaluru"/>
    <x v="1"/>
    <s v="Retail"/>
    <n v="29"/>
    <x v="2"/>
  </r>
  <r>
    <s v="ORD-00500"/>
    <x v="251"/>
    <s v="CUST-0203"/>
    <s v="PROD-059"/>
    <x v="27"/>
    <n v="10"/>
    <n v="3780"/>
    <n v="24.1"/>
    <n v="28690.2"/>
    <s v="Refunded"/>
    <s v="Chennai"/>
    <x v="1"/>
    <s v="SMB"/>
    <n v="55"/>
    <x v="1"/>
  </r>
  <r>
    <s v="ORD-00501"/>
    <x v="36"/>
    <s v="CUST-0069"/>
    <s v="PROD-041"/>
    <x v="16"/>
    <n v="4"/>
    <n v="1540"/>
    <n v="14.2"/>
    <n v="5285.28"/>
    <s v="Cancelled"/>
    <s v="Chennai"/>
    <x v="5"/>
    <s v="Retail"/>
    <n v="51"/>
    <x v="3"/>
  </r>
  <r>
    <s v="ORD-00502"/>
    <x v="113"/>
    <s v="CUST-0037"/>
    <s v="PROD-017"/>
    <x v="1"/>
    <n v="10"/>
    <n v="2510"/>
    <n v="20.8"/>
    <n v="19879.2"/>
    <s v="Completed"/>
    <s v="Bengaluru"/>
    <x v="0"/>
    <s v="Retail"/>
    <n v="52"/>
    <x v="0"/>
  </r>
  <r>
    <s v="ORD-00503"/>
    <x v="163"/>
    <s v="CUST-0149"/>
    <s v="PROD-025"/>
    <x v="2"/>
    <n v="9"/>
    <n v="4060"/>
    <n v="27.1"/>
    <n v="26637.66"/>
    <s v="Completed"/>
    <s v="Hyderabad"/>
    <x v="2"/>
    <s v="Retail"/>
    <n v="44"/>
    <x v="1"/>
  </r>
  <r>
    <s v="ORD-00504"/>
    <x v="198"/>
    <s v="CUST-0131"/>
    <s v="PROD-058"/>
    <x v="5"/>
    <n v="4"/>
    <n v="2400"/>
    <n v="19.100000000000001"/>
    <n v="7766.4"/>
    <s v="Completed"/>
    <s v="Delhi"/>
    <x v="1"/>
    <s v="SMB"/>
    <n v="28"/>
    <x v="2"/>
  </r>
  <r>
    <s v="ORD-00505"/>
    <x v="283"/>
    <s v="CUST-0071"/>
    <s v="PROD-046"/>
    <x v="24"/>
    <n v="8"/>
    <n v="4880"/>
    <n v="9.1999999999999993"/>
    <n v="35448.32"/>
    <s v="Cancelled"/>
    <s v="Delhi"/>
    <x v="5"/>
    <s v="Corporate"/>
    <n v="46"/>
    <x v="3"/>
  </r>
  <r>
    <s v="ORD-00506"/>
    <x v="261"/>
    <s v="CUST-0249"/>
    <s v="PROD-048"/>
    <x v="7"/>
    <n v="9"/>
    <n v="5100"/>
    <n v="11.1"/>
    <n v="40805.1"/>
    <s v="Cancelled"/>
    <s v="Mumbai"/>
    <x v="5"/>
    <s v="Retail"/>
    <n v="44"/>
    <x v="3"/>
  </r>
  <r>
    <s v="ORD-00507"/>
    <x v="161"/>
    <s v="CUST-0181"/>
    <s v="PROD-005"/>
    <x v="8"/>
    <n v="4"/>
    <n v="300"/>
    <n v="16.7"/>
    <n v="999.6"/>
    <s v="Completed"/>
    <s v="Delhi"/>
    <x v="4"/>
    <s v="SMB"/>
    <n v="38"/>
    <x v="2"/>
  </r>
  <r>
    <s v="ORD-00508"/>
    <x v="68"/>
    <s v="CUST-0085"/>
    <s v="PROD-019"/>
    <x v="2"/>
    <n v="6"/>
    <n v="2480"/>
    <n v="3.3"/>
    <n v="14388.96"/>
    <s v="Completed"/>
    <s v="Chennai"/>
    <x v="0"/>
    <s v="Retail"/>
    <n v="26"/>
    <x v="1"/>
  </r>
  <r>
    <s v="ORD-00509"/>
    <x v="28"/>
    <s v="CUST-0180"/>
    <s v="PROD-044"/>
    <x v="12"/>
    <n v="10"/>
    <n v="1650"/>
    <n v="22.9"/>
    <n v="12721.5"/>
    <s v="Refunded"/>
    <s v="Chennai"/>
    <x v="5"/>
    <s v="Retail"/>
    <n v="36"/>
    <x v="3"/>
  </r>
  <r>
    <s v="ORD-00510"/>
    <x v="158"/>
    <s v="CUST-0103"/>
    <s v="PROD-029"/>
    <x v="27"/>
    <n v="3"/>
    <n v="2210"/>
    <n v="11.1"/>
    <n v="5894.07"/>
    <s v="Completed"/>
    <s v="Hyderabad"/>
    <x v="2"/>
    <s v="Corporate"/>
    <n v="54"/>
    <x v="1"/>
  </r>
  <r>
    <s v="ORD-00511"/>
    <x v="5"/>
    <s v="CUST-0174"/>
    <s v="PROD-019"/>
    <x v="1"/>
    <n v="10"/>
    <n v="2480"/>
    <n v="13"/>
    <n v="21576"/>
    <s v="Pending"/>
    <s v="Pune"/>
    <x v="0"/>
    <s v="Retail"/>
    <n v="54"/>
    <x v="0"/>
  </r>
  <r>
    <s v="ORD-00512"/>
    <x v="98"/>
    <s v="CUST-0071"/>
    <s v="PROD-001"/>
    <x v="12"/>
    <n v="10"/>
    <n v="5330"/>
    <n v="0.7"/>
    <n v="52926.9"/>
    <s v="Completed"/>
    <s v="Delhi"/>
    <x v="4"/>
    <s v="Corporate"/>
    <n v="46"/>
    <x v="3"/>
  </r>
  <r>
    <s v="ORD-00513"/>
    <x v="109"/>
    <s v="CUST-0266"/>
    <s v="PROD-026"/>
    <x v="27"/>
    <n v="9"/>
    <n v="4070"/>
    <n v="15.6"/>
    <n v="30915.72"/>
    <s v="Completed"/>
    <s v="Pune"/>
    <x v="2"/>
    <s v="Retail"/>
    <n v="65"/>
    <x v="1"/>
  </r>
  <r>
    <s v="ORD-00514"/>
    <x v="284"/>
    <s v="CUST-0148"/>
    <s v="PROD-015"/>
    <x v="19"/>
    <n v="5"/>
    <n v="2720"/>
    <n v="10.3"/>
    <n v="12199.2"/>
    <s v="Cancelled"/>
    <s v="Chennai"/>
    <x v="0"/>
    <s v="Retail"/>
    <n v="32"/>
    <x v="0"/>
  </r>
  <r>
    <s v="ORD-00515"/>
    <x v="285"/>
    <s v="CUST-0030"/>
    <s v="PROD-055"/>
    <x v="20"/>
    <n v="6"/>
    <n v="2860"/>
    <n v="28.9"/>
    <n v="12200.76"/>
    <s v="Completed"/>
    <s v="Bengaluru"/>
    <x v="1"/>
    <s v="Corporate"/>
    <n v="43"/>
    <x v="2"/>
  </r>
  <r>
    <s v="ORD-00516"/>
    <x v="165"/>
    <s v="CUST-0128"/>
    <s v="PROD-014"/>
    <x v="27"/>
    <n v="5"/>
    <n v="3620"/>
    <n v="18.2"/>
    <n v="14805.8"/>
    <s v="Completed"/>
    <s v="Hyderabad"/>
    <x v="0"/>
    <s v="Retail"/>
    <n v="35"/>
    <x v="1"/>
  </r>
  <r>
    <s v="ORD-00517"/>
    <x v="39"/>
    <s v="CUST-0056"/>
    <s v="PROD-044"/>
    <x v="26"/>
    <n v="3"/>
    <n v="1650"/>
    <n v="10.7"/>
    <n v="4420.3500000000004"/>
    <s v="Completed"/>
    <s v="Bengaluru"/>
    <x v="5"/>
    <s v="SMB"/>
    <n v="46"/>
    <x v="3"/>
  </r>
  <r>
    <s v="ORD-00518"/>
    <x v="185"/>
    <s v="CUST-0178"/>
    <s v="PROD-060"/>
    <x v="20"/>
    <n v="8"/>
    <n v="190"/>
    <n v="18"/>
    <n v="1246.4000000000001"/>
    <s v="Pending"/>
    <s v="Hyderabad"/>
    <x v="1"/>
    <s v="Retail"/>
    <n v="25"/>
    <x v="2"/>
  </r>
  <r>
    <s v="ORD-00519"/>
    <x v="68"/>
    <s v="CUST-0237"/>
    <s v="PROD-042"/>
    <x v="20"/>
    <n v="7"/>
    <n v="2290"/>
    <n v="12.5"/>
    <n v="14026.25"/>
    <s v="Completed"/>
    <s v="Mumbai"/>
    <x v="5"/>
    <s v="Retail"/>
    <n v="49"/>
    <x v="2"/>
  </r>
  <r>
    <s v="ORD-00520"/>
    <x v="198"/>
    <s v="CUST-0143"/>
    <s v="PROD-001"/>
    <x v="21"/>
    <n v="2"/>
    <n v="5330"/>
    <n v="26.5"/>
    <n v="7835.1"/>
    <s v="Completed"/>
    <s v="Chennai"/>
    <x v="4"/>
    <s v="SMB"/>
    <n v="52"/>
    <x v="3"/>
  </r>
  <r>
    <s v="ORD-00521"/>
    <x v="233"/>
    <s v="CUST-0233"/>
    <s v="PROD-001"/>
    <x v="15"/>
    <n v="4"/>
    <n v="5330"/>
    <n v="25.6"/>
    <n v="15862.08"/>
    <s v="Completed"/>
    <s v="Mumbai"/>
    <x v="4"/>
    <s v="SMB"/>
    <n v="65"/>
    <x v="1"/>
  </r>
  <r>
    <s v="ORD-00522"/>
    <x v="286"/>
    <s v="CUST-0161"/>
    <s v="PROD-034"/>
    <x v="3"/>
    <n v="4"/>
    <n v="5080"/>
    <n v="28.6"/>
    <n v="14508.48"/>
    <s v="Completed"/>
    <s v="Chennai"/>
    <x v="3"/>
    <s v="Retail"/>
    <n v="38"/>
    <x v="0"/>
  </r>
  <r>
    <s v="ORD-00523"/>
    <x v="40"/>
    <s v="CUST-0087"/>
    <s v="PROD-032"/>
    <x v="25"/>
    <n v="4"/>
    <n v="370"/>
    <n v="12.6"/>
    <n v="1293.52"/>
    <s v="Pending"/>
    <s v="Pune"/>
    <x v="3"/>
    <s v="SMB"/>
    <n v="49"/>
    <x v="0"/>
  </r>
  <r>
    <s v="ORD-00524"/>
    <x v="230"/>
    <s v="CUST-0235"/>
    <s v="PROD-053"/>
    <x v="22"/>
    <n v="9"/>
    <n v="470"/>
    <n v="3.6"/>
    <n v="4077.72"/>
    <s v="Completed"/>
    <s v="Chennai"/>
    <x v="1"/>
    <s v="Retail"/>
    <n v="31"/>
    <x v="1"/>
  </r>
  <r>
    <s v="ORD-00525"/>
    <x v="287"/>
    <s v="CUST-0183"/>
    <s v="PROD-052"/>
    <x v="28"/>
    <n v="4"/>
    <n v="5410"/>
    <n v="11.3"/>
    <n v="19194.68"/>
    <s v="Refunded"/>
    <s v="Mumbai"/>
    <x v="1"/>
    <s v="SMB"/>
    <n v="27"/>
    <x v="2"/>
  </r>
  <r>
    <s v="ORD-00526"/>
    <x v="288"/>
    <s v="CUST-0199"/>
    <s v="PROD-014"/>
    <x v="0"/>
    <n v="10"/>
    <n v="3620"/>
    <n v="2.5"/>
    <n v="35295"/>
    <s v="Completed"/>
    <s v="Hyderabad"/>
    <x v="0"/>
    <s v="SMB"/>
    <n v="31"/>
    <x v="0"/>
  </r>
  <r>
    <s v="ORD-00527"/>
    <x v="82"/>
    <s v="CUST-0034"/>
    <s v="PROD-021"/>
    <x v="14"/>
    <n v="1"/>
    <n v="2760"/>
    <n v="22.2"/>
    <n v="2147.2800000000002"/>
    <s v="Completed"/>
    <s v="Delhi"/>
    <x v="2"/>
    <s v="Retail"/>
    <n v="47"/>
    <x v="2"/>
  </r>
  <r>
    <s v="ORD-00528"/>
    <x v="0"/>
    <s v="CUST-0206"/>
    <s v="PROD-047"/>
    <x v="19"/>
    <n v="7"/>
    <n v="3450"/>
    <n v="8.6"/>
    <n v="22073.1"/>
    <s v="Completed"/>
    <s v="Mumbai"/>
    <x v="5"/>
    <s v="Retail"/>
    <n v="40"/>
    <x v="0"/>
  </r>
  <r>
    <s v="ORD-00529"/>
    <x v="196"/>
    <s v="CUST-0246"/>
    <s v="PROD-028"/>
    <x v="8"/>
    <n v="6"/>
    <n v="3660"/>
    <n v="10.6"/>
    <n v="19632.240000000002"/>
    <s v="Completed"/>
    <s v="Delhi"/>
    <x v="2"/>
    <s v="SMB"/>
    <n v="29"/>
    <x v="2"/>
  </r>
  <r>
    <s v="ORD-00530"/>
    <x v="147"/>
    <s v="CUST-0075"/>
    <s v="PROD-003"/>
    <x v="8"/>
    <n v="10"/>
    <n v="3570"/>
    <n v="1.2"/>
    <n v="35271.599999999999"/>
    <s v="Completed"/>
    <s v="Mumbai"/>
    <x v="4"/>
    <s v="Corporate"/>
    <n v="55"/>
    <x v="2"/>
  </r>
  <r>
    <s v="ORD-00531"/>
    <x v="176"/>
    <s v="CUST-0298"/>
    <s v="PROD-035"/>
    <x v="18"/>
    <n v="8"/>
    <n v="1090"/>
    <n v="13.2"/>
    <n v="7568.96"/>
    <s v="Refunded"/>
    <s v="Delhi"/>
    <x v="3"/>
    <s v="Retail"/>
    <n v="44"/>
    <x v="1"/>
  </r>
  <r>
    <s v="ORD-00532"/>
    <x v="153"/>
    <s v="CUST-0165"/>
    <s v="PROD-014"/>
    <x v="26"/>
    <n v="8"/>
    <n v="3620"/>
    <n v="29"/>
    <n v="20561.599999999999"/>
    <s v="Completed"/>
    <s v="Pune"/>
    <x v="0"/>
    <s v="Retail"/>
    <n v="29"/>
    <x v="3"/>
  </r>
  <r>
    <s v="ORD-00533"/>
    <x v="289"/>
    <s v="CUST-0033"/>
    <s v="PROD-046"/>
    <x v="9"/>
    <n v="7"/>
    <n v="4880"/>
    <n v="25.6"/>
    <n v="25415.040000000001"/>
    <s v="Refunded"/>
    <s v="Delhi"/>
    <x v="5"/>
    <s v="Retail"/>
    <n v="35"/>
    <x v="1"/>
  </r>
  <r>
    <s v="ORD-00534"/>
    <x v="224"/>
    <s v="CUST-0205"/>
    <s v="PROD-053"/>
    <x v="8"/>
    <n v="2"/>
    <n v="470"/>
    <n v="9.6999999999999993"/>
    <n v="848.82"/>
    <s v="Completed"/>
    <s v="Pune"/>
    <x v="1"/>
    <s v="Corporate"/>
    <n v="29"/>
    <x v="2"/>
  </r>
  <r>
    <s v="ORD-00535"/>
    <x v="149"/>
    <s v="CUST-0037"/>
    <s v="PROD-042"/>
    <x v="24"/>
    <n v="6"/>
    <n v="2290"/>
    <n v="8.9"/>
    <n v="12517.14"/>
    <s v="Completed"/>
    <s v="Bengaluru"/>
    <x v="5"/>
    <s v="Retail"/>
    <n v="52"/>
    <x v="3"/>
  </r>
  <r>
    <s v="ORD-00536"/>
    <x v="290"/>
    <s v="CUST-0228"/>
    <s v="PROD-023"/>
    <x v="9"/>
    <n v="3"/>
    <n v="2380"/>
    <n v="2.7"/>
    <n v="6947.22"/>
    <s v="Pending"/>
    <s v="Pune"/>
    <x v="2"/>
    <s v="Corporate"/>
    <n v="37"/>
    <x v="1"/>
  </r>
  <r>
    <s v="ORD-00537"/>
    <x v="270"/>
    <s v="CUST-0279"/>
    <s v="PROD-023"/>
    <x v="4"/>
    <n v="9"/>
    <n v="2380"/>
    <n v="20.100000000000001"/>
    <n v="17114.580000000002"/>
    <s v="Completed"/>
    <s v="Mumbai"/>
    <x v="2"/>
    <s v="Retail"/>
    <n v="56"/>
    <x v="0"/>
  </r>
  <r>
    <s v="ORD-00538"/>
    <x v="291"/>
    <s v="CUST-0271"/>
    <s v="PROD-052"/>
    <x v="2"/>
    <n v="8"/>
    <n v="5410"/>
    <n v="11.2"/>
    <n v="38432.639999999999"/>
    <s v="Completed"/>
    <s v="Bengaluru"/>
    <x v="1"/>
    <s v="Corporate"/>
    <n v="41"/>
    <x v="1"/>
  </r>
  <r>
    <s v="ORD-00539"/>
    <x v="150"/>
    <s v="CUST-0127"/>
    <s v="PROD-007"/>
    <x v="4"/>
    <n v="1"/>
    <n v="1430"/>
    <n v="19.600000000000001"/>
    <n v="1149.72"/>
    <s v="Completed"/>
    <s v="Bengaluru"/>
    <x v="4"/>
    <s v="SMB"/>
    <n v="36"/>
    <x v="0"/>
  </r>
  <r>
    <s v="ORD-00540"/>
    <x v="292"/>
    <s v="CUST-0007"/>
    <s v="PROD-058"/>
    <x v="28"/>
    <n v="9"/>
    <n v="2400"/>
    <n v="5"/>
    <n v="20520"/>
    <s v="Completed"/>
    <s v="Bengaluru"/>
    <x v="1"/>
    <s v="Retail"/>
    <n v="47"/>
    <x v="2"/>
  </r>
  <r>
    <s v="ORD-00541"/>
    <x v="293"/>
    <s v="CUST-0005"/>
    <s v="PROD-027"/>
    <x v="19"/>
    <n v="1"/>
    <n v="3780"/>
    <n v="4.7"/>
    <n v="3602.34"/>
    <s v="Completed"/>
    <s v="Chennai"/>
    <x v="2"/>
    <s v="Corporate"/>
    <n v="52"/>
    <x v="0"/>
  </r>
  <r>
    <s v="ORD-00542"/>
    <x v="95"/>
    <s v="CUST-0072"/>
    <s v="PROD-016"/>
    <x v="7"/>
    <n v="2"/>
    <n v="620"/>
    <n v="8"/>
    <n v="1140.8"/>
    <s v="Completed"/>
    <s v="Mumbai"/>
    <x v="0"/>
    <s v="Corporate"/>
    <n v="62"/>
    <x v="3"/>
  </r>
  <r>
    <s v="ORD-00543"/>
    <x v="229"/>
    <s v="CUST-0167"/>
    <s v="PROD-060"/>
    <x v="0"/>
    <n v="3"/>
    <n v="190"/>
    <n v="17.899999999999999"/>
    <n v="467.97"/>
    <s v="Pending"/>
    <s v="Delhi"/>
    <x v="1"/>
    <s v="Retail"/>
    <n v="43"/>
    <x v="0"/>
  </r>
  <r>
    <s v="ORD-00544"/>
    <x v="10"/>
    <s v="CUST-0244"/>
    <s v="PROD-014"/>
    <x v="7"/>
    <n v="2"/>
    <n v="3620"/>
    <n v="15.5"/>
    <n v="6117.8"/>
    <s v="Completed"/>
    <s v="Bengaluru"/>
    <x v="0"/>
    <s v="Retail"/>
    <n v="61"/>
    <x v="3"/>
  </r>
  <r>
    <s v="ORD-00545"/>
    <x v="294"/>
    <s v="CUST-0086"/>
    <s v="PROD-055"/>
    <x v="26"/>
    <n v="5"/>
    <n v="2860"/>
    <n v="26.8"/>
    <n v="10467.6"/>
    <s v="Completed"/>
    <s v="Hyderabad"/>
    <x v="1"/>
    <s v="Corporate"/>
    <n v="56"/>
    <x v="3"/>
  </r>
  <r>
    <s v="ORD-00546"/>
    <x v="198"/>
    <s v="CUST-0091"/>
    <s v="PROD-058"/>
    <x v="12"/>
    <n v="6"/>
    <n v="2400"/>
    <n v="19.2"/>
    <n v="11635.2"/>
    <s v="Cancelled"/>
    <s v="Delhi"/>
    <x v="1"/>
    <s v="Retail"/>
    <n v="55"/>
    <x v="3"/>
  </r>
  <r>
    <s v="ORD-00547"/>
    <x v="14"/>
    <s v="CUST-0169"/>
    <s v="PROD-034"/>
    <x v="18"/>
    <n v="7"/>
    <n v="5080"/>
    <n v="16.600000000000001"/>
    <n v="29657.040000000001"/>
    <s v="Pending"/>
    <s v="Bengaluru"/>
    <x v="3"/>
    <s v="SMB"/>
    <n v="42"/>
    <x v="1"/>
  </r>
  <r>
    <s v="ORD-00548"/>
    <x v="295"/>
    <s v="CUST-0273"/>
    <s v="PROD-034"/>
    <x v="15"/>
    <n v="10"/>
    <n v="5080"/>
    <n v="24.6"/>
    <n v="38303.199999999997"/>
    <s v="Completed"/>
    <s v="Hyderabad"/>
    <x v="3"/>
    <s v="Corporate"/>
    <n v="32"/>
    <x v="1"/>
  </r>
  <r>
    <s v="ORD-00549"/>
    <x v="147"/>
    <s v="CUST-0233"/>
    <s v="PROD-057"/>
    <x v="4"/>
    <n v="7"/>
    <n v="960"/>
    <n v="16.600000000000001"/>
    <n v="5604.48"/>
    <s v="Completed"/>
    <s v="Mumbai"/>
    <x v="1"/>
    <s v="SMB"/>
    <n v="65"/>
    <x v="0"/>
  </r>
  <r>
    <s v="ORD-00550"/>
    <x v="296"/>
    <s v="CUST-0175"/>
    <s v="PROD-028"/>
    <x v="8"/>
    <n v="3"/>
    <n v="3660"/>
    <n v="3.2"/>
    <n v="10628.64"/>
    <s v="Pending"/>
    <s v="Delhi"/>
    <x v="2"/>
    <s v="Corporate"/>
    <n v="55"/>
    <x v="2"/>
  </r>
  <r>
    <s v="ORD-00551"/>
    <x v="160"/>
    <s v="CUST-0241"/>
    <s v="PROD-010"/>
    <x v="18"/>
    <n v="6"/>
    <n v="2640"/>
    <n v="26.3"/>
    <n v="11674.08"/>
    <s v="Completed"/>
    <s v="Pune"/>
    <x v="4"/>
    <s v="Corporate"/>
    <n v="47"/>
    <x v="1"/>
  </r>
  <r>
    <s v="ORD-00552"/>
    <x v="254"/>
    <s v="CUST-0024"/>
    <s v="PROD-009"/>
    <x v="18"/>
    <n v="6"/>
    <n v="1220"/>
    <n v="22.3"/>
    <n v="5687.64"/>
    <s v="Cancelled"/>
    <s v="Chennai"/>
    <x v="4"/>
    <s v="SMB"/>
    <n v="64"/>
    <x v="1"/>
  </r>
  <r>
    <s v="ORD-00553"/>
    <x v="138"/>
    <s v="CUST-0252"/>
    <s v="PROD-005"/>
    <x v="22"/>
    <n v="1"/>
    <n v="300"/>
    <n v="0.7"/>
    <n v="297.89999999999998"/>
    <s v="Completed"/>
    <s v="Bengaluru"/>
    <x v="4"/>
    <s v="Retail"/>
    <n v="27"/>
    <x v="1"/>
  </r>
  <r>
    <s v="ORD-00554"/>
    <x v="43"/>
    <s v="CUST-0245"/>
    <s v="PROD-054"/>
    <x v="16"/>
    <n v="2"/>
    <n v="1010"/>
    <n v="28"/>
    <n v="1454.4"/>
    <s v="Completed"/>
    <s v="Hyderabad"/>
    <x v="1"/>
    <s v="Retail"/>
    <n v="65"/>
    <x v="3"/>
  </r>
  <r>
    <s v="ORD-00555"/>
    <x v="192"/>
    <s v="CUST-0046"/>
    <s v="PROD-002"/>
    <x v="23"/>
    <n v="5"/>
    <n v="2600"/>
    <n v="0.8"/>
    <n v="12896"/>
    <s v="Cancelled"/>
    <s v="Delhi"/>
    <x v="4"/>
    <s v="SMB"/>
    <n v="45"/>
    <x v="1"/>
  </r>
  <r>
    <s v="ORD-00556"/>
    <x v="186"/>
    <s v="CUST-0050"/>
    <s v="PROD-056"/>
    <x v="17"/>
    <n v="3"/>
    <n v="6940"/>
    <n v="10.7"/>
    <n v="18592.259999999998"/>
    <s v="Cancelled"/>
    <s v="Mumbai"/>
    <x v="1"/>
    <s v="Retail"/>
    <n v="37"/>
    <x v="2"/>
  </r>
  <r>
    <s v="ORD-00557"/>
    <x v="297"/>
    <s v="CUST-0227"/>
    <s v="PROD-032"/>
    <x v="23"/>
    <n v="1"/>
    <n v="370"/>
    <n v="10.3"/>
    <n v="331.89"/>
    <s v="Refunded"/>
    <s v="Bengaluru"/>
    <x v="3"/>
    <s v="SMB"/>
    <n v="44"/>
    <x v="1"/>
  </r>
  <r>
    <s v="ORD-00558"/>
    <x v="298"/>
    <s v="CUST-0218"/>
    <s v="PROD-027"/>
    <x v="20"/>
    <n v="2"/>
    <n v="3780"/>
    <n v="29.4"/>
    <n v="5337.36"/>
    <s v="Completed"/>
    <s v="Mumbai"/>
    <x v="2"/>
    <s v="Retail"/>
    <n v="39"/>
    <x v="2"/>
  </r>
  <r>
    <s v="ORD-00559"/>
    <x v="39"/>
    <s v="CUST-0087"/>
    <s v="PROD-030"/>
    <x v="24"/>
    <n v="5"/>
    <n v="970"/>
    <n v="14.6"/>
    <n v="4141.8999999999996"/>
    <s v="Completed"/>
    <s v="Pune"/>
    <x v="2"/>
    <s v="SMB"/>
    <n v="49"/>
    <x v="3"/>
  </r>
  <r>
    <s v="ORD-00560"/>
    <x v="117"/>
    <s v="CUST-0209"/>
    <s v="PROD-022"/>
    <x v="25"/>
    <n v="3"/>
    <n v="2270"/>
    <n v="6.5"/>
    <n v="6367.35"/>
    <s v="Completed"/>
    <s v="Pune"/>
    <x v="2"/>
    <s v="Retail"/>
    <n v="31"/>
    <x v="0"/>
  </r>
  <r>
    <s v="ORD-00561"/>
    <x v="299"/>
    <s v="CUST-0212"/>
    <s v="PROD-041"/>
    <x v="20"/>
    <n v="10"/>
    <n v="1540"/>
    <n v="16.5"/>
    <n v="12859"/>
    <s v="Completed"/>
    <s v="Chennai"/>
    <x v="5"/>
    <s v="SMB"/>
    <n v="46"/>
    <x v="2"/>
  </r>
  <r>
    <s v="ORD-00562"/>
    <x v="51"/>
    <s v="CUST-0180"/>
    <s v="PROD-021"/>
    <x v="21"/>
    <n v="4"/>
    <n v="2760"/>
    <n v="19.8"/>
    <n v="8854.08"/>
    <s v="Completed"/>
    <s v="Chennai"/>
    <x v="2"/>
    <s v="Retail"/>
    <n v="36"/>
    <x v="3"/>
  </r>
  <r>
    <s v="ORD-00563"/>
    <x v="10"/>
    <s v="CUST-0025"/>
    <s v="PROD-024"/>
    <x v="14"/>
    <n v="3"/>
    <n v="2270"/>
    <n v="29.5"/>
    <n v="4801.05"/>
    <s v="Refunded"/>
    <s v="Bengaluru"/>
    <x v="2"/>
    <s v="Retail"/>
    <n v="23"/>
    <x v="2"/>
  </r>
  <r>
    <s v="ORD-00564"/>
    <x v="196"/>
    <s v="CUST-0271"/>
    <s v="PROD-045"/>
    <x v="15"/>
    <n v="8"/>
    <n v="3020"/>
    <n v="1.2"/>
    <n v="23870.080000000002"/>
    <s v="Completed"/>
    <s v="Bengaluru"/>
    <x v="5"/>
    <s v="Corporate"/>
    <n v="41"/>
    <x v="1"/>
  </r>
  <r>
    <s v="ORD-00565"/>
    <x v="156"/>
    <s v="CUST-0026"/>
    <s v="PROD-023"/>
    <x v="26"/>
    <n v="6"/>
    <n v="2380"/>
    <n v="20.399999999999999"/>
    <n v="11366.88"/>
    <s v="Completed"/>
    <s v="Pune"/>
    <x v="2"/>
    <s v="Retail"/>
    <n v="62"/>
    <x v="3"/>
  </r>
  <r>
    <s v="ORD-00566"/>
    <x v="19"/>
    <s v="CUST-0058"/>
    <s v="PROD-056"/>
    <x v="8"/>
    <n v="1"/>
    <n v="6940"/>
    <n v="15"/>
    <n v="5899"/>
    <s v="Cancelled"/>
    <s v="Bengaluru"/>
    <x v="1"/>
    <s v="SMB"/>
    <n v="49"/>
    <x v="2"/>
  </r>
  <r>
    <s v="ORD-00567"/>
    <x v="16"/>
    <s v="CUST-0033"/>
    <s v="PROD-008"/>
    <x v="9"/>
    <n v="1"/>
    <n v="2660"/>
    <n v="11.6"/>
    <n v="2351.44"/>
    <s v="Completed"/>
    <s v="Delhi"/>
    <x v="4"/>
    <s v="Retail"/>
    <n v="35"/>
    <x v="1"/>
  </r>
  <r>
    <s v="ORD-00568"/>
    <x v="289"/>
    <s v="CUST-0057"/>
    <s v="PROD-030"/>
    <x v="22"/>
    <n v="4"/>
    <n v="970"/>
    <n v="11.6"/>
    <n v="3429.92"/>
    <s v="Completed"/>
    <s v="Pune"/>
    <x v="2"/>
    <s v="Retail"/>
    <n v="35"/>
    <x v="1"/>
  </r>
  <r>
    <s v="ORD-00569"/>
    <x v="215"/>
    <s v="CUST-0231"/>
    <s v="PROD-022"/>
    <x v="25"/>
    <n v="7"/>
    <n v="2270"/>
    <n v="27.9"/>
    <n v="11456.69"/>
    <s v="Completed"/>
    <s v="Chennai"/>
    <x v="2"/>
    <s v="Retail"/>
    <n v="61"/>
    <x v="0"/>
  </r>
  <r>
    <s v="ORD-00570"/>
    <x v="300"/>
    <s v="CUST-0031"/>
    <s v="PROD-054"/>
    <x v="29"/>
    <n v="8"/>
    <n v="1010"/>
    <n v="13.7"/>
    <n v="6973.04"/>
    <s v="Cancelled"/>
    <s v="Hyderabad"/>
    <x v="1"/>
    <s v="Retail"/>
    <n v="53"/>
    <x v="1"/>
  </r>
  <r>
    <s v="ORD-00571"/>
    <x v="259"/>
    <s v="CUST-0228"/>
    <s v="PROD-023"/>
    <x v="19"/>
    <n v="8"/>
    <n v="2380"/>
    <n v="15.3"/>
    <n v="16126.88"/>
    <s v="Cancelled"/>
    <s v="Pune"/>
    <x v="2"/>
    <s v="Corporate"/>
    <n v="37"/>
    <x v="0"/>
  </r>
  <r>
    <s v="ORD-00572"/>
    <x v="142"/>
    <s v="CUST-0127"/>
    <s v="PROD-053"/>
    <x v="26"/>
    <n v="10"/>
    <n v="470"/>
    <n v="2.1"/>
    <n v="4601.3"/>
    <s v="Completed"/>
    <s v="Bengaluru"/>
    <x v="1"/>
    <s v="SMB"/>
    <n v="36"/>
    <x v="3"/>
  </r>
  <r>
    <s v="ORD-00573"/>
    <x v="178"/>
    <s v="CUST-0117"/>
    <s v="PROD-048"/>
    <x v="5"/>
    <n v="5"/>
    <n v="5100"/>
    <n v="9.6999999999999993"/>
    <n v="23026.5"/>
    <s v="Completed"/>
    <s v="Delhi"/>
    <x v="5"/>
    <s v="SMB"/>
    <n v="34"/>
    <x v="2"/>
  </r>
  <r>
    <s v="ORD-00574"/>
    <x v="73"/>
    <s v="CUST-0159"/>
    <s v="PROD-049"/>
    <x v="17"/>
    <n v="9"/>
    <n v="960"/>
    <n v="17.7"/>
    <n v="7110.72"/>
    <s v="Completed"/>
    <s v="Hyderabad"/>
    <x v="5"/>
    <s v="Retail"/>
    <n v="32"/>
    <x v="2"/>
  </r>
  <r>
    <s v="ORD-00575"/>
    <x v="35"/>
    <s v="CUST-0064"/>
    <s v="PROD-026"/>
    <x v="0"/>
    <n v="2"/>
    <n v="4070"/>
    <n v="2.1"/>
    <n v="7969.06"/>
    <s v="Completed"/>
    <s v="Hyderabad"/>
    <x v="2"/>
    <s v="SMB"/>
    <n v="40"/>
    <x v="0"/>
  </r>
  <r>
    <s v="ORD-00576"/>
    <x v="243"/>
    <s v="CUST-0272"/>
    <s v="PROD-031"/>
    <x v="13"/>
    <n v="5"/>
    <n v="3730"/>
    <n v="16.5"/>
    <n v="15572.75"/>
    <s v="Completed"/>
    <s v="Mumbai"/>
    <x v="3"/>
    <s v="SMB"/>
    <n v="47"/>
    <x v="3"/>
  </r>
  <r>
    <s v="ORD-00577"/>
    <x v="55"/>
    <s v="CUST-0071"/>
    <s v="PROD-055"/>
    <x v="24"/>
    <n v="1"/>
    <n v="2860"/>
    <n v="10.4"/>
    <n v="2562.56"/>
    <s v="Cancelled"/>
    <s v="Delhi"/>
    <x v="1"/>
    <s v="Corporate"/>
    <n v="46"/>
    <x v="3"/>
  </r>
  <r>
    <s v="ORD-00578"/>
    <x v="11"/>
    <s v="CUST-0045"/>
    <s v="PROD-046"/>
    <x v="26"/>
    <n v="4"/>
    <n v="4880"/>
    <n v="27.5"/>
    <n v="14152"/>
    <s v="Pending"/>
    <s v="Chennai"/>
    <x v="5"/>
    <s v="SMB"/>
    <n v="39"/>
    <x v="3"/>
  </r>
  <r>
    <s v="ORD-00579"/>
    <x v="19"/>
    <s v="CUST-0148"/>
    <s v="PROD-022"/>
    <x v="24"/>
    <n v="3"/>
    <n v="2270"/>
    <n v="6.7"/>
    <n v="6353.73"/>
    <s v="Completed"/>
    <s v="Chennai"/>
    <x v="2"/>
    <s v="Retail"/>
    <n v="32"/>
    <x v="3"/>
  </r>
  <r>
    <s v="ORD-00580"/>
    <x v="55"/>
    <s v="CUST-0097"/>
    <s v="PROD-025"/>
    <x v="0"/>
    <n v="10"/>
    <n v="4060"/>
    <n v="3.6"/>
    <n v="39138.400000000001"/>
    <s v="Pending"/>
    <s v="Mumbai"/>
    <x v="2"/>
    <s v="Retail"/>
    <n v="65"/>
    <x v="0"/>
  </r>
  <r>
    <s v="ORD-00581"/>
    <x v="301"/>
    <s v="CUST-0151"/>
    <s v="PROD-010"/>
    <x v="10"/>
    <n v="8"/>
    <n v="2640"/>
    <n v="28.8"/>
    <n v="15037.44"/>
    <s v="Completed"/>
    <s v="Mumbai"/>
    <x v="4"/>
    <s v="Retail"/>
    <n v="53"/>
    <x v="0"/>
  </r>
  <r>
    <s v="ORD-00582"/>
    <x v="302"/>
    <s v="CUST-0048"/>
    <s v="PROD-031"/>
    <x v="27"/>
    <n v="6"/>
    <n v="3730"/>
    <n v="21.9"/>
    <n v="17478.78"/>
    <s v="Completed"/>
    <s v="Delhi"/>
    <x v="3"/>
    <s v="Retail"/>
    <n v="59"/>
    <x v="1"/>
  </r>
  <r>
    <s v="ORD-00583"/>
    <x v="68"/>
    <s v="CUST-0048"/>
    <s v="PROD-001"/>
    <x v="3"/>
    <n v="9"/>
    <n v="5330"/>
    <n v="29.4"/>
    <n v="33866.82"/>
    <s v="Cancelled"/>
    <s v="Delhi"/>
    <x v="4"/>
    <s v="Retail"/>
    <n v="59"/>
    <x v="0"/>
  </r>
  <r>
    <s v="ORD-00584"/>
    <x v="94"/>
    <s v="CUST-0156"/>
    <s v="PROD-011"/>
    <x v="28"/>
    <n v="1"/>
    <n v="3450"/>
    <n v="23.3"/>
    <n v="2646.15"/>
    <s v="Completed"/>
    <s v="Mumbai"/>
    <x v="0"/>
    <s v="Retail"/>
    <n v="33"/>
    <x v="2"/>
  </r>
  <r>
    <s v="ORD-00585"/>
    <x v="227"/>
    <s v="CUST-0022"/>
    <s v="PROD-050"/>
    <x v="21"/>
    <n v="3"/>
    <n v="6080"/>
    <n v="14.5"/>
    <n v="15595.2"/>
    <s v="Completed"/>
    <s v="Bengaluru"/>
    <x v="5"/>
    <s v="Corporate"/>
    <n v="55"/>
    <x v="3"/>
  </r>
  <r>
    <s v="ORD-00586"/>
    <x v="303"/>
    <s v="CUST-0193"/>
    <s v="PROD-031"/>
    <x v="25"/>
    <n v="4"/>
    <n v="3730"/>
    <n v="3.4"/>
    <n v="14412.72"/>
    <s v="Cancelled"/>
    <s v="Bengaluru"/>
    <x v="3"/>
    <s v="Retail"/>
    <n v="42"/>
    <x v="0"/>
  </r>
  <r>
    <s v="ORD-00587"/>
    <x v="304"/>
    <s v="CUST-0189"/>
    <s v="PROD-008"/>
    <x v="24"/>
    <n v="10"/>
    <n v="2660"/>
    <n v="2.1"/>
    <n v="26041.4"/>
    <s v="Completed"/>
    <s v="Chennai"/>
    <x v="4"/>
    <s v="Retail"/>
    <n v="41"/>
    <x v="3"/>
  </r>
  <r>
    <s v="ORD-00588"/>
    <x v="41"/>
    <s v="CUST-0101"/>
    <s v="PROD-029"/>
    <x v="13"/>
    <n v="7"/>
    <n v="2210"/>
    <n v="17.100000000000001"/>
    <n v="12824.63"/>
    <s v="Completed"/>
    <s v="Hyderabad"/>
    <x v="2"/>
    <s v="SMB"/>
    <n v="40"/>
    <x v="3"/>
  </r>
  <r>
    <s v="ORD-00589"/>
    <x v="84"/>
    <s v="CUST-0006"/>
    <s v="PROD-059"/>
    <x v="22"/>
    <n v="6"/>
    <n v="3780"/>
    <n v="12.7"/>
    <n v="19799.64"/>
    <s v="Completed"/>
    <s v="Pune"/>
    <x v="1"/>
    <s v="SMB"/>
    <n v="44"/>
    <x v="1"/>
  </r>
  <r>
    <s v="ORD-00590"/>
    <x v="249"/>
    <s v="CUST-0235"/>
    <s v="PROD-038"/>
    <x v="20"/>
    <n v="4"/>
    <n v="5490"/>
    <n v="26.9"/>
    <n v="16052.76"/>
    <s v="Completed"/>
    <s v="Chennai"/>
    <x v="3"/>
    <s v="Retail"/>
    <n v="31"/>
    <x v="2"/>
  </r>
  <r>
    <s v="ORD-00591"/>
    <x v="116"/>
    <s v="CUST-0045"/>
    <s v="PROD-008"/>
    <x v="22"/>
    <n v="9"/>
    <n v="2660"/>
    <n v="21.9"/>
    <n v="18697.14"/>
    <s v="Completed"/>
    <s v="Chennai"/>
    <x v="4"/>
    <s v="SMB"/>
    <n v="39"/>
    <x v="1"/>
  </r>
  <r>
    <s v="ORD-00592"/>
    <x v="160"/>
    <s v="CUST-0028"/>
    <s v="PROD-056"/>
    <x v="8"/>
    <n v="9"/>
    <n v="6940"/>
    <n v="8"/>
    <n v="57463.199999999997"/>
    <s v="Completed"/>
    <s v="Bengaluru"/>
    <x v="1"/>
    <s v="Retail"/>
    <n v="59"/>
    <x v="2"/>
  </r>
  <r>
    <s v="ORD-00593"/>
    <x v="73"/>
    <s v="CUST-0241"/>
    <s v="PROD-004"/>
    <x v="3"/>
    <n v="1"/>
    <n v="3870"/>
    <n v="22.6"/>
    <n v="2995.38"/>
    <s v="Completed"/>
    <s v="Pune"/>
    <x v="4"/>
    <s v="Corporate"/>
    <n v="47"/>
    <x v="0"/>
  </r>
  <r>
    <s v="ORD-00594"/>
    <x v="240"/>
    <s v="CUST-0278"/>
    <s v="PROD-035"/>
    <x v="4"/>
    <n v="3"/>
    <n v="1090"/>
    <n v="28.1"/>
    <n v="2351.13"/>
    <s v="Completed"/>
    <s v="Hyderabad"/>
    <x v="3"/>
    <s v="Retail"/>
    <n v="41"/>
    <x v="0"/>
  </r>
  <r>
    <s v="ORD-00595"/>
    <x v="111"/>
    <s v="CUST-0009"/>
    <s v="PROD-002"/>
    <x v="19"/>
    <n v="2"/>
    <n v="2600"/>
    <n v="5.6"/>
    <n v="4908.8"/>
    <s v="Completed"/>
    <s v="Mumbai"/>
    <x v="4"/>
    <s v="Retail"/>
    <n v="61"/>
    <x v="0"/>
  </r>
  <r>
    <s v="ORD-00596"/>
    <x v="54"/>
    <s v="CUST-0217"/>
    <s v="PROD-057"/>
    <x v="16"/>
    <n v="4"/>
    <n v="960"/>
    <n v="21.7"/>
    <n v="3006.72"/>
    <s v="Completed"/>
    <s v="Pune"/>
    <x v="1"/>
    <s v="SMB"/>
    <n v="59"/>
    <x v="3"/>
  </r>
  <r>
    <s v="ORD-00597"/>
    <x v="80"/>
    <s v="CUST-0289"/>
    <s v="PROD-032"/>
    <x v="17"/>
    <n v="6"/>
    <n v="370"/>
    <n v="22.5"/>
    <n v="1720.5"/>
    <s v="Completed"/>
    <s v="Mumbai"/>
    <x v="3"/>
    <s v="Retail"/>
    <n v="54"/>
    <x v="2"/>
  </r>
  <r>
    <s v="ORD-00598"/>
    <x v="51"/>
    <s v="CUST-0176"/>
    <s v="PROD-034"/>
    <x v="3"/>
    <n v="5"/>
    <n v="5080"/>
    <n v="23.8"/>
    <n v="19354.8"/>
    <s v="Completed"/>
    <s v="Bengaluru"/>
    <x v="3"/>
    <s v="SMB"/>
    <n v="34"/>
    <x v="0"/>
  </r>
  <r>
    <s v="ORD-00599"/>
    <x v="67"/>
    <s v="CUST-0026"/>
    <s v="PROD-041"/>
    <x v="11"/>
    <n v="5"/>
    <n v="1540"/>
    <n v="6.1"/>
    <n v="7230.3"/>
    <s v="Completed"/>
    <s v="Pune"/>
    <x v="5"/>
    <s v="Retail"/>
    <n v="62"/>
    <x v="0"/>
  </r>
  <r>
    <s v="ORD-00600"/>
    <x v="305"/>
    <s v="CUST-0213"/>
    <s v="PROD-024"/>
    <x v="15"/>
    <n v="7"/>
    <n v="2270"/>
    <n v="0.4"/>
    <n v="15826.44"/>
    <s v="Completed"/>
    <s v="Mumbai"/>
    <x v="2"/>
    <s v="Retail"/>
    <n v="37"/>
    <x v="1"/>
  </r>
  <r>
    <s v="ORD-00601"/>
    <x v="236"/>
    <s v="CUST-0190"/>
    <s v="PROD-057"/>
    <x v="15"/>
    <n v="2"/>
    <n v="960"/>
    <n v="3.7"/>
    <n v="1848.96"/>
    <s v="Completed"/>
    <s v="Hyderabad"/>
    <x v="1"/>
    <s v="Retail"/>
    <n v="52"/>
    <x v="1"/>
  </r>
  <r>
    <s v="ORD-00602"/>
    <x v="306"/>
    <s v="CUST-0150"/>
    <s v="PROD-007"/>
    <x v="28"/>
    <n v="6"/>
    <n v="1430"/>
    <n v="2"/>
    <n v="8408.4"/>
    <s v="Pending"/>
    <s v="Pune"/>
    <x v="4"/>
    <s v="SMB"/>
    <n v="53"/>
    <x v="2"/>
  </r>
  <r>
    <s v="ORD-00603"/>
    <x v="276"/>
    <s v="CUST-0129"/>
    <s v="PROD-047"/>
    <x v="3"/>
    <n v="10"/>
    <n v="3450"/>
    <n v="19.100000000000001"/>
    <n v="27910.5"/>
    <s v="Completed"/>
    <s v="Hyderabad"/>
    <x v="5"/>
    <s v="Retail"/>
    <n v="29"/>
    <x v="0"/>
  </r>
  <r>
    <s v="ORD-00604"/>
    <x v="249"/>
    <s v="CUST-0080"/>
    <s v="PROD-009"/>
    <x v="17"/>
    <n v="8"/>
    <n v="1220"/>
    <n v="16.899999999999999"/>
    <n v="8110.56"/>
    <s v="Completed"/>
    <s v="Pune"/>
    <x v="4"/>
    <s v="SMB"/>
    <n v="30"/>
    <x v="2"/>
  </r>
  <r>
    <s v="ORD-00605"/>
    <x v="96"/>
    <s v="CUST-0034"/>
    <s v="PROD-021"/>
    <x v="16"/>
    <n v="9"/>
    <n v="2760"/>
    <n v="16.899999999999999"/>
    <n v="20642.04"/>
    <s v="Completed"/>
    <s v="Delhi"/>
    <x v="2"/>
    <s v="Retail"/>
    <n v="47"/>
    <x v="3"/>
  </r>
  <r>
    <s v="ORD-00606"/>
    <x v="106"/>
    <s v="CUST-0179"/>
    <s v="PROD-043"/>
    <x v="21"/>
    <n v="6"/>
    <n v="3350"/>
    <n v="11.8"/>
    <n v="17728.2"/>
    <s v="Pending"/>
    <s v="Mumbai"/>
    <x v="5"/>
    <s v="SMB"/>
    <n v="54"/>
    <x v="3"/>
  </r>
  <r>
    <s v="ORD-00607"/>
    <x v="23"/>
    <s v="CUST-0176"/>
    <s v="PROD-048"/>
    <x v="22"/>
    <n v="6"/>
    <n v="5100"/>
    <n v="13.2"/>
    <n v="26560.799999999999"/>
    <s v="Completed"/>
    <s v="Bengaluru"/>
    <x v="5"/>
    <s v="SMB"/>
    <n v="34"/>
    <x v="1"/>
  </r>
  <r>
    <s v="ORD-00608"/>
    <x v="267"/>
    <s v="CUST-0144"/>
    <s v="PROD-010"/>
    <x v="28"/>
    <n v="6"/>
    <n v="2640"/>
    <n v="26.2"/>
    <n v="11689.92"/>
    <s v="Completed"/>
    <s v="Chennai"/>
    <x v="4"/>
    <s v="Retail"/>
    <n v="49"/>
    <x v="2"/>
  </r>
  <r>
    <s v="ORD-00609"/>
    <x v="111"/>
    <s v="CUST-0218"/>
    <s v="PROD-028"/>
    <x v="29"/>
    <n v="1"/>
    <n v="3660"/>
    <n v="19.7"/>
    <n v="2938.98"/>
    <s v="Completed"/>
    <s v="Mumbai"/>
    <x v="2"/>
    <s v="Retail"/>
    <n v="39"/>
    <x v="1"/>
  </r>
  <r>
    <s v="ORD-00610"/>
    <x v="290"/>
    <s v="CUST-0249"/>
    <s v="PROD-032"/>
    <x v="28"/>
    <n v="5"/>
    <n v="370"/>
    <n v="21.7"/>
    <n v="1448.55"/>
    <s v="Completed"/>
    <s v="Mumbai"/>
    <x v="3"/>
    <s v="Retail"/>
    <n v="44"/>
    <x v="2"/>
  </r>
  <r>
    <s v="ORD-00611"/>
    <x v="260"/>
    <s v="CUST-0092"/>
    <s v="PROD-016"/>
    <x v="5"/>
    <n v="5"/>
    <n v="620"/>
    <n v="10.199999999999999"/>
    <n v="2783.8"/>
    <s v="Completed"/>
    <s v="Bengaluru"/>
    <x v="0"/>
    <s v="SMB"/>
    <n v="28"/>
    <x v="2"/>
  </r>
  <r>
    <s v="ORD-00612"/>
    <x v="40"/>
    <s v="CUST-0245"/>
    <s v="PROD-053"/>
    <x v="26"/>
    <n v="8"/>
    <n v="470"/>
    <n v="2.4"/>
    <n v="3669.76"/>
    <s v="Completed"/>
    <s v="Hyderabad"/>
    <x v="1"/>
    <s v="Retail"/>
    <n v="65"/>
    <x v="3"/>
  </r>
  <r>
    <s v="ORD-00613"/>
    <x v="294"/>
    <s v="CUST-0134"/>
    <s v="PROD-042"/>
    <x v="1"/>
    <n v="3"/>
    <n v="2290"/>
    <n v="20.8"/>
    <n v="5441.04"/>
    <s v="Completed"/>
    <s v="Delhi"/>
    <x v="5"/>
    <s v="Retail"/>
    <n v="40"/>
    <x v="0"/>
  </r>
  <r>
    <s v="ORD-00614"/>
    <x v="92"/>
    <s v="CUST-0063"/>
    <s v="PROD-057"/>
    <x v="6"/>
    <n v="4"/>
    <n v="960"/>
    <n v="28.8"/>
    <n v="2734.08"/>
    <s v="Pending"/>
    <s v="Mumbai"/>
    <x v="1"/>
    <s v="SMB"/>
    <n v="53"/>
    <x v="2"/>
  </r>
  <r>
    <s v="ORD-00615"/>
    <x v="307"/>
    <s v="CUST-0172"/>
    <s v="PROD-028"/>
    <x v="9"/>
    <n v="5"/>
    <n v="3660"/>
    <n v="11.9"/>
    <n v="16122.3"/>
    <s v="Pending"/>
    <s v="Pune"/>
    <x v="2"/>
    <s v="Retail"/>
    <n v="65"/>
    <x v="1"/>
  </r>
  <r>
    <s v="ORD-00616"/>
    <x v="173"/>
    <s v="CUST-0139"/>
    <s v="PROD-003"/>
    <x v="7"/>
    <n v="5"/>
    <n v="3570"/>
    <n v="12.4"/>
    <n v="15636.6"/>
    <s v="Completed"/>
    <s v="Hyderabad"/>
    <x v="4"/>
    <s v="SMB"/>
    <n v="65"/>
    <x v="3"/>
  </r>
  <r>
    <s v="ORD-00617"/>
    <x v="246"/>
    <s v="CUST-0275"/>
    <s v="PROD-033"/>
    <x v="21"/>
    <n v="9"/>
    <n v="2030"/>
    <n v="23.4"/>
    <n v="13994.82"/>
    <s v="Completed"/>
    <s v="Mumbai"/>
    <x v="3"/>
    <s v="Retail"/>
    <n v="36"/>
    <x v="3"/>
  </r>
  <r>
    <s v="ORD-00618"/>
    <x v="60"/>
    <s v="CUST-0006"/>
    <s v="PROD-015"/>
    <x v="6"/>
    <n v="7"/>
    <n v="2720"/>
    <n v="11.2"/>
    <n v="16907.52"/>
    <s v="Refunded"/>
    <s v="Pune"/>
    <x v="0"/>
    <s v="SMB"/>
    <n v="44"/>
    <x v="2"/>
  </r>
  <r>
    <s v="ORD-00619"/>
    <x v="180"/>
    <s v="CUST-0279"/>
    <s v="PROD-003"/>
    <x v="4"/>
    <n v="2"/>
    <n v="3570"/>
    <n v="6.1"/>
    <n v="6704.46"/>
    <s v="Cancelled"/>
    <s v="Mumbai"/>
    <x v="4"/>
    <s v="Retail"/>
    <n v="56"/>
    <x v="0"/>
  </r>
  <r>
    <s v="ORD-00620"/>
    <x v="308"/>
    <s v="CUST-0093"/>
    <s v="PROD-058"/>
    <x v="19"/>
    <n v="5"/>
    <n v="2400"/>
    <n v="16.100000000000001"/>
    <n v="10068"/>
    <s v="Completed"/>
    <s v="Pune"/>
    <x v="1"/>
    <s v="Retail"/>
    <n v="36"/>
    <x v="0"/>
  </r>
  <r>
    <s v="ORD-00621"/>
    <x v="95"/>
    <s v="CUST-0063"/>
    <s v="PROD-024"/>
    <x v="25"/>
    <n v="4"/>
    <n v="2270"/>
    <n v="27.5"/>
    <n v="6583"/>
    <s v="Pending"/>
    <s v="Mumbai"/>
    <x v="2"/>
    <s v="SMB"/>
    <n v="53"/>
    <x v="0"/>
  </r>
  <r>
    <s v="ORD-00622"/>
    <x v="89"/>
    <s v="CUST-0071"/>
    <s v="PROD-030"/>
    <x v="27"/>
    <n v="1"/>
    <n v="970"/>
    <n v="12.7"/>
    <n v="846.81"/>
    <s v="Completed"/>
    <s v="Delhi"/>
    <x v="2"/>
    <s v="Corporate"/>
    <n v="46"/>
    <x v="1"/>
  </r>
  <r>
    <s v="ORD-00623"/>
    <x v="246"/>
    <s v="CUST-0119"/>
    <s v="PROD-056"/>
    <x v="26"/>
    <n v="5"/>
    <n v="6940"/>
    <n v="16.2"/>
    <n v="29078.6"/>
    <s v="Completed"/>
    <s v="Bengaluru"/>
    <x v="1"/>
    <s v="SMB"/>
    <n v="43"/>
    <x v="3"/>
  </r>
  <r>
    <s v="ORD-00624"/>
    <x v="261"/>
    <s v="CUST-0035"/>
    <s v="PROD-056"/>
    <x v="18"/>
    <n v="4"/>
    <n v="6940"/>
    <n v="15.1"/>
    <n v="23568.240000000002"/>
    <s v="Completed"/>
    <s v="Hyderabad"/>
    <x v="1"/>
    <s v="Retail"/>
    <n v="53"/>
    <x v="1"/>
  </r>
  <r>
    <s v="ORD-00625"/>
    <x v="78"/>
    <s v="CUST-0042"/>
    <s v="PROD-054"/>
    <x v="3"/>
    <n v="1"/>
    <n v="1010"/>
    <n v="1.7"/>
    <n v="992.83"/>
    <s v="Completed"/>
    <s v="Pune"/>
    <x v="1"/>
    <s v="Retail"/>
    <n v="25"/>
    <x v="0"/>
  </r>
  <r>
    <s v="ORD-00626"/>
    <x v="303"/>
    <s v="CUST-0033"/>
    <s v="PROD-004"/>
    <x v="0"/>
    <n v="6"/>
    <n v="3870"/>
    <n v="12.2"/>
    <n v="20387.16"/>
    <s v="Completed"/>
    <s v="Delhi"/>
    <x v="4"/>
    <s v="Retail"/>
    <n v="35"/>
    <x v="0"/>
  </r>
  <r>
    <s v="ORD-00627"/>
    <x v="309"/>
    <s v="CUST-0077"/>
    <s v="PROD-048"/>
    <x v="23"/>
    <n v="9"/>
    <n v="5100"/>
    <n v="26.4"/>
    <n v="33782.400000000001"/>
    <s v="Completed"/>
    <s v="Hyderabad"/>
    <x v="5"/>
    <s v="SMB"/>
    <n v="48"/>
    <x v="1"/>
  </r>
  <r>
    <s v="ORD-00628"/>
    <x v="310"/>
    <s v="CUST-0266"/>
    <s v="PROD-012"/>
    <x v="4"/>
    <n v="2"/>
    <n v="3160"/>
    <n v="13.4"/>
    <n v="5473.12"/>
    <s v="Refunded"/>
    <s v="Pune"/>
    <x v="0"/>
    <s v="Retail"/>
    <n v="65"/>
    <x v="0"/>
  </r>
  <r>
    <s v="ORD-00629"/>
    <x v="211"/>
    <s v="CUST-0272"/>
    <s v="PROD-029"/>
    <x v="23"/>
    <n v="8"/>
    <n v="2210"/>
    <n v="26"/>
    <n v="13083.2"/>
    <s v="Completed"/>
    <s v="Mumbai"/>
    <x v="2"/>
    <s v="SMB"/>
    <n v="47"/>
    <x v="1"/>
  </r>
  <r>
    <s v="ORD-00630"/>
    <x v="237"/>
    <s v="CUST-0253"/>
    <s v="PROD-018"/>
    <x v="17"/>
    <n v="5"/>
    <n v="3560"/>
    <n v="15"/>
    <n v="15130"/>
    <s v="Completed"/>
    <s v="Delhi"/>
    <x v="0"/>
    <s v="SMB"/>
    <n v="53"/>
    <x v="2"/>
  </r>
  <r>
    <s v="ORD-00631"/>
    <x v="142"/>
    <s v="CUST-0252"/>
    <s v="PROD-016"/>
    <x v="9"/>
    <n v="10"/>
    <n v="620"/>
    <n v="15.8"/>
    <n v="5220.3999999999996"/>
    <s v="Refunded"/>
    <s v="Bengaluru"/>
    <x v="0"/>
    <s v="Retail"/>
    <n v="27"/>
    <x v="1"/>
  </r>
  <r>
    <s v="ORD-00632"/>
    <x v="276"/>
    <s v="CUST-0097"/>
    <s v="PROD-021"/>
    <x v="25"/>
    <n v="3"/>
    <n v="2760"/>
    <n v="1.9"/>
    <n v="8122.68"/>
    <s v="Cancelled"/>
    <s v="Mumbai"/>
    <x v="2"/>
    <s v="Retail"/>
    <n v="65"/>
    <x v="0"/>
  </r>
  <r>
    <s v="ORD-00633"/>
    <x v="287"/>
    <s v="CUST-0283"/>
    <s v="PROD-054"/>
    <x v="1"/>
    <n v="10"/>
    <n v="1010"/>
    <n v="28.9"/>
    <n v="7181.1"/>
    <s v="Completed"/>
    <s v="Delhi"/>
    <x v="1"/>
    <s v="SMB"/>
    <n v="50"/>
    <x v="0"/>
  </r>
  <r>
    <s v="ORD-00634"/>
    <x v="279"/>
    <s v="CUST-0064"/>
    <s v="PROD-013"/>
    <x v="25"/>
    <n v="1"/>
    <n v="3640"/>
    <n v="9.6999999999999993"/>
    <n v="3286.92"/>
    <s v="Completed"/>
    <s v="Hyderabad"/>
    <x v="0"/>
    <s v="SMB"/>
    <n v="40"/>
    <x v="0"/>
  </r>
  <r>
    <s v="ORD-00635"/>
    <x v="135"/>
    <s v="CUST-0143"/>
    <s v="PROD-020"/>
    <x v="9"/>
    <n v="1"/>
    <n v="820"/>
    <n v="15"/>
    <n v="697"/>
    <s v="Completed"/>
    <s v="Chennai"/>
    <x v="0"/>
    <s v="SMB"/>
    <n v="52"/>
    <x v="1"/>
  </r>
  <r>
    <s v="ORD-00636"/>
    <x v="305"/>
    <s v="CUST-0265"/>
    <s v="PROD-013"/>
    <x v="23"/>
    <n v="4"/>
    <n v="3640"/>
    <n v="17"/>
    <n v="12084.8"/>
    <s v="Completed"/>
    <s v="Chennai"/>
    <x v="0"/>
    <s v="Retail"/>
    <n v="49"/>
    <x v="1"/>
  </r>
  <r>
    <s v="ORD-00637"/>
    <x v="54"/>
    <s v="CUST-0158"/>
    <s v="PROD-023"/>
    <x v="25"/>
    <n v="7"/>
    <n v="2380"/>
    <n v="25.5"/>
    <n v="12411.7"/>
    <s v="Completed"/>
    <s v="Pune"/>
    <x v="2"/>
    <s v="Corporate"/>
    <n v="42"/>
    <x v="0"/>
  </r>
  <r>
    <s v="ORD-00638"/>
    <x v="311"/>
    <s v="CUST-0154"/>
    <s v="PROD-037"/>
    <x v="4"/>
    <n v="1"/>
    <n v="660"/>
    <n v="2.5"/>
    <n v="643.5"/>
    <s v="Completed"/>
    <s v="Pune"/>
    <x v="3"/>
    <s v="Retail"/>
    <n v="36"/>
    <x v="0"/>
  </r>
  <r>
    <s v="ORD-00639"/>
    <x v="177"/>
    <s v="CUST-0057"/>
    <s v="PROD-004"/>
    <x v="16"/>
    <n v="7"/>
    <n v="3870"/>
    <n v="20.3"/>
    <n v="21590.73"/>
    <s v="Pending"/>
    <s v="Pune"/>
    <x v="4"/>
    <s v="Retail"/>
    <n v="35"/>
    <x v="3"/>
  </r>
  <r>
    <s v="ORD-00640"/>
    <x v="176"/>
    <s v="CUST-0088"/>
    <s v="PROD-032"/>
    <x v="29"/>
    <n v="10"/>
    <n v="370"/>
    <n v="1.3"/>
    <n v="3651.9"/>
    <s v="Refunded"/>
    <s v="Chennai"/>
    <x v="3"/>
    <s v="Retail"/>
    <n v="24"/>
    <x v="1"/>
  </r>
  <r>
    <s v="ORD-00641"/>
    <x v="13"/>
    <s v="CUST-0064"/>
    <s v="PROD-014"/>
    <x v="26"/>
    <n v="1"/>
    <n v="3620"/>
    <n v="1.4"/>
    <n v="3569.32"/>
    <s v="Completed"/>
    <s v="Hyderabad"/>
    <x v="0"/>
    <s v="SMB"/>
    <n v="40"/>
    <x v="3"/>
  </r>
  <r>
    <s v="ORD-00642"/>
    <x v="308"/>
    <s v="CUST-0192"/>
    <s v="PROD-008"/>
    <x v="1"/>
    <n v="10"/>
    <n v="2660"/>
    <n v="20.2"/>
    <n v="21226.799999999999"/>
    <s v="Completed"/>
    <s v="Bengaluru"/>
    <x v="4"/>
    <s v="Retail"/>
    <n v="55"/>
    <x v="0"/>
  </r>
  <r>
    <s v="ORD-00643"/>
    <x v="105"/>
    <s v="CUST-0175"/>
    <s v="PROD-051"/>
    <x v="15"/>
    <n v="10"/>
    <n v="3450"/>
    <n v="25.1"/>
    <n v="25840.5"/>
    <s v="Completed"/>
    <s v="Delhi"/>
    <x v="1"/>
    <s v="Corporate"/>
    <n v="55"/>
    <x v="1"/>
  </r>
  <r>
    <s v="ORD-00644"/>
    <x v="98"/>
    <s v="CUST-0083"/>
    <s v="PROD-025"/>
    <x v="22"/>
    <n v="3"/>
    <n v="4060"/>
    <n v="2.5"/>
    <n v="11875.5"/>
    <s v="Refunded"/>
    <s v="Bengaluru"/>
    <x v="2"/>
    <s v="Corporate"/>
    <n v="31"/>
    <x v="1"/>
  </r>
  <r>
    <s v="ORD-00645"/>
    <x v="137"/>
    <s v="CUST-0142"/>
    <s v="PROD-057"/>
    <x v="13"/>
    <n v="3"/>
    <n v="960"/>
    <n v="6.6"/>
    <n v="2689.92"/>
    <s v="Cancelled"/>
    <s v="Chennai"/>
    <x v="1"/>
    <s v="Corporate"/>
    <n v="55"/>
    <x v="3"/>
  </r>
  <r>
    <s v="ORD-00646"/>
    <x v="196"/>
    <s v="CUST-0185"/>
    <s v="PROD-008"/>
    <x v="4"/>
    <n v="4"/>
    <n v="2660"/>
    <n v="16.899999999999999"/>
    <n v="8841.84"/>
    <s v="Completed"/>
    <s v="Hyderabad"/>
    <x v="4"/>
    <s v="SMB"/>
    <n v="43"/>
    <x v="0"/>
  </r>
  <r>
    <s v="ORD-00647"/>
    <x v="264"/>
    <s v="CUST-0284"/>
    <s v="PROD-024"/>
    <x v="26"/>
    <n v="6"/>
    <n v="2270"/>
    <n v="16.7"/>
    <n v="11345.46"/>
    <s v="Completed"/>
    <s v="Hyderabad"/>
    <x v="2"/>
    <s v="SMB"/>
    <n v="65"/>
    <x v="3"/>
  </r>
  <r>
    <s v="ORD-00648"/>
    <x v="0"/>
    <s v="CUST-0092"/>
    <s v="PROD-027"/>
    <x v="5"/>
    <n v="5"/>
    <n v="3780"/>
    <n v="21.5"/>
    <n v="14836.5"/>
    <s v="Completed"/>
    <s v="Bengaluru"/>
    <x v="2"/>
    <s v="SMB"/>
    <n v="28"/>
    <x v="2"/>
  </r>
  <r>
    <s v="ORD-00649"/>
    <x v="265"/>
    <s v="CUST-0091"/>
    <s v="PROD-037"/>
    <x v="7"/>
    <n v="10"/>
    <n v="660"/>
    <n v="18.8"/>
    <n v="5359.2"/>
    <s v="Completed"/>
    <s v="Delhi"/>
    <x v="3"/>
    <s v="Retail"/>
    <n v="55"/>
    <x v="3"/>
  </r>
  <r>
    <s v="ORD-00650"/>
    <x v="3"/>
    <s v="CUST-0155"/>
    <s v="PROD-031"/>
    <x v="6"/>
    <n v="10"/>
    <n v="3730"/>
    <n v="15.1"/>
    <n v="31667.7"/>
    <s v="Completed"/>
    <s v="Pune"/>
    <x v="3"/>
    <s v="Corporate"/>
    <n v="40"/>
    <x v="2"/>
  </r>
  <r>
    <s v="ORD-00651"/>
    <x v="115"/>
    <s v="CUST-0280"/>
    <s v="PROD-025"/>
    <x v="13"/>
    <n v="6"/>
    <n v="4060"/>
    <n v="20.100000000000001"/>
    <n v="19463.64"/>
    <s v="Pending"/>
    <s v="Delhi"/>
    <x v="2"/>
    <s v="SMB"/>
    <n v="27"/>
    <x v="3"/>
  </r>
  <r>
    <s v="ORD-00652"/>
    <x v="283"/>
    <s v="CUST-0127"/>
    <s v="PROD-024"/>
    <x v="11"/>
    <n v="2"/>
    <n v="2270"/>
    <n v="17.7"/>
    <n v="3736.42"/>
    <s v="Completed"/>
    <s v="Bengaluru"/>
    <x v="2"/>
    <s v="SMB"/>
    <n v="36"/>
    <x v="0"/>
  </r>
  <r>
    <s v="ORD-00653"/>
    <x v="294"/>
    <s v="CUST-0077"/>
    <s v="PROD-003"/>
    <x v="8"/>
    <n v="9"/>
    <n v="3570"/>
    <n v="29.9"/>
    <n v="22523.13"/>
    <s v="Completed"/>
    <s v="Hyderabad"/>
    <x v="4"/>
    <s v="SMB"/>
    <n v="48"/>
    <x v="2"/>
  </r>
  <r>
    <s v="ORD-00654"/>
    <x v="126"/>
    <s v="CUST-0190"/>
    <s v="PROD-029"/>
    <x v="10"/>
    <n v="7"/>
    <n v="2210"/>
    <n v="25"/>
    <n v="11602.5"/>
    <s v="Completed"/>
    <s v="Hyderabad"/>
    <x v="2"/>
    <s v="Retail"/>
    <n v="52"/>
    <x v="0"/>
  </r>
  <r>
    <s v="ORD-00655"/>
    <x v="257"/>
    <s v="CUST-0089"/>
    <s v="PROD-057"/>
    <x v="17"/>
    <n v="2"/>
    <n v="960"/>
    <n v="8.1999999999999993"/>
    <n v="1762.56"/>
    <s v="Cancelled"/>
    <s v="Mumbai"/>
    <x v="1"/>
    <s v="SMB"/>
    <n v="43"/>
    <x v="2"/>
  </r>
  <r>
    <s v="ORD-00656"/>
    <x v="24"/>
    <s v="CUST-0141"/>
    <s v="PROD-059"/>
    <x v="17"/>
    <n v="9"/>
    <n v="3780"/>
    <n v="28.4"/>
    <n v="24358.32"/>
    <s v="Pending"/>
    <s v="Hyderabad"/>
    <x v="1"/>
    <s v="Corporate"/>
    <n v="22"/>
    <x v="2"/>
  </r>
  <r>
    <s v="ORD-00657"/>
    <x v="248"/>
    <s v="CUST-0123"/>
    <s v="PROD-048"/>
    <x v="2"/>
    <n v="2"/>
    <n v="5100"/>
    <n v="8.6"/>
    <n v="9322.7999999999993"/>
    <s v="Completed"/>
    <s v="Chennai"/>
    <x v="5"/>
    <s v="Corporate"/>
    <n v="44"/>
    <x v="1"/>
  </r>
  <r>
    <s v="ORD-00658"/>
    <x v="85"/>
    <s v="CUST-0041"/>
    <s v="PROD-019"/>
    <x v="13"/>
    <n v="4"/>
    <n v="2480"/>
    <n v="16.600000000000001"/>
    <n v="8273.2800000000007"/>
    <s v="Completed"/>
    <s v="Bengaluru"/>
    <x v="0"/>
    <s v="SMB"/>
    <n v="26"/>
    <x v="3"/>
  </r>
  <r>
    <s v="ORD-00659"/>
    <x v="68"/>
    <s v="CUST-0257"/>
    <s v="PROD-040"/>
    <x v="26"/>
    <n v="10"/>
    <n v="1080"/>
    <n v="14.5"/>
    <n v="9234"/>
    <s v="Completed"/>
    <s v="Mumbai"/>
    <x v="3"/>
    <s v="Corporate"/>
    <n v="46"/>
    <x v="3"/>
  </r>
  <r>
    <s v="ORD-00660"/>
    <x v="312"/>
    <s v="CUST-0134"/>
    <s v="PROD-002"/>
    <x v="20"/>
    <n v="7"/>
    <n v="2600"/>
    <n v="21"/>
    <n v="14378"/>
    <s v="Completed"/>
    <s v="Delhi"/>
    <x v="4"/>
    <s v="Retail"/>
    <n v="40"/>
    <x v="2"/>
  </r>
  <r>
    <s v="ORD-00661"/>
    <x v="81"/>
    <s v="CUST-0180"/>
    <s v="PROD-002"/>
    <x v="15"/>
    <n v="7"/>
    <n v="2600"/>
    <n v="6.7"/>
    <n v="16980.599999999999"/>
    <s v="Pending"/>
    <s v="Chennai"/>
    <x v="4"/>
    <s v="Retail"/>
    <n v="36"/>
    <x v="1"/>
  </r>
  <r>
    <s v="ORD-00662"/>
    <x v="210"/>
    <s v="CUST-0283"/>
    <s v="PROD-020"/>
    <x v="12"/>
    <n v="8"/>
    <n v="820"/>
    <n v="17.8"/>
    <n v="5392.32"/>
    <s v="Pending"/>
    <s v="Delhi"/>
    <x v="0"/>
    <s v="SMB"/>
    <n v="50"/>
    <x v="3"/>
  </r>
  <r>
    <s v="ORD-00663"/>
    <x v="147"/>
    <s v="CUST-0047"/>
    <s v="PROD-057"/>
    <x v="18"/>
    <n v="3"/>
    <n v="960"/>
    <n v="17.8"/>
    <n v="2367.36"/>
    <s v="Completed"/>
    <s v="Pune"/>
    <x v="1"/>
    <s v="Retail"/>
    <n v="49"/>
    <x v="1"/>
  </r>
  <r>
    <s v="ORD-00664"/>
    <x v="114"/>
    <s v="CUST-0175"/>
    <s v="PROD-041"/>
    <x v="12"/>
    <n v="2"/>
    <n v="1540"/>
    <n v="1.8"/>
    <n v="3024.56"/>
    <s v="Cancelled"/>
    <s v="Delhi"/>
    <x v="5"/>
    <s v="Corporate"/>
    <n v="55"/>
    <x v="3"/>
  </r>
  <r>
    <s v="ORD-00665"/>
    <x v="81"/>
    <s v="CUST-0227"/>
    <s v="PROD-056"/>
    <x v="14"/>
    <n v="5"/>
    <n v="6940"/>
    <n v="2.9"/>
    <n v="33693.699999999997"/>
    <s v="Completed"/>
    <s v="Bengaluru"/>
    <x v="1"/>
    <s v="SMB"/>
    <n v="44"/>
    <x v="2"/>
  </r>
  <r>
    <s v="ORD-00666"/>
    <x v="101"/>
    <s v="CUST-0287"/>
    <s v="PROD-041"/>
    <x v="22"/>
    <n v="5"/>
    <n v="1540"/>
    <n v="28.8"/>
    <n v="5482.4"/>
    <s v="Completed"/>
    <s v="Chennai"/>
    <x v="5"/>
    <s v="SMB"/>
    <n v="53"/>
    <x v="1"/>
  </r>
  <r>
    <s v="ORD-00667"/>
    <x v="179"/>
    <s v="CUST-0004"/>
    <s v="PROD-031"/>
    <x v="27"/>
    <n v="8"/>
    <n v="3730"/>
    <n v="21.1"/>
    <n v="23543.759999999998"/>
    <s v="Completed"/>
    <s v="Delhi"/>
    <x v="3"/>
    <s v="Retail"/>
    <n v="53"/>
    <x v="1"/>
  </r>
  <r>
    <s v="ORD-00668"/>
    <x v="208"/>
    <s v="CUST-0234"/>
    <s v="PROD-021"/>
    <x v="12"/>
    <n v="7"/>
    <n v="2760"/>
    <n v="1.2"/>
    <n v="19088.16"/>
    <s v="Cancelled"/>
    <s v="Bengaluru"/>
    <x v="2"/>
    <s v="Retail"/>
    <n v="34"/>
    <x v="3"/>
  </r>
  <r>
    <s v="ORD-00669"/>
    <x v="313"/>
    <s v="CUST-0255"/>
    <s v="PROD-006"/>
    <x v="16"/>
    <n v="3"/>
    <n v="3970"/>
    <n v="18.3"/>
    <n v="9730.4699999999993"/>
    <s v="Completed"/>
    <s v="Chennai"/>
    <x v="4"/>
    <s v="Corporate"/>
    <n v="51"/>
    <x v="3"/>
  </r>
  <r>
    <s v="ORD-00670"/>
    <x v="274"/>
    <s v="CUST-0092"/>
    <s v="PROD-027"/>
    <x v="12"/>
    <n v="4"/>
    <n v="3780"/>
    <n v="24.6"/>
    <n v="11400.48"/>
    <s v="Completed"/>
    <s v="Bengaluru"/>
    <x v="2"/>
    <s v="SMB"/>
    <n v="28"/>
    <x v="3"/>
  </r>
  <r>
    <s v="ORD-00671"/>
    <x v="146"/>
    <s v="CUST-0037"/>
    <s v="PROD-015"/>
    <x v="4"/>
    <n v="10"/>
    <n v="2720"/>
    <n v="12.8"/>
    <n v="23718.400000000001"/>
    <s v="Completed"/>
    <s v="Bengaluru"/>
    <x v="0"/>
    <s v="Retail"/>
    <n v="52"/>
    <x v="0"/>
  </r>
  <r>
    <s v="ORD-00672"/>
    <x v="2"/>
    <s v="CUST-0208"/>
    <s v="PROD-006"/>
    <x v="21"/>
    <n v="5"/>
    <n v="3970"/>
    <n v="5.9"/>
    <n v="18678.849999999999"/>
    <s v="Completed"/>
    <s v="Mumbai"/>
    <x v="4"/>
    <s v="Retail"/>
    <n v="49"/>
    <x v="3"/>
  </r>
  <r>
    <s v="ORD-00673"/>
    <x v="131"/>
    <s v="CUST-0008"/>
    <s v="PROD-020"/>
    <x v="23"/>
    <n v="3"/>
    <n v="820"/>
    <n v="19.399999999999999"/>
    <n v="1982.76"/>
    <s v="Completed"/>
    <s v="Pune"/>
    <x v="0"/>
    <s v="SMB"/>
    <n v="39"/>
    <x v="1"/>
  </r>
  <r>
    <s v="ORD-00674"/>
    <x v="314"/>
    <s v="CUST-0050"/>
    <s v="PROD-016"/>
    <x v="9"/>
    <n v="7"/>
    <n v="620"/>
    <n v="9.9"/>
    <n v="3910.34"/>
    <s v="Completed"/>
    <s v="Mumbai"/>
    <x v="0"/>
    <s v="Retail"/>
    <n v="37"/>
    <x v="1"/>
  </r>
  <r>
    <s v="ORD-00675"/>
    <x v="125"/>
    <s v="CUST-0166"/>
    <s v="PROD-042"/>
    <x v="28"/>
    <n v="8"/>
    <n v="2290"/>
    <n v="18.3"/>
    <n v="14967.44"/>
    <s v="Completed"/>
    <s v="Hyderabad"/>
    <x v="5"/>
    <s v="Retail"/>
    <n v="31"/>
    <x v="2"/>
  </r>
  <r>
    <s v="ORD-00676"/>
    <x v="234"/>
    <s v="CUST-0271"/>
    <s v="PROD-030"/>
    <x v="5"/>
    <n v="3"/>
    <n v="970"/>
    <n v="18.399999999999999"/>
    <n v="2374.56"/>
    <s v="Completed"/>
    <s v="Bengaluru"/>
    <x v="2"/>
    <s v="Corporate"/>
    <n v="41"/>
    <x v="2"/>
  </r>
  <r>
    <s v="ORD-00677"/>
    <x v="140"/>
    <s v="CUST-0034"/>
    <s v="PROD-032"/>
    <x v="2"/>
    <n v="2"/>
    <n v="370"/>
    <n v="8.9"/>
    <n v="674.14"/>
    <s v="Completed"/>
    <s v="Delhi"/>
    <x v="3"/>
    <s v="Retail"/>
    <n v="47"/>
    <x v="1"/>
  </r>
  <r>
    <s v="ORD-00678"/>
    <x v="215"/>
    <s v="CUST-0016"/>
    <s v="PROD-007"/>
    <x v="0"/>
    <n v="1"/>
    <n v="1430"/>
    <n v="5.9"/>
    <n v="1345.63"/>
    <s v="Cancelled"/>
    <s v="Delhi"/>
    <x v="4"/>
    <s v="SMB"/>
    <n v="26"/>
    <x v="0"/>
  </r>
  <r>
    <s v="ORD-00679"/>
    <x v="315"/>
    <s v="CUST-0039"/>
    <s v="PROD-058"/>
    <x v="14"/>
    <n v="2"/>
    <n v="2400"/>
    <n v="29.1"/>
    <n v="3403.2"/>
    <s v="Completed"/>
    <s v="Bengaluru"/>
    <x v="1"/>
    <s v="Retail"/>
    <n v="37"/>
    <x v="2"/>
  </r>
  <r>
    <s v="ORD-00680"/>
    <x v="186"/>
    <s v="CUST-0253"/>
    <s v="PROD-007"/>
    <x v="23"/>
    <n v="9"/>
    <n v="1430"/>
    <n v="6"/>
    <n v="12097.8"/>
    <s v="Completed"/>
    <s v="Delhi"/>
    <x v="4"/>
    <s v="SMB"/>
    <n v="53"/>
    <x v="1"/>
  </r>
  <r>
    <s v="ORD-00681"/>
    <x v="256"/>
    <s v="CUST-0295"/>
    <s v="PROD-015"/>
    <x v="0"/>
    <n v="8"/>
    <n v="2720"/>
    <n v="25.7"/>
    <n v="16167.68"/>
    <s v="Completed"/>
    <s v="Delhi"/>
    <x v="0"/>
    <s v="SMB"/>
    <n v="48"/>
    <x v="0"/>
  </r>
  <r>
    <s v="ORD-00682"/>
    <x v="160"/>
    <s v="CUST-0138"/>
    <s v="PROD-056"/>
    <x v="28"/>
    <n v="6"/>
    <n v="6940"/>
    <n v="25.7"/>
    <n v="30938.52"/>
    <s v="Completed"/>
    <s v="Chennai"/>
    <x v="1"/>
    <s v="Retail"/>
    <n v="24"/>
    <x v="2"/>
  </r>
  <r>
    <s v="ORD-00683"/>
    <x v="22"/>
    <s v="CUST-0002"/>
    <s v="PROD-014"/>
    <x v="0"/>
    <n v="3"/>
    <n v="3620"/>
    <n v="29.7"/>
    <n v="7634.58"/>
    <s v="Completed"/>
    <s v="Pune"/>
    <x v="0"/>
    <s v="Corporate"/>
    <n v="42"/>
    <x v="0"/>
  </r>
  <r>
    <s v="ORD-00684"/>
    <x v="70"/>
    <s v="CUST-0287"/>
    <s v="PROD-010"/>
    <x v="5"/>
    <n v="8"/>
    <n v="2640"/>
    <n v="24.4"/>
    <n v="15966.72"/>
    <s v="Completed"/>
    <s v="Chennai"/>
    <x v="4"/>
    <s v="SMB"/>
    <n v="53"/>
    <x v="2"/>
  </r>
  <r>
    <s v="ORD-00685"/>
    <x v="134"/>
    <s v="CUST-0279"/>
    <s v="PROD-038"/>
    <x v="3"/>
    <n v="3"/>
    <n v="5490"/>
    <n v="13.5"/>
    <n v="14246.55"/>
    <s v="Completed"/>
    <s v="Mumbai"/>
    <x v="3"/>
    <s v="Retail"/>
    <n v="56"/>
    <x v="0"/>
  </r>
  <r>
    <s v="ORD-00686"/>
    <x v="3"/>
    <s v="CUST-0008"/>
    <s v="PROD-034"/>
    <x v="21"/>
    <n v="3"/>
    <n v="5080"/>
    <n v="9.3000000000000007"/>
    <n v="13822.68"/>
    <s v="Completed"/>
    <s v="Pune"/>
    <x v="3"/>
    <s v="SMB"/>
    <n v="39"/>
    <x v="3"/>
  </r>
  <r>
    <s v="ORD-00687"/>
    <x v="50"/>
    <s v="CUST-0092"/>
    <s v="PROD-042"/>
    <x v="14"/>
    <n v="4"/>
    <n v="2290"/>
    <n v="24.4"/>
    <n v="6924.96"/>
    <s v="Completed"/>
    <s v="Bengaluru"/>
    <x v="5"/>
    <s v="SMB"/>
    <n v="28"/>
    <x v="2"/>
  </r>
  <r>
    <s v="ORD-00688"/>
    <x v="113"/>
    <s v="CUST-0106"/>
    <s v="PROD-033"/>
    <x v="23"/>
    <n v="10"/>
    <n v="2030"/>
    <n v="13.6"/>
    <n v="17539.2"/>
    <s v="Pending"/>
    <s v="Pune"/>
    <x v="3"/>
    <s v="Retail"/>
    <n v="22"/>
    <x v="1"/>
  </r>
  <r>
    <s v="ORD-00689"/>
    <x v="84"/>
    <s v="CUST-0010"/>
    <s v="PROD-007"/>
    <x v="27"/>
    <n v="10"/>
    <n v="1430"/>
    <n v="16.100000000000001"/>
    <n v="11997.7"/>
    <s v="Cancelled"/>
    <s v="Mumbai"/>
    <x v="4"/>
    <s v="SMB"/>
    <n v="61"/>
    <x v="1"/>
  </r>
  <r>
    <s v="ORD-00690"/>
    <x v="298"/>
    <s v="CUST-0179"/>
    <s v="PROD-027"/>
    <x v="18"/>
    <n v="1"/>
    <n v="3780"/>
    <n v="22.7"/>
    <n v="2921.94"/>
    <s v="Completed"/>
    <s v="Mumbai"/>
    <x v="2"/>
    <s v="SMB"/>
    <n v="54"/>
    <x v="1"/>
  </r>
  <r>
    <s v="ORD-00691"/>
    <x v="68"/>
    <s v="CUST-0216"/>
    <s v="PROD-012"/>
    <x v="13"/>
    <n v="10"/>
    <n v="3160"/>
    <n v="13.4"/>
    <n v="27365.599999999999"/>
    <s v="Completed"/>
    <s v="Mumbai"/>
    <x v="0"/>
    <s v="Retail"/>
    <n v="50"/>
    <x v="3"/>
  </r>
  <r>
    <s v="ORD-00692"/>
    <x v="124"/>
    <s v="CUST-0172"/>
    <s v="PROD-007"/>
    <x v="11"/>
    <n v="2"/>
    <n v="1430"/>
    <n v="7.4"/>
    <n v="2648.36"/>
    <s v="Completed"/>
    <s v="Pune"/>
    <x v="4"/>
    <s v="Retail"/>
    <n v="65"/>
    <x v="0"/>
  </r>
  <r>
    <s v="ORD-00693"/>
    <x v="93"/>
    <s v="CUST-0152"/>
    <s v="PROD-012"/>
    <x v="3"/>
    <n v="5"/>
    <n v="3160"/>
    <n v="3.6"/>
    <n v="15231.2"/>
    <s v="Pending"/>
    <s v="Bengaluru"/>
    <x v="0"/>
    <s v="SMB"/>
    <n v="64"/>
    <x v="0"/>
  </r>
  <r>
    <s v="ORD-00694"/>
    <x v="126"/>
    <s v="CUST-0154"/>
    <s v="PROD-042"/>
    <x v="10"/>
    <n v="2"/>
    <n v="2290"/>
    <n v="28.2"/>
    <n v="3288.44"/>
    <s v="Completed"/>
    <s v="Pune"/>
    <x v="5"/>
    <s v="Retail"/>
    <n v="36"/>
    <x v="0"/>
  </r>
  <r>
    <s v="ORD-00695"/>
    <x v="250"/>
    <s v="CUST-0001"/>
    <s v="PROD-011"/>
    <x v="15"/>
    <n v="5"/>
    <n v="3450"/>
    <n v="18.100000000000001"/>
    <n v="14127.75"/>
    <s v="Cancelled"/>
    <s v="Pune"/>
    <x v="0"/>
    <s v="Retail"/>
    <n v="36"/>
    <x v="1"/>
  </r>
  <r>
    <s v="ORD-00696"/>
    <x v="96"/>
    <s v="CUST-0069"/>
    <s v="PROD-018"/>
    <x v="19"/>
    <n v="1"/>
    <n v="3560"/>
    <n v="18.7"/>
    <n v="2894.28"/>
    <s v="Completed"/>
    <s v="Chennai"/>
    <x v="0"/>
    <s v="Retail"/>
    <n v="51"/>
    <x v="0"/>
  </r>
  <r>
    <s v="ORD-00697"/>
    <x v="87"/>
    <s v="CUST-0200"/>
    <s v="PROD-058"/>
    <x v="18"/>
    <n v="9"/>
    <n v="2400"/>
    <n v="18.5"/>
    <n v="17604"/>
    <s v="Completed"/>
    <s v="Hyderabad"/>
    <x v="1"/>
    <s v="Corporate"/>
    <n v="46"/>
    <x v="1"/>
  </r>
  <r>
    <s v="ORD-00698"/>
    <x v="209"/>
    <s v="CUST-0164"/>
    <s v="PROD-004"/>
    <x v="12"/>
    <n v="9"/>
    <n v="3870"/>
    <n v="6.9"/>
    <n v="32426.73"/>
    <s v="Refunded"/>
    <s v="Chennai"/>
    <x v="4"/>
    <s v="Retail"/>
    <n v="60"/>
    <x v="3"/>
  </r>
  <r>
    <s v="ORD-00699"/>
    <x v="247"/>
    <s v="CUST-0004"/>
    <s v="PROD-028"/>
    <x v="24"/>
    <n v="5"/>
    <n v="3660"/>
    <n v="11.7"/>
    <n v="16158.9"/>
    <s v="Completed"/>
    <s v="Delhi"/>
    <x v="2"/>
    <s v="Retail"/>
    <n v="53"/>
    <x v="3"/>
  </r>
  <r>
    <s v="ORD-00700"/>
    <x v="63"/>
    <s v="CUST-0224"/>
    <s v="PROD-040"/>
    <x v="14"/>
    <n v="4"/>
    <n v="1080"/>
    <n v="17.5"/>
    <n v="3564"/>
    <s v="Completed"/>
    <s v="Chennai"/>
    <x v="3"/>
    <s v="Corporate"/>
    <n v="24"/>
    <x v="2"/>
  </r>
  <r>
    <s v="ORD-01185"/>
    <x v="92"/>
    <s v="CUST-0037"/>
    <s v="PROD-059"/>
    <x v="3"/>
    <n v="6"/>
    <n v="3780"/>
    <n v="27.8"/>
    <n v="16374.96"/>
    <s v="Completed"/>
    <s v="Bengaluru"/>
    <x v="1"/>
    <s v="Retail"/>
    <n v="52"/>
    <x v="0"/>
  </r>
  <r>
    <s v="ORD-00702"/>
    <x v="126"/>
    <s v="CUST-0179"/>
    <s v="PROD-019"/>
    <x v="24"/>
    <n v="8"/>
    <n v="2480"/>
    <n v="15.7"/>
    <n v="16725.12"/>
    <s v="Pending"/>
    <s v="Mumbai"/>
    <x v="0"/>
    <s v="SMB"/>
    <n v="54"/>
    <x v="3"/>
  </r>
  <r>
    <s v="ORD-00703"/>
    <x v="132"/>
    <s v="CUST-0018"/>
    <s v="PROD-054"/>
    <x v="2"/>
    <n v="10"/>
    <n v="1010"/>
    <n v="0.1"/>
    <n v="10089.9"/>
    <s v="Pending"/>
    <s v="Pune"/>
    <x v="1"/>
    <s v="SMB"/>
    <n v="54"/>
    <x v="1"/>
  </r>
  <r>
    <s v="ORD-00704"/>
    <x v="5"/>
    <s v="CUST-0184"/>
    <s v="PROD-053"/>
    <x v="15"/>
    <n v="3"/>
    <n v="470"/>
    <n v="1.1000000000000001"/>
    <n v="1394.49"/>
    <s v="Completed"/>
    <s v="Pune"/>
    <x v="1"/>
    <s v="Retail"/>
    <n v="63"/>
    <x v="1"/>
  </r>
  <r>
    <s v="ORD-00705"/>
    <x v="267"/>
    <s v="CUST-0066"/>
    <s v="PROD-024"/>
    <x v="7"/>
    <n v="4"/>
    <n v="2270"/>
    <n v="17.100000000000001"/>
    <n v="7527.32"/>
    <s v="Completed"/>
    <s v="Delhi"/>
    <x v="2"/>
    <s v="Retail"/>
    <n v="24"/>
    <x v="3"/>
  </r>
  <r>
    <s v="ORD-00706"/>
    <x v="276"/>
    <s v="CUST-0053"/>
    <s v="PROD-021"/>
    <x v="9"/>
    <n v="7"/>
    <n v="2760"/>
    <n v="17.100000000000001"/>
    <n v="16016.28"/>
    <s v="Completed"/>
    <s v="Delhi"/>
    <x v="2"/>
    <s v="Retail"/>
    <n v="53"/>
    <x v="1"/>
  </r>
  <r>
    <s v="ORD-00707"/>
    <x v="21"/>
    <s v="CUST-0278"/>
    <s v="PROD-051"/>
    <x v="4"/>
    <n v="6"/>
    <n v="3450"/>
    <n v="6.6"/>
    <n v="19333.8"/>
    <s v="Refunded"/>
    <s v="Hyderabad"/>
    <x v="1"/>
    <s v="Retail"/>
    <n v="41"/>
    <x v="0"/>
  </r>
  <r>
    <s v="ORD-00708"/>
    <x v="316"/>
    <s v="CUST-0285"/>
    <s v="PROD-028"/>
    <x v="0"/>
    <n v="8"/>
    <n v="3660"/>
    <n v="7.2"/>
    <n v="27171.84"/>
    <s v="Completed"/>
    <s v="Hyderabad"/>
    <x v="2"/>
    <s v="Retail"/>
    <n v="22"/>
    <x v="0"/>
  </r>
  <r>
    <s v="ORD-00709"/>
    <x v="317"/>
    <s v="CUST-0060"/>
    <s v="PROD-009"/>
    <x v="14"/>
    <n v="4"/>
    <n v="1220"/>
    <n v="24.3"/>
    <n v="3694.16"/>
    <s v="Cancelled"/>
    <s v="Pune"/>
    <x v="4"/>
    <s v="Retail"/>
    <n v="39"/>
    <x v="2"/>
  </r>
  <r>
    <s v="ORD-00710"/>
    <x v="294"/>
    <s v="CUST-0236"/>
    <s v="PROD-052"/>
    <x v="0"/>
    <n v="2"/>
    <n v="5410"/>
    <n v="0.9"/>
    <n v="10722.62"/>
    <s v="Pending"/>
    <s v="Hyderabad"/>
    <x v="1"/>
    <s v="SMB"/>
    <n v="28"/>
    <x v="0"/>
  </r>
  <r>
    <s v="ORD-00711"/>
    <x v="94"/>
    <s v="CUST-0106"/>
    <s v="PROD-033"/>
    <x v="18"/>
    <n v="5"/>
    <n v="2030"/>
    <n v="25.2"/>
    <n v="7592.2"/>
    <s v="Completed"/>
    <s v="Pune"/>
    <x v="3"/>
    <s v="Retail"/>
    <n v="22"/>
    <x v="1"/>
  </r>
  <r>
    <s v="ORD-00712"/>
    <x v="26"/>
    <s v="CUST-0085"/>
    <s v="PROD-009"/>
    <x v="27"/>
    <n v="5"/>
    <n v="1220"/>
    <n v="2.6"/>
    <n v="5941.4"/>
    <s v="Completed"/>
    <s v="Chennai"/>
    <x v="4"/>
    <s v="Retail"/>
    <n v="26"/>
    <x v="1"/>
  </r>
  <r>
    <s v="ORD-00713"/>
    <x v="77"/>
    <s v="CUST-0075"/>
    <s v="PROD-008"/>
    <x v="3"/>
    <n v="4"/>
    <n v="2660"/>
    <n v="19.100000000000001"/>
    <n v="8607.76"/>
    <s v="Refunded"/>
    <s v="Mumbai"/>
    <x v="4"/>
    <s v="Corporate"/>
    <n v="55"/>
    <x v="0"/>
  </r>
  <r>
    <s v="ORD-00714"/>
    <x v="116"/>
    <s v="CUST-0169"/>
    <s v="PROD-026"/>
    <x v="29"/>
    <n v="3"/>
    <n v="4070"/>
    <n v="25.2"/>
    <n v="9133.08"/>
    <s v="Completed"/>
    <s v="Bengaluru"/>
    <x v="2"/>
    <s v="SMB"/>
    <n v="42"/>
    <x v="1"/>
  </r>
  <r>
    <s v="ORD-00715"/>
    <x v="76"/>
    <s v="CUST-0166"/>
    <s v="PROD-049"/>
    <x v="2"/>
    <n v="10"/>
    <n v="960"/>
    <n v="0.3"/>
    <n v="9571.2000000000007"/>
    <s v="Completed"/>
    <s v="Hyderabad"/>
    <x v="5"/>
    <s v="Retail"/>
    <n v="31"/>
    <x v="1"/>
  </r>
  <r>
    <s v="ORD-00716"/>
    <x v="313"/>
    <s v="CUST-0065"/>
    <s v="PROD-031"/>
    <x v="20"/>
    <n v="2"/>
    <n v="3730"/>
    <n v="29.9"/>
    <n v="5229.46"/>
    <s v="Completed"/>
    <s v="Chennai"/>
    <x v="3"/>
    <s v="Corporate"/>
    <n v="49"/>
    <x v="2"/>
  </r>
  <r>
    <s v="ORD-00717"/>
    <x v="95"/>
    <s v="CUST-0102"/>
    <s v="PROD-057"/>
    <x v="10"/>
    <n v="9"/>
    <n v="960"/>
    <n v="1.9"/>
    <n v="8475.84"/>
    <s v="Completed"/>
    <s v="Chennai"/>
    <x v="1"/>
    <s v="SMB"/>
    <n v="62"/>
    <x v="0"/>
  </r>
  <r>
    <s v="ORD-00718"/>
    <x v="253"/>
    <s v="CUST-0052"/>
    <s v="PROD-011"/>
    <x v="10"/>
    <n v="2"/>
    <n v="3450"/>
    <n v="22.9"/>
    <n v="5319.9"/>
    <s v="Pending"/>
    <s v="Pune"/>
    <x v="0"/>
    <s v="Retail"/>
    <n v="38"/>
    <x v="0"/>
  </r>
  <r>
    <s v="ORD-00719"/>
    <x v="48"/>
    <s v="CUST-0130"/>
    <s v="PROD-052"/>
    <x v="9"/>
    <n v="3"/>
    <n v="5410"/>
    <n v="15.5"/>
    <n v="13714.35"/>
    <s v="Completed"/>
    <s v="Bengaluru"/>
    <x v="1"/>
    <s v="Corporate"/>
    <n v="41"/>
    <x v="1"/>
  </r>
  <r>
    <s v="ORD-00720"/>
    <x v="120"/>
    <s v="CUST-0284"/>
    <s v="PROD-043"/>
    <x v="7"/>
    <n v="8"/>
    <n v="3350"/>
    <n v="18.399999999999999"/>
    <n v="21868.799999999999"/>
    <s v="Completed"/>
    <s v="Hyderabad"/>
    <x v="5"/>
    <s v="SMB"/>
    <n v="65"/>
    <x v="3"/>
  </r>
  <r>
    <s v="ORD-00721"/>
    <x v="4"/>
    <s v="CUST-0053"/>
    <s v="PROD-015"/>
    <x v="4"/>
    <n v="5"/>
    <n v="2720"/>
    <n v="17.3"/>
    <n v="11247.2"/>
    <s v="Cancelled"/>
    <s v="Delhi"/>
    <x v="0"/>
    <s v="Retail"/>
    <n v="53"/>
    <x v="0"/>
  </r>
  <r>
    <s v="ORD-00722"/>
    <x v="210"/>
    <s v="CUST-0293"/>
    <s v="PROD-028"/>
    <x v="21"/>
    <n v="8"/>
    <n v="3660"/>
    <n v="28.8"/>
    <n v="20847.36"/>
    <s v="Completed"/>
    <s v="Bengaluru"/>
    <x v="2"/>
    <s v="Retail"/>
    <n v="27"/>
    <x v="3"/>
  </r>
  <r>
    <s v="ORD-00723"/>
    <x v="21"/>
    <s v="CUST-0242"/>
    <s v="PROD-005"/>
    <x v="22"/>
    <n v="6"/>
    <n v="300"/>
    <n v="23.9"/>
    <n v="1369.8"/>
    <s v="Cancelled"/>
    <s v="Chennai"/>
    <x v="4"/>
    <s v="SMB"/>
    <n v="59"/>
    <x v="1"/>
  </r>
  <r>
    <s v="ORD-00724"/>
    <x v="289"/>
    <s v="CUST-0226"/>
    <s v="PROD-042"/>
    <x v="17"/>
    <n v="3"/>
    <n v="2290"/>
    <n v="2.4"/>
    <n v="6705.12"/>
    <s v="Completed"/>
    <s v="Chennai"/>
    <x v="5"/>
    <s v="Corporate"/>
    <n v="52"/>
    <x v="2"/>
  </r>
  <r>
    <s v="ORD-00725"/>
    <x v="210"/>
    <s v="CUST-0005"/>
    <s v="PROD-046"/>
    <x v="2"/>
    <n v="6"/>
    <n v="4880"/>
    <n v="11.1"/>
    <n v="26029.919999999998"/>
    <s v="Pending"/>
    <s v="Chennai"/>
    <x v="5"/>
    <s v="Corporate"/>
    <n v="52"/>
    <x v="1"/>
  </r>
  <r>
    <s v="ORD-00726"/>
    <x v="254"/>
    <s v="CUST-0211"/>
    <s v="PROD-005"/>
    <x v="0"/>
    <n v="5"/>
    <n v="300"/>
    <n v="19.399999999999999"/>
    <n v="1209"/>
    <s v="Completed"/>
    <s v="Bengaluru"/>
    <x v="4"/>
    <s v="Retail"/>
    <n v="36"/>
    <x v="0"/>
  </r>
  <r>
    <s v="ORD-00727"/>
    <x v="208"/>
    <s v="CUST-0229"/>
    <s v="PROD-008"/>
    <x v="14"/>
    <n v="3"/>
    <n v="2660"/>
    <n v="28.5"/>
    <n v="5705.7"/>
    <s v="Pending"/>
    <s v="Hyderabad"/>
    <x v="4"/>
    <s v="SMB"/>
    <n v="25"/>
    <x v="2"/>
  </r>
  <r>
    <s v="ORD-00728"/>
    <x v="224"/>
    <s v="CUST-0037"/>
    <s v="PROD-035"/>
    <x v="6"/>
    <n v="7"/>
    <n v="1090"/>
    <n v="10.3"/>
    <n v="6844.11"/>
    <s v="Completed"/>
    <s v="Bengaluru"/>
    <x v="3"/>
    <s v="Retail"/>
    <n v="52"/>
    <x v="2"/>
  </r>
  <r>
    <s v="ORD-00729"/>
    <x v="154"/>
    <s v="CUST-0059"/>
    <s v="PROD-007"/>
    <x v="27"/>
    <n v="9"/>
    <n v="1430"/>
    <n v="12.1"/>
    <n v="11312.73"/>
    <s v="Cancelled"/>
    <s v="Pune"/>
    <x v="4"/>
    <s v="Corporate"/>
    <n v="29"/>
    <x v="1"/>
  </r>
  <r>
    <s v="ORD-00730"/>
    <x v="112"/>
    <s v="CUST-0222"/>
    <s v="PROD-010"/>
    <x v="1"/>
    <n v="5"/>
    <n v="2640"/>
    <n v="26.8"/>
    <n v="9662.4"/>
    <s v="Completed"/>
    <s v="Chennai"/>
    <x v="4"/>
    <s v="Retail"/>
    <n v="37"/>
    <x v="0"/>
  </r>
  <r>
    <s v="ORD-00731"/>
    <x v="71"/>
    <s v="CUST-0157"/>
    <s v="PROD-015"/>
    <x v="19"/>
    <n v="8"/>
    <n v="2720"/>
    <n v="17.5"/>
    <n v="17952"/>
    <s v="Completed"/>
    <s v="Pune"/>
    <x v="0"/>
    <s v="Corporate"/>
    <n v="52"/>
    <x v="0"/>
  </r>
  <r>
    <s v="ORD-00732"/>
    <x v="226"/>
    <s v="CUST-0027"/>
    <s v="PROD-013"/>
    <x v="29"/>
    <n v="9"/>
    <n v="3640"/>
    <n v="3.6"/>
    <n v="31580.639999999999"/>
    <s v="Completed"/>
    <s v="Hyderabad"/>
    <x v="0"/>
    <s v="Corporate"/>
    <n v="52"/>
    <x v="1"/>
  </r>
  <r>
    <s v="ORD-00733"/>
    <x v="211"/>
    <s v="CUST-9846"/>
    <s v="PROD-050"/>
    <x v="13"/>
    <n v="7"/>
    <n v="6080"/>
    <n v="23.6"/>
    <n v="32515.84"/>
    <s v="Completed"/>
    <s v="Mumbai"/>
    <x v="5"/>
    <e v="#N/A"/>
    <e v="#N/A"/>
    <x v="3"/>
  </r>
  <r>
    <s v="ORD-00734"/>
    <x v="241"/>
    <s v="CUST-0011"/>
    <s v="PROD-001"/>
    <x v="15"/>
    <n v="7"/>
    <n v="5330"/>
    <n v="19.7"/>
    <n v="29959.93"/>
    <s v="Cancelled"/>
    <s v="Chennai"/>
    <x v="4"/>
    <s v="Corporate"/>
    <n v="41"/>
    <x v="1"/>
  </r>
  <r>
    <s v="ORD-00735"/>
    <x v="106"/>
    <s v="CUST-0043"/>
    <s v="PROD-039"/>
    <x v="6"/>
    <n v="5"/>
    <n v="4610"/>
    <n v="3.6"/>
    <n v="22220.2"/>
    <s v="Completed"/>
    <s v="Hyderabad"/>
    <x v="3"/>
    <s v="Retail"/>
    <n v="61"/>
    <x v="2"/>
  </r>
  <r>
    <s v="ORD-00736"/>
    <x v="272"/>
    <s v="CUST-0154"/>
    <s v="PROD-001"/>
    <x v="14"/>
    <n v="9"/>
    <n v="5330"/>
    <n v="22.9"/>
    <n v="36984.870000000003"/>
    <s v="Completed"/>
    <s v="Pune"/>
    <x v="4"/>
    <s v="Retail"/>
    <n v="36"/>
    <x v="2"/>
  </r>
  <r>
    <s v="ORD-00737"/>
    <x v="242"/>
    <s v="CUST-0163"/>
    <s v="PROD-050"/>
    <x v="26"/>
    <n v="5"/>
    <n v="6080"/>
    <n v="6"/>
    <n v="28576"/>
    <s v="Refunded"/>
    <s v="Pune"/>
    <x v="5"/>
    <s v="Retail"/>
    <n v="49"/>
    <x v="3"/>
  </r>
  <r>
    <s v="ORD-00738"/>
    <x v="193"/>
    <s v="CUST-0299"/>
    <s v="PROD-013"/>
    <x v="21"/>
    <n v="7"/>
    <n v="3640"/>
    <n v="5.5"/>
    <n v="24078.6"/>
    <s v="Completed"/>
    <s v="Mumbai"/>
    <x v="0"/>
    <s v="Corporate"/>
    <n v="51"/>
    <x v="3"/>
  </r>
  <r>
    <s v="ORD-00739"/>
    <x v="260"/>
    <s v="CUST-0240"/>
    <s v="PROD-008"/>
    <x v="22"/>
    <n v="1"/>
    <n v="2660"/>
    <n v="6.1"/>
    <n v="2497.7399999999998"/>
    <s v="Cancelled"/>
    <s v="Chennai"/>
    <x v="4"/>
    <s v="Corporate"/>
    <n v="35"/>
    <x v="1"/>
  </r>
  <r>
    <s v="ORD-00740"/>
    <x v="212"/>
    <s v="CUST-0291"/>
    <s v="PROD-043"/>
    <x v="15"/>
    <n v="8"/>
    <n v="3350"/>
    <n v="19.5"/>
    <n v="21574"/>
    <s v="Completed"/>
    <s v="Pune"/>
    <x v="5"/>
    <s v="SMB"/>
    <n v="29"/>
    <x v="1"/>
  </r>
  <r>
    <s v="ORD-00741"/>
    <x v="83"/>
    <s v="CUST-0243"/>
    <s v="PROD-039"/>
    <x v="7"/>
    <n v="4"/>
    <n v="4610"/>
    <n v="24"/>
    <n v="14014.4"/>
    <s v="Completed"/>
    <s v="Pune"/>
    <x v="3"/>
    <s v="SMB"/>
    <n v="44"/>
    <x v="3"/>
  </r>
  <r>
    <s v="ORD-00742"/>
    <x v="174"/>
    <s v="CUST-0073"/>
    <s v="PROD-055"/>
    <x v="2"/>
    <n v="7"/>
    <n v="2860"/>
    <n v="23.2"/>
    <n v="15375.36"/>
    <s v="Completed"/>
    <s v="Pune"/>
    <x v="1"/>
    <s v="Corporate"/>
    <n v="40"/>
    <x v="1"/>
  </r>
  <r>
    <s v="ORD-00743"/>
    <x v="128"/>
    <s v="CUST-0154"/>
    <s v="PROD-043"/>
    <x v="22"/>
    <n v="7"/>
    <n v="3350"/>
    <n v="10.6"/>
    <n v="20964.3"/>
    <s v="Pending"/>
    <s v="Pune"/>
    <x v="5"/>
    <s v="Retail"/>
    <n v="36"/>
    <x v="1"/>
  </r>
  <r>
    <s v="ORD-00744"/>
    <x v="55"/>
    <s v="CUST-0084"/>
    <s v="PROD-029"/>
    <x v="8"/>
    <n v="5"/>
    <n v="2210"/>
    <n v="12.1"/>
    <n v="9712.9500000000007"/>
    <s v="Completed"/>
    <s v="Chennai"/>
    <x v="2"/>
    <s v="Retail"/>
    <n v="28"/>
    <x v="2"/>
  </r>
  <r>
    <s v="ORD-00745"/>
    <x v="90"/>
    <s v="CUST-0228"/>
    <s v="PROD-047"/>
    <x v="22"/>
    <n v="1"/>
    <n v="3450"/>
    <n v="19.100000000000001"/>
    <n v="2791.05"/>
    <s v="Pending"/>
    <s v="Pune"/>
    <x v="5"/>
    <s v="Corporate"/>
    <n v="37"/>
    <x v="1"/>
  </r>
  <r>
    <s v="ORD-00746"/>
    <x v="78"/>
    <s v="CUST-0232"/>
    <s v="PROD-048"/>
    <x v="8"/>
    <n v="5"/>
    <n v="5100"/>
    <n v="2.8"/>
    <n v="24786"/>
    <s v="Completed"/>
    <s v="Hyderabad"/>
    <x v="5"/>
    <s v="Retail"/>
    <n v="38"/>
    <x v="2"/>
  </r>
  <r>
    <s v="ORD-00747"/>
    <x v="318"/>
    <s v="CUST-0129"/>
    <s v="PROD-048"/>
    <x v="11"/>
    <n v="9"/>
    <n v="5100"/>
    <n v="24.4"/>
    <n v="34700.400000000001"/>
    <s v="Completed"/>
    <s v="Hyderabad"/>
    <x v="5"/>
    <s v="Retail"/>
    <n v="29"/>
    <x v="0"/>
  </r>
  <r>
    <s v="ORD-00748"/>
    <x v="296"/>
    <s v="CUST-0189"/>
    <s v="PROD-037"/>
    <x v="3"/>
    <n v="9"/>
    <n v="660"/>
    <n v="19.8"/>
    <n v="4763.88"/>
    <s v="Completed"/>
    <s v="Chennai"/>
    <x v="3"/>
    <s v="Retail"/>
    <n v="41"/>
    <x v="0"/>
  </r>
  <r>
    <s v="ORD-00749"/>
    <x v="0"/>
    <s v="CUST-0122"/>
    <s v="PROD-026"/>
    <x v="3"/>
    <n v="3"/>
    <n v="4070"/>
    <n v="27.1"/>
    <n v="8901.09"/>
    <s v="Completed"/>
    <s v="Mumbai"/>
    <x v="2"/>
    <s v="Retail"/>
    <n v="44"/>
    <x v="0"/>
  </r>
  <r>
    <s v="ORD-00750"/>
    <x v="172"/>
    <s v="CUST-0170"/>
    <s v="PROD-017"/>
    <x v="0"/>
    <n v="2"/>
    <n v="2510"/>
    <n v="29.1"/>
    <n v="3559.18"/>
    <s v="Completed"/>
    <s v="Mumbai"/>
    <x v="0"/>
    <s v="SMB"/>
    <n v="22"/>
    <x v="0"/>
  </r>
  <r>
    <s v="ORD-00751"/>
    <x v="121"/>
    <s v="CUST-0291"/>
    <s v="PROD-036"/>
    <x v="14"/>
    <n v="4"/>
    <n v="3250"/>
    <n v="21.1"/>
    <n v="10257"/>
    <s v="Completed"/>
    <s v="Pune"/>
    <x v="3"/>
    <s v="SMB"/>
    <n v="29"/>
    <x v="2"/>
  </r>
  <r>
    <s v="ORD-00752"/>
    <x v="77"/>
    <s v="CUST-0090"/>
    <s v="PROD-032"/>
    <x v="1"/>
    <n v="3"/>
    <n v="370"/>
    <n v="7.7"/>
    <n v="1024.53"/>
    <s v="Completed"/>
    <s v="Bengaluru"/>
    <x v="3"/>
    <s v="Corporate"/>
    <n v="26"/>
    <x v="0"/>
  </r>
  <r>
    <s v="ORD-00753"/>
    <x v="319"/>
    <s v="CUST-0205"/>
    <s v="PROD-020"/>
    <x v="3"/>
    <n v="10"/>
    <n v="820"/>
    <n v="3.5"/>
    <n v="7913"/>
    <s v="Completed"/>
    <s v="Pune"/>
    <x v="0"/>
    <s v="Corporate"/>
    <n v="29"/>
    <x v="0"/>
  </r>
  <r>
    <s v="ORD-00754"/>
    <x v="101"/>
    <s v="CUST-0192"/>
    <s v="PROD-026"/>
    <x v="20"/>
    <n v="4"/>
    <n v="4070"/>
    <n v="23.8"/>
    <n v="12405.36"/>
    <s v="Completed"/>
    <s v="Bengaluru"/>
    <x v="2"/>
    <s v="Retail"/>
    <n v="55"/>
    <x v="2"/>
  </r>
  <r>
    <s v="ORD-00755"/>
    <x v="320"/>
    <s v="CUST-0270"/>
    <s v="PROD-023"/>
    <x v="23"/>
    <n v="1"/>
    <n v="2380"/>
    <n v="19.600000000000001"/>
    <n v="1913.52"/>
    <s v="Cancelled"/>
    <s v="Bengaluru"/>
    <x v="2"/>
    <s v="Retail"/>
    <n v="29"/>
    <x v="1"/>
  </r>
  <r>
    <s v="ORD-00756"/>
    <x v="223"/>
    <s v="CUST-0266"/>
    <s v="PROD-038"/>
    <x v="14"/>
    <n v="3"/>
    <n v="5490"/>
    <n v="2.5"/>
    <n v="16058.25"/>
    <s v="Completed"/>
    <s v="Pune"/>
    <x v="3"/>
    <s v="Retail"/>
    <n v="65"/>
    <x v="2"/>
  </r>
  <r>
    <s v="ORD-00757"/>
    <x v="155"/>
    <s v="CUST-0208"/>
    <s v="PROD-013"/>
    <x v="28"/>
    <n v="3"/>
    <n v="3640"/>
    <n v="23.3"/>
    <n v="8375.64"/>
    <s v="Completed"/>
    <s v="Mumbai"/>
    <x v="0"/>
    <s v="Retail"/>
    <n v="49"/>
    <x v="2"/>
  </r>
  <r>
    <s v="ORD-00758"/>
    <x v="321"/>
    <s v="CUST-0224"/>
    <s v="PROD-039"/>
    <x v="26"/>
    <n v="2"/>
    <n v="4610"/>
    <n v="5"/>
    <n v="8759"/>
    <s v="Pending"/>
    <s v="Chennai"/>
    <x v="3"/>
    <s v="Corporate"/>
    <n v="24"/>
    <x v="3"/>
  </r>
  <r>
    <s v="ORD-00759"/>
    <x v="264"/>
    <s v="CUST-0264"/>
    <s v="PROD-058"/>
    <x v="19"/>
    <n v="8"/>
    <n v="2400"/>
    <n v="10"/>
    <n v="17280"/>
    <s v="Pending"/>
    <s v="Pune"/>
    <x v="1"/>
    <s v="Retail"/>
    <n v="59"/>
    <x v="0"/>
  </r>
  <r>
    <s v="ORD-00760"/>
    <x v="100"/>
    <s v="CUST-0113"/>
    <s v="PROD-043"/>
    <x v="25"/>
    <n v="7"/>
    <n v="3350"/>
    <n v="23.7"/>
    <n v="17892.349999999999"/>
    <s v="Completed"/>
    <s v="Delhi"/>
    <x v="5"/>
    <s v="Retail"/>
    <n v="30"/>
    <x v="0"/>
  </r>
  <r>
    <s v="ORD-00761"/>
    <x v="4"/>
    <s v="CUST-0160"/>
    <s v="PROD-013"/>
    <x v="27"/>
    <n v="4"/>
    <n v="3640"/>
    <n v="9.3000000000000007"/>
    <n v="13205.92"/>
    <s v="Cancelled"/>
    <s v="Hyderabad"/>
    <x v="0"/>
    <s v="Retail"/>
    <n v="27"/>
    <x v="1"/>
  </r>
  <r>
    <s v="ORD-00762"/>
    <x v="133"/>
    <s v="CUST-0109"/>
    <s v="PROD-013"/>
    <x v="8"/>
    <n v="9"/>
    <n v="3640"/>
    <n v="13.1"/>
    <n v="28468.44"/>
    <s v="Pending"/>
    <s v="Pune"/>
    <x v="0"/>
    <s v="Retail"/>
    <n v="42"/>
    <x v="2"/>
  </r>
  <r>
    <s v="ORD-00763"/>
    <x v="287"/>
    <s v="CUST-0107"/>
    <s v="PROD-033"/>
    <x v="2"/>
    <n v="2"/>
    <n v="2030"/>
    <n v="12.2"/>
    <n v="3564.68"/>
    <s v="Completed"/>
    <s v="Pune"/>
    <x v="3"/>
    <s v="Retail"/>
    <n v="50"/>
    <x v="1"/>
  </r>
  <r>
    <s v="ORD-00764"/>
    <x v="314"/>
    <s v="CUST-0120"/>
    <s v="PROD-012"/>
    <x v="25"/>
    <n v="4"/>
    <n v="3160"/>
    <n v="7.5"/>
    <n v="11692"/>
    <s v="Completed"/>
    <s v="Mumbai"/>
    <x v="0"/>
    <s v="Retail"/>
    <n v="29"/>
    <x v="0"/>
  </r>
  <r>
    <s v="ORD-00765"/>
    <x v="322"/>
    <s v="CUST-0225"/>
    <s v="PROD-026"/>
    <x v="20"/>
    <n v="10"/>
    <n v="4070"/>
    <n v="8.3000000000000007"/>
    <n v="37321.9"/>
    <s v="Completed"/>
    <s v="Chennai"/>
    <x v="2"/>
    <s v="SMB"/>
    <n v="26"/>
    <x v="2"/>
  </r>
  <r>
    <s v="ORD-00766"/>
    <x v="30"/>
    <s v="CUST-0134"/>
    <s v="PROD-025"/>
    <x v="6"/>
    <n v="8"/>
    <n v="4060"/>
    <n v="8.5"/>
    <n v="29719.200000000001"/>
    <s v="Completed"/>
    <s v="Delhi"/>
    <x v="2"/>
    <s v="Retail"/>
    <n v="40"/>
    <x v="2"/>
  </r>
  <r>
    <s v="ORD-00767"/>
    <x v="323"/>
    <s v="CUST-0279"/>
    <s v="PROD-057"/>
    <x v="26"/>
    <n v="8"/>
    <n v="960"/>
    <n v="8.6999999999999993"/>
    <n v="7011.84"/>
    <s v="Completed"/>
    <s v="Mumbai"/>
    <x v="1"/>
    <s v="Retail"/>
    <n v="56"/>
    <x v="3"/>
  </r>
  <r>
    <s v="ORD-00768"/>
    <x v="141"/>
    <s v="CUST-0247"/>
    <s v="PROD-022"/>
    <x v="28"/>
    <n v="2"/>
    <n v="2270"/>
    <n v="10.199999999999999"/>
    <n v="4076.92"/>
    <s v="Completed"/>
    <s v="Pune"/>
    <x v="2"/>
    <s v="SMB"/>
    <n v="35"/>
    <x v="2"/>
  </r>
  <r>
    <s v="ORD-00769"/>
    <x v="197"/>
    <s v="CUST-0129"/>
    <s v="PROD-027"/>
    <x v="0"/>
    <n v="1"/>
    <n v="3780"/>
    <n v="15.3"/>
    <n v="3201.66"/>
    <s v="Cancelled"/>
    <s v="Hyderabad"/>
    <x v="2"/>
    <s v="Retail"/>
    <n v="29"/>
    <x v="0"/>
  </r>
  <r>
    <s v="ORD-00770"/>
    <x v="135"/>
    <s v="CUST-0038"/>
    <s v="PROD-042"/>
    <x v="8"/>
    <n v="10"/>
    <n v="2290"/>
    <n v="2.4"/>
    <n v="22350.400000000001"/>
    <s v="Pending"/>
    <s v="Mumbai"/>
    <x v="5"/>
    <s v="Retail"/>
    <n v="57"/>
    <x v="2"/>
  </r>
  <r>
    <s v="ORD-00771"/>
    <x v="104"/>
    <s v="CUST-0109"/>
    <s v="PROD-043"/>
    <x v="21"/>
    <n v="5"/>
    <n v="3350"/>
    <n v="18.5"/>
    <n v="13651.25"/>
    <s v="Cancelled"/>
    <s v="Pune"/>
    <x v="5"/>
    <s v="Retail"/>
    <n v="42"/>
    <x v="3"/>
  </r>
  <r>
    <s v="ORD-00772"/>
    <x v="324"/>
    <s v="CUST-0051"/>
    <s v="PROD-017"/>
    <x v="13"/>
    <n v="7"/>
    <n v="2510"/>
    <n v="4.2"/>
    <n v="16832.060000000001"/>
    <s v="Cancelled"/>
    <s v="Pune"/>
    <x v="0"/>
    <s v="SMB"/>
    <n v="54"/>
    <x v="3"/>
  </r>
  <r>
    <s v="ORD-00773"/>
    <x v="325"/>
    <s v="CUST-0265"/>
    <s v="PROD-002"/>
    <x v="26"/>
    <n v="1"/>
    <n v="2600"/>
    <n v="2.2000000000000002"/>
    <n v="2542.8000000000002"/>
    <s v="Completed"/>
    <s v="Chennai"/>
    <x v="4"/>
    <s v="Retail"/>
    <n v="49"/>
    <x v="3"/>
  </r>
  <r>
    <s v="ORD-00774"/>
    <x v="299"/>
    <s v="CUST-0192"/>
    <s v="PROD-053"/>
    <x v="11"/>
    <n v="8"/>
    <n v="470"/>
    <n v="25.2"/>
    <n v="2812.48"/>
    <s v="Completed"/>
    <s v="Bengaluru"/>
    <x v="1"/>
    <s v="Retail"/>
    <n v="55"/>
    <x v="0"/>
  </r>
  <r>
    <s v="ORD-00775"/>
    <x v="307"/>
    <s v="CUST-0241"/>
    <s v="PROD-040"/>
    <x v="27"/>
    <n v="6"/>
    <n v="1080"/>
    <n v="25"/>
    <n v="4860"/>
    <s v="Completed"/>
    <s v="Pune"/>
    <x v="3"/>
    <s v="Corporate"/>
    <n v="47"/>
    <x v="1"/>
  </r>
  <r>
    <s v="ORD-00776"/>
    <x v="218"/>
    <s v="CUST-0243"/>
    <s v="PROD-054"/>
    <x v="7"/>
    <n v="2"/>
    <n v="1010"/>
    <n v="16.100000000000001"/>
    <n v="1694.78"/>
    <s v="Completed"/>
    <s v="Pune"/>
    <x v="1"/>
    <s v="SMB"/>
    <n v="44"/>
    <x v="3"/>
  </r>
  <r>
    <s v="ORD-00777"/>
    <x v="196"/>
    <s v="CUST-0016"/>
    <s v="PROD-004"/>
    <x v="25"/>
    <n v="6"/>
    <n v="3870"/>
    <n v="22.4"/>
    <n v="18018.72"/>
    <s v="Cancelled"/>
    <s v="Delhi"/>
    <x v="4"/>
    <s v="SMB"/>
    <n v="26"/>
    <x v="0"/>
  </r>
  <r>
    <s v="ORD-00778"/>
    <x v="219"/>
    <s v="CUST-0249"/>
    <s v="PROD-033"/>
    <x v="28"/>
    <n v="3"/>
    <n v="2030"/>
    <n v="18.5"/>
    <n v="4963.3500000000004"/>
    <s v="Completed"/>
    <s v="Mumbai"/>
    <x v="3"/>
    <s v="Retail"/>
    <n v="44"/>
    <x v="2"/>
  </r>
  <r>
    <s v="ORD-00779"/>
    <x v="326"/>
    <s v="CUST-0021"/>
    <s v="PROD-040"/>
    <x v="28"/>
    <n v="7"/>
    <n v="1080"/>
    <n v="6.8"/>
    <n v="7045.92"/>
    <s v="Pending"/>
    <s v="Pune"/>
    <x v="3"/>
    <s v="Retail"/>
    <n v="44"/>
    <x v="2"/>
  </r>
  <r>
    <s v="ORD-00780"/>
    <x v="303"/>
    <s v="CUST-0255"/>
    <s v="PROD-035"/>
    <x v="18"/>
    <n v="1"/>
    <n v="1090"/>
    <n v="20.6"/>
    <n v="865.46"/>
    <s v="Completed"/>
    <s v="Chennai"/>
    <x v="3"/>
    <s v="Corporate"/>
    <n v="51"/>
    <x v="1"/>
  </r>
  <r>
    <s v="ORD-00781"/>
    <x v="72"/>
    <s v="CUST-0084"/>
    <s v="PROD-032"/>
    <x v="23"/>
    <n v="8"/>
    <n v="370"/>
    <n v="1.7"/>
    <n v="2909.68"/>
    <s v="Completed"/>
    <s v="Chennai"/>
    <x v="3"/>
    <s v="Retail"/>
    <n v="28"/>
    <x v="1"/>
  </r>
  <r>
    <s v="ORD-00782"/>
    <x v="327"/>
    <s v="CUST-0289"/>
    <s v="PROD-018"/>
    <x v="26"/>
    <n v="7"/>
    <n v="3560"/>
    <n v="28.7"/>
    <n v="17767.96"/>
    <s v="Completed"/>
    <s v="Mumbai"/>
    <x v="0"/>
    <s v="Retail"/>
    <n v="54"/>
    <x v="3"/>
  </r>
  <r>
    <s v="ORD-00783"/>
    <x v="328"/>
    <s v="CUST-0026"/>
    <s v="PROD-050"/>
    <x v="29"/>
    <n v="9"/>
    <n v="6080"/>
    <n v="16.3"/>
    <n v="45800.639999999999"/>
    <s v="Cancelled"/>
    <s v="Pune"/>
    <x v="5"/>
    <s v="Retail"/>
    <n v="62"/>
    <x v="1"/>
  </r>
  <r>
    <s v="ORD-00784"/>
    <x v="265"/>
    <s v="CUST-0273"/>
    <s v="PROD-051"/>
    <x v="15"/>
    <n v="2"/>
    <n v="3450"/>
    <n v="17.600000000000001"/>
    <n v="5685.6"/>
    <s v="Pending"/>
    <s v="Hyderabad"/>
    <x v="1"/>
    <s v="Corporate"/>
    <n v="32"/>
    <x v="1"/>
  </r>
  <r>
    <s v="ORD-00785"/>
    <x v="24"/>
    <s v="CUST-0069"/>
    <s v="PROD-034"/>
    <x v="18"/>
    <n v="1"/>
    <n v="5080"/>
    <n v="5.9"/>
    <n v="4780.28"/>
    <s v="Completed"/>
    <s v="Chennai"/>
    <x v="3"/>
    <s v="Retail"/>
    <n v="51"/>
    <x v="1"/>
  </r>
  <r>
    <s v="ORD-00786"/>
    <x v="234"/>
    <s v="CUST-0236"/>
    <s v="PROD-011"/>
    <x v="12"/>
    <n v="7"/>
    <n v="3450"/>
    <n v="17.399999999999999"/>
    <n v="19947.900000000001"/>
    <s v="Completed"/>
    <s v="Hyderabad"/>
    <x v="0"/>
    <s v="SMB"/>
    <n v="28"/>
    <x v="3"/>
  </r>
  <r>
    <s v="ORD-00787"/>
    <x v="210"/>
    <s v="CUST-0060"/>
    <s v="PROD-024"/>
    <x v="18"/>
    <n v="8"/>
    <n v="2270"/>
    <n v="24.7"/>
    <n v="13674.48"/>
    <s v="Completed"/>
    <s v="Pune"/>
    <x v="2"/>
    <s v="Retail"/>
    <n v="39"/>
    <x v="1"/>
  </r>
  <r>
    <s v="ORD-00788"/>
    <x v="37"/>
    <s v="CUST-0243"/>
    <s v="PROD-012"/>
    <x v="12"/>
    <n v="3"/>
    <n v="3160"/>
    <n v="1.5"/>
    <n v="9337.7999999999993"/>
    <s v="Pending"/>
    <s v="Pune"/>
    <x v="0"/>
    <s v="SMB"/>
    <n v="44"/>
    <x v="3"/>
  </r>
  <r>
    <s v="ORD-00789"/>
    <x v="44"/>
    <s v="CUST-0188"/>
    <s v="PROD-043"/>
    <x v="20"/>
    <n v="6"/>
    <n v="3350"/>
    <n v="0.9"/>
    <n v="19919.099999999999"/>
    <s v="Pending"/>
    <s v="Bengaluru"/>
    <x v="5"/>
    <s v="Retail"/>
    <n v="54"/>
    <x v="2"/>
  </r>
  <r>
    <s v="ORD-00790"/>
    <x v="47"/>
    <s v="CUST-0174"/>
    <s v="PROD-044"/>
    <x v="20"/>
    <n v="7"/>
    <n v="1650"/>
    <n v="5.6"/>
    <n v="10903.2"/>
    <s v="Refunded"/>
    <s v="Pune"/>
    <x v="5"/>
    <s v="Retail"/>
    <n v="54"/>
    <x v="2"/>
  </r>
  <r>
    <s v="ORD-00791"/>
    <x v="73"/>
    <s v="CUST-0016"/>
    <s v="PROD-038"/>
    <x v="11"/>
    <n v="1"/>
    <n v="5490"/>
    <n v="5.8"/>
    <n v="5171.58"/>
    <s v="Completed"/>
    <s v="Delhi"/>
    <x v="3"/>
    <s v="SMB"/>
    <n v="26"/>
    <x v="0"/>
  </r>
  <r>
    <s v="ORD-00792"/>
    <x v="171"/>
    <s v="CUST-0184"/>
    <s v="PROD-040"/>
    <x v="6"/>
    <n v="3"/>
    <n v="1080"/>
    <n v="20.9"/>
    <n v="2562.84"/>
    <s v="Completed"/>
    <s v="Pune"/>
    <x v="3"/>
    <s v="Retail"/>
    <n v="63"/>
    <x v="2"/>
  </r>
  <r>
    <s v="ORD-00793"/>
    <x v="224"/>
    <s v="CUST-9568"/>
    <s v="PROD-027"/>
    <x v="26"/>
    <n v="10"/>
    <n v="3780"/>
    <n v="5.5"/>
    <n v="35721"/>
    <s v="Completed"/>
    <s v="Hyderabad"/>
    <x v="2"/>
    <e v="#N/A"/>
    <e v="#N/A"/>
    <x v="3"/>
  </r>
  <r>
    <s v="ORD-00794"/>
    <x v="307"/>
    <s v="CUST-0118"/>
    <s v="PROD-033"/>
    <x v="14"/>
    <n v="2"/>
    <n v="2030"/>
    <n v="2"/>
    <n v="3978.8"/>
    <s v="Pending"/>
    <s v="Hyderabad"/>
    <x v="3"/>
    <s v="Retail"/>
    <n v="26"/>
    <x v="2"/>
  </r>
  <r>
    <s v="ORD-00795"/>
    <x v="329"/>
    <s v="CUST-0271"/>
    <s v="PROD-041"/>
    <x v="7"/>
    <n v="8"/>
    <n v="1540"/>
    <n v="9"/>
    <n v="11211.2"/>
    <s v="Cancelled"/>
    <s v="Bengaluru"/>
    <x v="5"/>
    <s v="Corporate"/>
    <n v="41"/>
    <x v="3"/>
  </r>
  <r>
    <s v="ORD-00796"/>
    <x v="131"/>
    <s v="CUST-0147"/>
    <s v="PROD-036"/>
    <x v="15"/>
    <n v="9"/>
    <n v="3250"/>
    <n v="20.5"/>
    <n v="23253.75"/>
    <s v="Completed"/>
    <s v="Pune"/>
    <x v="3"/>
    <s v="Retail"/>
    <n v="56"/>
    <x v="1"/>
  </r>
  <r>
    <s v="ORD-00797"/>
    <x v="112"/>
    <s v="CUST-0253"/>
    <s v="PROD-047"/>
    <x v="1"/>
    <n v="3"/>
    <n v="3450"/>
    <n v="17.899999999999999"/>
    <n v="8497.35"/>
    <s v="Completed"/>
    <s v="Delhi"/>
    <x v="5"/>
    <s v="SMB"/>
    <n v="53"/>
    <x v="0"/>
  </r>
  <r>
    <s v="ORD-00798"/>
    <x v="172"/>
    <s v="CUST-0224"/>
    <s v="PROD-038"/>
    <x v="4"/>
    <n v="5"/>
    <n v="5490"/>
    <n v="7.9"/>
    <n v="25281.45"/>
    <s v="Completed"/>
    <s v="Chennai"/>
    <x v="3"/>
    <s v="Corporate"/>
    <n v="24"/>
    <x v="0"/>
  </r>
  <r>
    <s v="ORD-00799"/>
    <x v="141"/>
    <s v="CUST-0134"/>
    <s v="PROD-032"/>
    <x v="20"/>
    <n v="3"/>
    <n v="370"/>
    <n v="13.4"/>
    <n v="961.26"/>
    <s v="Completed"/>
    <s v="Delhi"/>
    <x v="3"/>
    <s v="Retail"/>
    <n v="40"/>
    <x v="2"/>
  </r>
  <r>
    <s v="ORD-00800"/>
    <x v="3"/>
    <s v="CUST-0287"/>
    <s v="PROD-001"/>
    <x v="18"/>
    <n v="7"/>
    <n v="5330"/>
    <n v="29.7"/>
    <n v="26228.93"/>
    <s v="Pending"/>
    <s v="Chennai"/>
    <x v="4"/>
    <s v="SMB"/>
    <n v="53"/>
    <x v="1"/>
  </r>
  <r>
    <s v="ORD-00801"/>
    <x v="213"/>
    <s v="CUST-0144"/>
    <s v="PROD-051"/>
    <x v="29"/>
    <n v="8"/>
    <n v="3450"/>
    <n v="23.7"/>
    <n v="21058.799999999999"/>
    <s v="Completed"/>
    <s v="Chennai"/>
    <x v="1"/>
    <s v="Retail"/>
    <n v="49"/>
    <x v="1"/>
  </r>
  <r>
    <s v="ORD-00802"/>
    <x v="309"/>
    <s v="CUST-0255"/>
    <s v="PROD-011"/>
    <x v="28"/>
    <n v="8"/>
    <n v="3450"/>
    <n v="5.4"/>
    <n v="26109.599999999999"/>
    <s v="Completed"/>
    <s v="Chennai"/>
    <x v="0"/>
    <s v="Corporate"/>
    <n v="51"/>
    <x v="2"/>
  </r>
  <r>
    <s v="ORD-00803"/>
    <x v="325"/>
    <s v="CUST-0054"/>
    <s v="PROD-050"/>
    <x v="20"/>
    <n v="1"/>
    <n v="6080"/>
    <n v="22.3"/>
    <n v="4724.16"/>
    <s v="Completed"/>
    <s v="Mumbai"/>
    <x v="5"/>
    <s v="Corporate"/>
    <n v="62"/>
    <x v="2"/>
  </r>
  <r>
    <s v="ORD-00804"/>
    <x v="100"/>
    <s v="CUST-0283"/>
    <s v="PROD-017"/>
    <x v="23"/>
    <n v="9"/>
    <n v="2510"/>
    <n v="27.4"/>
    <n v="16400.34"/>
    <s v="Completed"/>
    <s v="Delhi"/>
    <x v="0"/>
    <s v="SMB"/>
    <n v="50"/>
    <x v="1"/>
  </r>
  <r>
    <s v="ORD-00805"/>
    <x v="40"/>
    <s v="CUST-0182"/>
    <s v="PROD-054"/>
    <x v="27"/>
    <n v="10"/>
    <n v="1010"/>
    <n v="28.4"/>
    <n v="7231.6"/>
    <s v="Completed"/>
    <s v="Mumbai"/>
    <x v="1"/>
    <s v="Retail"/>
    <n v="54"/>
    <x v="1"/>
  </r>
  <r>
    <s v="ORD-00806"/>
    <x v="24"/>
    <s v="CUST-0289"/>
    <s v="PROD-018"/>
    <x v="12"/>
    <n v="1"/>
    <n v="3560"/>
    <n v="26"/>
    <n v="2634.4"/>
    <s v="Completed"/>
    <s v="Mumbai"/>
    <x v="0"/>
    <s v="Retail"/>
    <n v="54"/>
    <x v="3"/>
  </r>
  <r>
    <s v="ORD-00807"/>
    <x v="245"/>
    <s v="CUST-0104"/>
    <s v="PROD-045"/>
    <x v="3"/>
    <n v="8"/>
    <n v="3020"/>
    <n v="6.9"/>
    <n v="22492.959999999999"/>
    <s v="Completed"/>
    <s v="Hyderabad"/>
    <x v="5"/>
    <s v="Corporate"/>
    <n v="43"/>
    <x v="0"/>
  </r>
  <r>
    <s v="ORD-00808"/>
    <x v="114"/>
    <s v="CUST-0085"/>
    <s v="PROD-026"/>
    <x v="21"/>
    <n v="1"/>
    <n v="4070"/>
    <n v="8.1999999999999993"/>
    <n v="3736.26"/>
    <s v="Completed"/>
    <s v="Chennai"/>
    <x v="2"/>
    <s v="Retail"/>
    <n v="26"/>
    <x v="3"/>
  </r>
  <r>
    <s v="ORD-00809"/>
    <x v="324"/>
    <s v="CUST-0120"/>
    <s v="PROD-032"/>
    <x v="16"/>
    <n v="9"/>
    <n v="370"/>
    <n v="19.8"/>
    <n v="2670.66"/>
    <s v="Completed"/>
    <s v="Mumbai"/>
    <x v="3"/>
    <s v="Retail"/>
    <n v="29"/>
    <x v="3"/>
  </r>
  <r>
    <s v="ORD-00810"/>
    <x v="227"/>
    <s v="CUST-0236"/>
    <s v="PROD-030"/>
    <x v="16"/>
    <n v="6"/>
    <n v="970"/>
    <n v="16.2"/>
    <n v="4877.16"/>
    <s v="Completed"/>
    <s v="Hyderabad"/>
    <x v="2"/>
    <s v="SMB"/>
    <n v="28"/>
    <x v="3"/>
  </r>
  <r>
    <s v="ORD-00811"/>
    <x v="142"/>
    <s v="CUST-0094"/>
    <s v="PROD-015"/>
    <x v="7"/>
    <n v="10"/>
    <n v="2720"/>
    <n v="3"/>
    <n v="26384"/>
    <s v="Pending"/>
    <s v="Pune"/>
    <x v="0"/>
    <s v="SMB"/>
    <n v="60"/>
    <x v="3"/>
  </r>
  <r>
    <s v="ORD-00812"/>
    <x v="174"/>
    <s v="CUST-0030"/>
    <s v="PROD-058"/>
    <x v="2"/>
    <n v="7"/>
    <n v="2400"/>
    <n v="29.4"/>
    <n v="11860.8"/>
    <s v="Completed"/>
    <s v="Bengaluru"/>
    <x v="1"/>
    <s v="Corporate"/>
    <n v="43"/>
    <x v="1"/>
  </r>
  <r>
    <s v="ORD-00813"/>
    <x v="148"/>
    <s v="CUST-0172"/>
    <s v="PROD-018"/>
    <x v="27"/>
    <n v="8"/>
    <n v="3560"/>
    <n v="21.7"/>
    <n v="22299.84"/>
    <s v="Completed"/>
    <s v="Pune"/>
    <x v="0"/>
    <s v="Retail"/>
    <n v="65"/>
    <x v="1"/>
  </r>
  <r>
    <s v="ORD-00814"/>
    <x v="217"/>
    <s v="CUST-0221"/>
    <s v="PROD-026"/>
    <x v="15"/>
    <n v="7"/>
    <n v="4070"/>
    <n v="10.5"/>
    <n v="25498.55"/>
    <s v="Completed"/>
    <s v="Delhi"/>
    <x v="2"/>
    <s v="SMB"/>
    <n v="29"/>
    <x v="1"/>
  </r>
  <r>
    <s v="ORD-01052"/>
    <x v="193"/>
    <s v="CUST-0151"/>
    <s v="PROD-052"/>
    <x v="4"/>
    <n v="3"/>
    <n v="5410"/>
    <n v="0.2"/>
    <n v="16197.54"/>
    <s v="Completed"/>
    <s v="Mumbai"/>
    <x v="1"/>
    <s v="Retail"/>
    <n v="53"/>
    <x v="0"/>
  </r>
  <r>
    <s v="ORD-00816"/>
    <x v="330"/>
    <s v="CUST-0068"/>
    <s v="PROD-021"/>
    <x v="8"/>
    <n v="4"/>
    <n v="2760"/>
    <n v="27.5"/>
    <n v="8004"/>
    <s v="Cancelled"/>
    <s v="Delhi"/>
    <x v="2"/>
    <s v="SMB"/>
    <n v="48"/>
    <x v="2"/>
  </r>
  <r>
    <s v="ORD-01136"/>
    <x v="267"/>
    <s v="CUST-0165"/>
    <s v="PROD-034"/>
    <x v="22"/>
    <n v="3"/>
    <n v="5080"/>
    <n v="27.2"/>
    <n v="11094.72"/>
    <s v="Completed"/>
    <s v="Pune"/>
    <x v="3"/>
    <s v="Retail"/>
    <n v="29"/>
    <x v="1"/>
  </r>
  <r>
    <s v="ORD-00818"/>
    <x v="139"/>
    <s v="CUST-0060"/>
    <s v="PROD-035"/>
    <x v="21"/>
    <n v="5"/>
    <n v="1090"/>
    <n v="3.3"/>
    <n v="5270.15"/>
    <s v="Completed"/>
    <s v="Pune"/>
    <x v="3"/>
    <s v="Retail"/>
    <n v="39"/>
    <x v="3"/>
  </r>
  <r>
    <s v="ORD-00819"/>
    <x v="60"/>
    <s v="CUST-0130"/>
    <s v="PROD-023"/>
    <x v="20"/>
    <n v="10"/>
    <n v="2380"/>
    <n v="7"/>
    <n v="22134"/>
    <s v="Completed"/>
    <s v="Bengaluru"/>
    <x v="2"/>
    <s v="Corporate"/>
    <n v="41"/>
    <x v="2"/>
  </r>
  <r>
    <s v="ORD-00820"/>
    <x v="156"/>
    <s v="CUST-0023"/>
    <s v="PROD-012"/>
    <x v="17"/>
    <n v="5"/>
    <n v="3160"/>
    <n v="25.6"/>
    <n v="11755.2"/>
    <s v="Completed"/>
    <s v="Chennai"/>
    <x v="0"/>
    <s v="SMB"/>
    <n v="43"/>
    <x v="2"/>
  </r>
  <r>
    <s v="ORD-00821"/>
    <x v="331"/>
    <s v="CUST-0089"/>
    <s v="PROD-058"/>
    <x v="20"/>
    <n v="9"/>
    <n v="2400"/>
    <n v="8.4"/>
    <n v="19785.599999999999"/>
    <s v="Completed"/>
    <s v="Mumbai"/>
    <x v="1"/>
    <s v="SMB"/>
    <n v="43"/>
    <x v="2"/>
  </r>
  <r>
    <s v="ORD-00822"/>
    <x v="121"/>
    <s v="CUST-0300"/>
    <s v="PROD-002"/>
    <x v="16"/>
    <n v="4"/>
    <n v="2600"/>
    <n v="4.2"/>
    <n v="9963.2000000000007"/>
    <s v="Completed"/>
    <s v="Mumbai"/>
    <x v="4"/>
    <s v="Retail"/>
    <n v="38"/>
    <x v="3"/>
  </r>
  <r>
    <s v="ORD-00823"/>
    <x v="132"/>
    <s v="CUST-9578"/>
    <s v="PROD-024"/>
    <x v="12"/>
    <n v="5"/>
    <n v="2270"/>
    <n v="0.1"/>
    <n v="11338.65"/>
    <s v="Completed"/>
    <s v="Mumbai"/>
    <x v="2"/>
    <e v="#N/A"/>
    <e v="#N/A"/>
    <x v="3"/>
  </r>
  <r>
    <s v="ORD-00824"/>
    <x v="57"/>
    <s v="CUST-0130"/>
    <s v="PROD-038"/>
    <x v="16"/>
    <n v="7"/>
    <n v="5490"/>
    <n v="14.9"/>
    <n v="32703.93"/>
    <s v="Completed"/>
    <s v="Bengaluru"/>
    <x v="3"/>
    <s v="Corporate"/>
    <n v="41"/>
    <x v="3"/>
  </r>
  <r>
    <s v="ORD-00825"/>
    <x v="209"/>
    <s v="CUST-0247"/>
    <s v="PROD-004"/>
    <x v="18"/>
    <n v="5"/>
    <n v="3870"/>
    <n v="13.3"/>
    <n v="16776.45"/>
    <s v="Cancelled"/>
    <s v="Pune"/>
    <x v="4"/>
    <s v="SMB"/>
    <n v="35"/>
    <x v="1"/>
  </r>
  <r>
    <s v="ORD-00826"/>
    <x v="332"/>
    <s v="CUST-0256"/>
    <s v="PROD-049"/>
    <x v="6"/>
    <n v="2"/>
    <n v="960"/>
    <n v="17.5"/>
    <n v="1584"/>
    <s v="Completed"/>
    <s v="Hyderabad"/>
    <x v="5"/>
    <s v="Retail"/>
    <n v="28"/>
    <x v="2"/>
  </r>
  <r>
    <s v="ORD-00827"/>
    <x v="171"/>
    <s v="CUST-0213"/>
    <s v="PROD-046"/>
    <x v="19"/>
    <n v="4"/>
    <n v="4880"/>
    <n v="12.2"/>
    <n v="17138.560000000001"/>
    <s v="Cancelled"/>
    <s v="Mumbai"/>
    <x v="5"/>
    <s v="Retail"/>
    <n v="37"/>
    <x v="0"/>
  </r>
  <r>
    <s v="ORD-00828"/>
    <x v="140"/>
    <s v="CUST-0183"/>
    <s v="PROD-058"/>
    <x v="4"/>
    <n v="5"/>
    <n v="2400"/>
    <n v="15"/>
    <n v="10200"/>
    <s v="Completed"/>
    <s v="Mumbai"/>
    <x v="1"/>
    <s v="SMB"/>
    <n v="27"/>
    <x v="0"/>
  </r>
  <r>
    <s v="ORD-00829"/>
    <x v="190"/>
    <s v="CUST-0051"/>
    <s v="PROD-016"/>
    <x v="15"/>
    <n v="9"/>
    <n v="620"/>
    <n v="20.399999999999999"/>
    <n v="4441.68"/>
    <s v="Pending"/>
    <s v="Pune"/>
    <x v="0"/>
    <s v="SMB"/>
    <n v="54"/>
    <x v="1"/>
  </r>
  <r>
    <s v="ORD-00830"/>
    <x v="191"/>
    <s v="CUST-0001"/>
    <s v="PROD-039"/>
    <x v="22"/>
    <n v="1"/>
    <n v="4610"/>
    <n v="1.8"/>
    <n v="4527.0200000000004"/>
    <s v="Pending"/>
    <s v="Pune"/>
    <x v="3"/>
    <s v="Retail"/>
    <n v="36"/>
    <x v="1"/>
  </r>
  <r>
    <s v="ORD-00831"/>
    <x v="66"/>
    <s v="CUST-0105"/>
    <s v="PROD-039"/>
    <x v="2"/>
    <n v="7"/>
    <n v="4610"/>
    <n v="27"/>
    <n v="23557.1"/>
    <s v="Completed"/>
    <s v="Chennai"/>
    <x v="3"/>
    <s v="SMB"/>
    <n v="51"/>
    <x v="1"/>
  </r>
  <r>
    <s v="ORD-00832"/>
    <x v="170"/>
    <s v="CUST-0199"/>
    <s v="PROD-030"/>
    <x v="20"/>
    <n v="6"/>
    <n v="970"/>
    <n v="4.7"/>
    <n v="5546.46"/>
    <s v="Cancelled"/>
    <s v="Hyderabad"/>
    <x v="2"/>
    <s v="SMB"/>
    <n v="31"/>
    <x v="2"/>
  </r>
  <r>
    <s v="ORD-00833"/>
    <x v="331"/>
    <s v="CUST-0240"/>
    <s v="PROD-007"/>
    <x v="17"/>
    <n v="8"/>
    <n v="1430"/>
    <n v="8.6999999999999993"/>
    <n v="10444.719999999999"/>
    <s v="Completed"/>
    <s v="Chennai"/>
    <x v="4"/>
    <s v="Corporate"/>
    <n v="35"/>
    <x v="2"/>
  </r>
  <r>
    <s v="ORD-00834"/>
    <x v="333"/>
    <s v="CUST-0283"/>
    <s v="PROD-027"/>
    <x v="23"/>
    <n v="5"/>
    <n v="3780"/>
    <n v="2.9"/>
    <n v="18351.900000000001"/>
    <s v="Completed"/>
    <s v="Delhi"/>
    <x v="2"/>
    <s v="SMB"/>
    <n v="50"/>
    <x v="1"/>
  </r>
  <r>
    <s v="ORD-00835"/>
    <x v="147"/>
    <s v="CUST-0284"/>
    <s v="PROD-041"/>
    <x v="12"/>
    <n v="2"/>
    <n v="1540"/>
    <n v="12.7"/>
    <n v="2688.84"/>
    <s v="Completed"/>
    <s v="Hyderabad"/>
    <x v="5"/>
    <s v="SMB"/>
    <n v="65"/>
    <x v="3"/>
  </r>
  <r>
    <s v="ORD-00836"/>
    <x v="155"/>
    <s v="CUST-0060"/>
    <s v="PROD-040"/>
    <x v="16"/>
    <n v="9"/>
    <n v="1080"/>
    <n v="11.2"/>
    <n v="8631.36"/>
    <s v="Cancelled"/>
    <s v="Pune"/>
    <x v="3"/>
    <s v="Retail"/>
    <n v="39"/>
    <x v="3"/>
  </r>
  <r>
    <s v="ORD-00837"/>
    <x v="213"/>
    <s v="CUST-0266"/>
    <s v="PROD-058"/>
    <x v="0"/>
    <n v="3"/>
    <n v="2400"/>
    <n v="28.6"/>
    <n v="5140.8"/>
    <s v="Completed"/>
    <s v="Pune"/>
    <x v="1"/>
    <s v="Retail"/>
    <n v="65"/>
    <x v="0"/>
  </r>
  <r>
    <s v="ORD-00838"/>
    <x v="120"/>
    <s v="CUST-0056"/>
    <s v="PROD-040"/>
    <x v="26"/>
    <n v="5"/>
    <n v="1080"/>
    <n v="18.3"/>
    <n v="4411.8"/>
    <s v="Completed"/>
    <s v="Bengaluru"/>
    <x v="3"/>
    <s v="SMB"/>
    <n v="46"/>
    <x v="3"/>
  </r>
  <r>
    <s v="ORD-00839"/>
    <x v="294"/>
    <s v="CUST-0187"/>
    <s v="PROD-024"/>
    <x v="28"/>
    <n v="7"/>
    <n v="2270"/>
    <n v="1.7"/>
    <n v="15619.87"/>
    <s v="Cancelled"/>
    <s v="Chennai"/>
    <x v="2"/>
    <s v="SMB"/>
    <n v="51"/>
    <x v="2"/>
  </r>
  <r>
    <s v="ORD-00840"/>
    <x v="334"/>
    <s v="CUST-0183"/>
    <s v="PROD-028"/>
    <x v="17"/>
    <n v="8"/>
    <n v="3660"/>
    <n v="19.100000000000001"/>
    <n v="23687.52"/>
    <s v="Cancelled"/>
    <s v="Mumbai"/>
    <x v="2"/>
    <s v="SMB"/>
    <n v="27"/>
    <x v="2"/>
  </r>
  <r>
    <s v="ORD-00841"/>
    <x v="302"/>
    <s v="CUST-0068"/>
    <s v="PROD-036"/>
    <x v="11"/>
    <n v="5"/>
    <n v="3250"/>
    <n v="12.9"/>
    <n v="14153.75"/>
    <s v="Completed"/>
    <s v="Delhi"/>
    <x v="3"/>
    <s v="SMB"/>
    <n v="48"/>
    <x v="0"/>
  </r>
  <r>
    <s v="ORD-00842"/>
    <x v="60"/>
    <s v="CUST-0135"/>
    <s v="PROD-044"/>
    <x v="27"/>
    <n v="4"/>
    <n v="1650"/>
    <n v="4.0999999999999996"/>
    <n v="6329.4"/>
    <s v="Completed"/>
    <s v="Pune"/>
    <x v="5"/>
    <s v="SMB"/>
    <n v="24"/>
    <x v="1"/>
  </r>
  <r>
    <s v="ORD-00843"/>
    <x v="207"/>
    <s v="CUST-0191"/>
    <s v="PROD-034"/>
    <x v="11"/>
    <n v="6"/>
    <n v="5080"/>
    <n v="3"/>
    <n v="29565.599999999999"/>
    <s v="Completed"/>
    <s v="Hyderabad"/>
    <x v="3"/>
    <s v="SMB"/>
    <n v="43"/>
    <x v="0"/>
  </r>
  <r>
    <s v="ORD-00844"/>
    <x v="105"/>
    <s v="CUST-0244"/>
    <s v="PROD-051"/>
    <x v="28"/>
    <n v="8"/>
    <n v="3450"/>
    <n v="20.9"/>
    <n v="21831.599999999999"/>
    <s v="Completed"/>
    <s v="Bengaluru"/>
    <x v="1"/>
    <s v="Retail"/>
    <n v="61"/>
    <x v="2"/>
  </r>
  <r>
    <s v="ORD-00845"/>
    <x v="335"/>
    <s v="CUST-0189"/>
    <s v="PROD-043"/>
    <x v="26"/>
    <n v="6"/>
    <n v="3350"/>
    <n v="24.8"/>
    <n v="15115.2"/>
    <s v="Completed"/>
    <s v="Chennai"/>
    <x v="5"/>
    <s v="Retail"/>
    <n v="41"/>
    <x v="3"/>
  </r>
  <r>
    <s v="ORD-00846"/>
    <x v="310"/>
    <s v="CUST-0166"/>
    <s v="PROD-029"/>
    <x v="28"/>
    <n v="10"/>
    <n v="2210"/>
    <n v="4.2"/>
    <n v="21171.8"/>
    <s v="Completed"/>
    <s v="Hyderabad"/>
    <x v="2"/>
    <s v="Retail"/>
    <n v="31"/>
    <x v="2"/>
  </r>
  <r>
    <s v="ORD-00847"/>
    <x v="328"/>
    <s v="CUST-0167"/>
    <s v="PROD-046"/>
    <x v="3"/>
    <n v="10"/>
    <n v="4880"/>
    <n v="0.7"/>
    <n v="48458.400000000001"/>
    <s v="Completed"/>
    <s v="Delhi"/>
    <x v="5"/>
    <s v="Retail"/>
    <n v="43"/>
    <x v="0"/>
  </r>
  <r>
    <s v="ORD-00848"/>
    <x v="264"/>
    <s v="CUST-0265"/>
    <s v="PROD-055"/>
    <x v="10"/>
    <n v="7"/>
    <n v="2860"/>
    <n v="28.1"/>
    <n v="14394.38"/>
    <s v="Pending"/>
    <s v="Chennai"/>
    <x v="1"/>
    <s v="Retail"/>
    <n v="49"/>
    <x v="0"/>
  </r>
  <r>
    <s v="ORD-00849"/>
    <x v="248"/>
    <s v="CUST-0172"/>
    <s v="PROD-030"/>
    <x v="1"/>
    <n v="3"/>
    <n v="970"/>
    <n v="28.3"/>
    <n v="2086.4699999999998"/>
    <s v="Completed"/>
    <s v="Pune"/>
    <x v="2"/>
    <s v="Retail"/>
    <n v="65"/>
    <x v="0"/>
  </r>
  <r>
    <s v="ORD-00850"/>
    <x v="315"/>
    <s v="CUST-0205"/>
    <s v="PROD-022"/>
    <x v="4"/>
    <n v="1"/>
    <n v="2270"/>
    <n v="15.1"/>
    <n v="1927.23"/>
    <s v="Completed"/>
    <s v="Pune"/>
    <x v="2"/>
    <s v="Corporate"/>
    <n v="29"/>
    <x v="0"/>
  </r>
  <r>
    <s v="ORD-00851"/>
    <x v="258"/>
    <s v="CUST-0102"/>
    <s v="PROD-018"/>
    <x v="15"/>
    <n v="5"/>
    <n v="3560"/>
    <n v="11.5"/>
    <n v="15753"/>
    <s v="Completed"/>
    <s v="Chennai"/>
    <x v="0"/>
    <s v="SMB"/>
    <n v="62"/>
    <x v="1"/>
  </r>
  <r>
    <s v="ORD-00852"/>
    <x v="140"/>
    <s v="CUST-0142"/>
    <s v="PROD-052"/>
    <x v="9"/>
    <n v="2"/>
    <n v="5410"/>
    <n v="14.8"/>
    <n v="9218.64"/>
    <s v="Pending"/>
    <s v="Chennai"/>
    <x v="1"/>
    <s v="Corporate"/>
    <n v="55"/>
    <x v="1"/>
  </r>
  <r>
    <s v="ORD-00853"/>
    <x v="165"/>
    <s v="CUST-0195"/>
    <s v="PROD-019"/>
    <x v="3"/>
    <n v="2"/>
    <n v="2480"/>
    <n v="27.2"/>
    <n v="3610.88"/>
    <s v="Completed"/>
    <s v="Bengaluru"/>
    <x v="0"/>
    <s v="Retail"/>
    <n v="28"/>
    <x v="0"/>
  </r>
  <r>
    <s v="ORD-00854"/>
    <x v="154"/>
    <s v="CUST-0125"/>
    <s v="PROD-020"/>
    <x v="2"/>
    <n v="6"/>
    <n v="820"/>
    <n v="6.6"/>
    <n v="4595.28"/>
    <s v="Completed"/>
    <s v="Delhi"/>
    <x v="0"/>
    <s v="Retail"/>
    <n v="45"/>
    <x v="1"/>
  </r>
  <r>
    <s v="ORD-00855"/>
    <x v="224"/>
    <s v="CUST-0234"/>
    <s v="PROD-001"/>
    <x v="15"/>
    <n v="10"/>
    <n v="5330"/>
    <n v="16.100000000000001"/>
    <n v="44718.7"/>
    <s v="Completed"/>
    <s v="Bengaluru"/>
    <x v="4"/>
    <s v="Retail"/>
    <n v="34"/>
    <x v="1"/>
  </r>
  <r>
    <s v="ORD-00856"/>
    <x v="334"/>
    <s v="CUST-0061"/>
    <s v="PROD-047"/>
    <x v="10"/>
    <n v="2"/>
    <n v="3450"/>
    <n v="11.3"/>
    <n v="6120.3"/>
    <s v="Pending"/>
    <s v="Hyderabad"/>
    <x v="5"/>
    <s v="Retail"/>
    <n v="64"/>
    <x v="0"/>
  </r>
  <r>
    <s v="ORD-00857"/>
    <x v="97"/>
    <s v="CUST-0189"/>
    <s v="PROD-049"/>
    <x v="12"/>
    <n v="7"/>
    <n v="960"/>
    <n v="17.100000000000001"/>
    <n v="5570.88"/>
    <s v="Completed"/>
    <s v="Chennai"/>
    <x v="5"/>
    <s v="Retail"/>
    <n v="41"/>
    <x v="3"/>
  </r>
  <r>
    <s v="ORD-00858"/>
    <x v="235"/>
    <s v="CUST-0191"/>
    <s v="PROD-011"/>
    <x v="11"/>
    <n v="5"/>
    <n v="3450"/>
    <n v="22.9"/>
    <n v="13299.75"/>
    <s v="Completed"/>
    <s v="Hyderabad"/>
    <x v="0"/>
    <s v="SMB"/>
    <n v="43"/>
    <x v="0"/>
  </r>
  <r>
    <s v="ORD-00859"/>
    <x v="287"/>
    <s v="CUST-0217"/>
    <s v="PROD-009"/>
    <x v="4"/>
    <n v="5"/>
    <n v="1220"/>
    <n v="0.3"/>
    <n v="6081.7"/>
    <s v="Completed"/>
    <s v="Pune"/>
    <x v="4"/>
    <s v="SMB"/>
    <n v="59"/>
    <x v="0"/>
  </r>
  <r>
    <s v="ORD-00860"/>
    <x v="231"/>
    <s v="CUST-0060"/>
    <s v="PROD-001"/>
    <x v="0"/>
    <n v="5"/>
    <n v="5330"/>
    <n v="29"/>
    <n v="18921.5"/>
    <s v="Completed"/>
    <s v="Pune"/>
    <x v="4"/>
    <s v="Retail"/>
    <n v="39"/>
    <x v="0"/>
  </r>
  <r>
    <s v="ORD-00861"/>
    <x v="29"/>
    <s v="CUST-0270"/>
    <s v="PROD-003"/>
    <x v="8"/>
    <n v="3"/>
    <n v="3570"/>
    <n v="20"/>
    <n v="8568"/>
    <s v="Cancelled"/>
    <s v="Bengaluru"/>
    <x v="4"/>
    <s v="Retail"/>
    <n v="29"/>
    <x v="2"/>
  </r>
  <r>
    <s v="ORD-00862"/>
    <x v="8"/>
    <s v="CUST-0279"/>
    <s v="PROD-029"/>
    <x v="17"/>
    <n v="9"/>
    <n v="2210"/>
    <n v="12.4"/>
    <n v="17423.64"/>
    <s v="Completed"/>
    <s v="Mumbai"/>
    <x v="2"/>
    <s v="Retail"/>
    <n v="56"/>
    <x v="2"/>
  </r>
  <r>
    <s v="ORD-00863"/>
    <x v="272"/>
    <s v="CUST-0008"/>
    <s v="PROD-059"/>
    <x v="20"/>
    <n v="5"/>
    <n v="3780"/>
    <n v="3.9"/>
    <n v="18162.900000000001"/>
    <s v="Completed"/>
    <s v="Pune"/>
    <x v="1"/>
    <s v="SMB"/>
    <n v="39"/>
    <x v="2"/>
  </r>
  <r>
    <s v="ORD-00864"/>
    <x v="17"/>
    <s v="CUST-0259"/>
    <s v="PROD-010"/>
    <x v="4"/>
    <n v="10"/>
    <n v="2640"/>
    <n v="17.8"/>
    <n v="21700.799999999999"/>
    <s v="Refunded"/>
    <s v="Mumbai"/>
    <x v="4"/>
    <s v="Retail"/>
    <n v="34"/>
    <x v="0"/>
  </r>
  <r>
    <s v="ORD-00865"/>
    <x v="279"/>
    <s v="CUST-0169"/>
    <s v="PROD-005"/>
    <x v="6"/>
    <n v="5"/>
    <n v="300"/>
    <n v="12.9"/>
    <n v="1306.5"/>
    <s v="Completed"/>
    <s v="Bengaluru"/>
    <x v="4"/>
    <s v="SMB"/>
    <n v="42"/>
    <x v="2"/>
  </r>
  <r>
    <s v="ORD-00866"/>
    <x v="276"/>
    <s v="CUST-0191"/>
    <s v="PROD-058"/>
    <x v="22"/>
    <n v="2"/>
    <n v="2400"/>
    <n v="17.100000000000001"/>
    <n v="3979.2"/>
    <s v="Pending"/>
    <s v="Hyderabad"/>
    <x v="1"/>
    <s v="SMB"/>
    <n v="43"/>
    <x v="1"/>
  </r>
  <r>
    <s v="ORD-00867"/>
    <x v="336"/>
    <s v="CUST-0129"/>
    <s v="PROD-040"/>
    <x v="17"/>
    <n v="5"/>
    <n v="1080"/>
    <n v="15.7"/>
    <n v="4552.2"/>
    <s v="Pending"/>
    <s v="Hyderabad"/>
    <x v="3"/>
    <s v="Retail"/>
    <n v="29"/>
    <x v="2"/>
  </r>
  <r>
    <s v="ORD-00868"/>
    <x v="72"/>
    <s v="CUST-0066"/>
    <s v="PROD-036"/>
    <x v="11"/>
    <n v="1"/>
    <n v="3250"/>
    <n v="14.7"/>
    <n v="2772.25"/>
    <s v="Completed"/>
    <s v="Delhi"/>
    <x v="3"/>
    <s v="Retail"/>
    <n v="24"/>
    <x v="0"/>
  </r>
  <r>
    <s v="ORD-00869"/>
    <x v="169"/>
    <s v="CUST-0114"/>
    <s v="PROD-032"/>
    <x v="13"/>
    <n v="7"/>
    <n v="370"/>
    <n v="6"/>
    <n v="2434.6"/>
    <s v="Cancelled"/>
    <s v="Bengaluru"/>
    <x v="3"/>
    <s v="Corporate"/>
    <n v="42"/>
    <x v="3"/>
  </r>
  <r>
    <s v="ORD-00870"/>
    <x v="186"/>
    <s v="CUST-9833"/>
    <s v="PROD-038"/>
    <x v="20"/>
    <n v="7"/>
    <n v="5490"/>
    <n v="10.199999999999999"/>
    <n v="34510.14"/>
    <s v="Completed"/>
    <s v="Pune"/>
    <x v="3"/>
    <e v="#N/A"/>
    <e v="#N/A"/>
    <x v="2"/>
  </r>
  <r>
    <s v="ORD-00871"/>
    <x v="337"/>
    <s v="CUST-0076"/>
    <s v="PROD-006"/>
    <x v="8"/>
    <n v="3"/>
    <n v="3970"/>
    <n v="2.4"/>
    <n v="11624.16"/>
    <s v="Completed"/>
    <s v="Mumbai"/>
    <x v="4"/>
    <s v="Retail"/>
    <n v="38"/>
    <x v="2"/>
  </r>
  <r>
    <s v="ORD-00872"/>
    <x v="336"/>
    <s v="CUST-0215"/>
    <s v="PROD-009"/>
    <x v="0"/>
    <n v="4"/>
    <n v="1220"/>
    <n v="25.3"/>
    <n v="3645.36"/>
    <s v="Completed"/>
    <s v="Hyderabad"/>
    <x v="4"/>
    <s v="Retail"/>
    <n v="52"/>
    <x v="0"/>
  </r>
  <r>
    <s v="ORD-00873"/>
    <x v="132"/>
    <s v="CUST-0061"/>
    <s v="PROD-012"/>
    <x v="17"/>
    <n v="3"/>
    <n v="3160"/>
    <n v="19.8"/>
    <n v="7602.96"/>
    <s v="Completed"/>
    <s v="Hyderabad"/>
    <x v="0"/>
    <s v="Retail"/>
    <n v="64"/>
    <x v="2"/>
  </r>
  <r>
    <s v="ORD-00874"/>
    <x v="195"/>
    <s v="CUST-0249"/>
    <s v="PROD-005"/>
    <x v="4"/>
    <n v="1"/>
    <n v="300"/>
    <n v="24.5"/>
    <n v="226.5"/>
    <s v="Completed"/>
    <s v="Mumbai"/>
    <x v="4"/>
    <s v="Retail"/>
    <n v="44"/>
    <x v="0"/>
  </r>
  <r>
    <s v="ORD-00875"/>
    <x v="16"/>
    <s v="CUST-0105"/>
    <s v="PROD-047"/>
    <x v="20"/>
    <n v="5"/>
    <n v="3450"/>
    <n v="13.4"/>
    <n v="14938.5"/>
    <s v="Pending"/>
    <s v="Chennai"/>
    <x v="5"/>
    <s v="SMB"/>
    <n v="51"/>
    <x v="2"/>
  </r>
  <r>
    <s v="ORD-00876"/>
    <x v="245"/>
    <s v="CUST-0161"/>
    <s v="PROD-014"/>
    <x v="28"/>
    <n v="7"/>
    <n v="3620"/>
    <n v="19.2"/>
    <n v="20474.72"/>
    <s v="Completed"/>
    <s v="Chennai"/>
    <x v="0"/>
    <s v="Retail"/>
    <n v="38"/>
    <x v="2"/>
  </r>
  <r>
    <s v="ORD-00877"/>
    <x v="265"/>
    <s v="CUST-0275"/>
    <s v="PROD-024"/>
    <x v="9"/>
    <n v="10"/>
    <n v="2270"/>
    <n v="20.5"/>
    <n v="18046.5"/>
    <s v="Completed"/>
    <s v="Mumbai"/>
    <x v="2"/>
    <s v="Retail"/>
    <n v="36"/>
    <x v="1"/>
  </r>
  <r>
    <s v="ORD-00878"/>
    <x v="194"/>
    <s v="CUST-0049"/>
    <s v="PROD-015"/>
    <x v="6"/>
    <n v="5"/>
    <n v="2720"/>
    <n v="29.3"/>
    <n v="9615.2000000000007"/>
    <s v="Completed"/>
    <s v="Mumbai"/>
    <x v="0"/>
    <s v="Corporate"/>
    <n v="42"/>
    <x v="2"/>
  </r>
  <r>
    <s v="ORD-00879"/>
    <x v="59"/>
    <s v="CUST-0235"/>
    <s v="PROD-027"/>
    <x v="24"/>
    <n v="9"/>
    <n v="3780"/>
    <n v="2.2999999999999998"/>
    <n v="33237.54"/>
    <s v="Completed"/>
    <s v="Chennai"/>
    <x v="2"/>
    <s v="Retail"/>
    <n v="31"/>
    <x v="3"/>
  </r>
  <r>
    <s v="ORD-00880"/>
    <x v="184"/>
    <s v="CUST-0220"/>
    <s v="PROD-025"/>
    <x v="2"/>
    <n v="9"/>
    <n v="4060"/>
    <n v="11.5"/>
    <n v="32337.9"/>
    <s v="Completed"/>
    <s v="Chennai"/>
    <x v="2"/>
    <s v="Retail"/>
    <n v="34"/>
    <x v="1"/>
  </r>
  <r>
    <s v="ORD-00881"/>
    <x v="25"/>
    <s v="CUST-0298"/>
    <s v="PROD-021"/>
    <x v="27"/>
    <n v="10"/>
    <n v="2760"/>
    <n v="3.9"/>
    <n v="26523.599999999999"/>
    <s v="Refunded"/>
    <s v="Delhi"/>
    <x v="2"/>
    <s v="Retail"/>
    <n v="44"/>
    <x v="1"/>
  </r>
  <r>
    <s v="ORD-00882"/>
    <x v="106"/>
    <s v="CUST-0222"/>
    <s v="PROD-040"/>
    <x v="13"/>
    <n v="10"/>
    <n v="1080"/>
    <n v="21.4"/>
    <n v="8488.7999999999993"/>
    <s v="Completed"/>
    <s v="Chennai"/>
    <x v="3"/>
    <s v="Retail"/>
    <n v="37"/>
    <x v="3"/>
  </r>
  <r>
    <s v="ORD-00883"/>
    <x v="255"/>
    <s v="CUST-0049"/>
    <s v="PROD-034"/>
    <x v="12"/>
    <n v="6"/>
    <n v="5080"/>
    <n v="29.8"/>
    <n v="21396.959999999999"/>
    <s v="Pending"/>
    <s v="Mumbai"/>
    <x v="3"/>
    <s v="Corporate"/>
    <n v="42"/>
    <x v="3"/>
  </r>
  <r>
    <s v="ORD-00884"/>
    <x v="174"/>
    <s v="CUST-0147"/>
    <s v="PROD-046"/>
    <x v="14"/>
    <n v="1"/>
    <n v="4880"/>
    <n v="28.2"/>
    <n v="3503.84"/>
    <s v="Completed"/>
    <s v="Pune"/>
    <x v="5"/>
    <s v="Retail"/>
    <n v="56"/>
    <x v="2"/>
  </r>
  <r>
    <s v="ORD-00885"/>
    <x v="254"/>
    <s v="CUST-0177"/>
    <s v="PROD-022"/>
    <x v="28"/>
    <n v="1"/>
    <n v="2270"/>
    <n v="27.8"/>
    <n v="1638.94"/>
    <s v="Completed"/>
    <s v="Mumbai"/>
    <x v="2"/>
    <s v="SMB"/>
    <n v="36"/>
    <x v="2"/>
  </r>
  <r>
    <s v="ORD-00886"/>
    <x v="198"/>
    <s v="CUST-0121"/>
    <s v="PROD-006"/>
    <x v="7"/>
    <n v="9"/>
    <n v="3970"/>
    <n v="7"/>
    <n v="33228.9"/>
    <s v="Completed"/>
    <s v="Delhi"/>
    <x v="4"/>
    <s v="SMB"/>
    <n v="55"/>
    <x v="3"/>
  </r>
  <r>
    <s v="ORD-00887"/>
    <x v="199"/>
    <s v="CUST-0262"/>
    <s v="PROD-048"/>
    <x v="11"/>
    <n v="9"/>
    <n v="5100"/>
    <n v="9.6999999999999993"/>
    <n v="41447.699999999997"/>
    <s v="Completed"/>
    <s v="Mumbai"/>
    <x v="5"/>
    <s v="Retail"/>
    <n v="52"/>
    <x v="0"/>
  </r>
  <r>
    <s v="ORD-00888"/>
    <x v="71"/>
    <s v="CUST-0246"/>
    <s v="PROD-060"/>
    <x v="1"/>
    <n v="8"/>
    <n v="190"/>
    <n v="10.199999999999999"/>
    <n v="1364.96"/>
    <s v="Completed"/>
    <s v="Delhi"/>
    <x v="1"/>
    <s v="SMB"/>
    <n v="29"/>
    <x v="0"/>
  </r>
  <r>
    <s v="ORD-00889"/>
    <x v="51"/>
    <s v="CUST-0070"/>
    <s v="PROD-050"/>
    <x v="17"/>
    <n v="1"/>
    <n v="6080"/>
    <n v="5.6"/>
    <n v="5739.52"/>
    <s v="Completed"/>
    <s v="Mumbai"/>
    <x v="5"/>
    <s v="Retail"/>
    <n v="42"/>
    <x v="2"/>
  </r>
  <r>
    <s v="ORD-00890"/>
    <x v="285"/>
    <s v="CUST-0218"/>
    <s v="PROD-057"/>
    <x v="16"/>
    <n v="6"/>
    <n v="960"/>
    <n v="1.9"/>
    <n v="5650.56"/>
    <s v="Completed"/>
    <s v="Mumbai"/>
    <x v="1"/>
    <s v="Retail"/>
    <n v="39"/>
    <x v="3"/>
  </r>
  <r>
    <s v="ORD-00891"/>
    <x v="309"/>
    <s v="CUST-0068"/>
    <s v="PROD-041"/>
    <x v="10"/>
    <n v="7"/>
    <n v="1540"/>
    <n v="7.1"/>
    <n v="10014.620000000001"/>
    <s v="Completed"/>
    <s v="Delhi"/>
    <x v="5"/>
    <s v="SMB"/>
    <n v="48"/>
    <x v="0"/>
  </r>
  <r>
    <s v="ORD-00892"/>
    <x v="60"/>
    <s v="CUST-0261"/>
    <s v="PROD-005"/>
    <x v="23"/>
    <n v="10"/>
    <n v="300"/>
    <n v="12.8"/>
    <n v="2616"/>
    <s v="Cancelled"/>
    <s v="Delhi"/>
    <x v="4"/>
    <s v="Retail"/>
    <n v="54"/>
    <x v="1"/>
  </r>
  <r>
    <s v="ORD-00893"/>
    <x v="145"/>
    <s v="CUST-0077"/>
    <s v="PROD-046"/>
    <x v="23"/>
    <n v="4"/>
    <n v="4880"/>
    <n v="26.5"/>
    <n v="14347.2"/>
    <s v="Completed"/>
    <s v="Hyderabad"/>
    <x v="5"/>
    <s v="SMB"/>
    <n v="48"/>
    <x v="1"/>
  </r>
  <r>
    <s v="ORD-00894"/>
    <x v="55"/>
    <s v="CUST-0188"/>
    <s v="PROD-032"/>
    <x v="11"/>
    <n v="2"/>
    <n v="370"/>
    <n v="26.5"/>
    <n v="543.9"/>
    <s v="Completed"/>
    <s v="Bengaluru"/>
    <x v="3"/>
    <s v="Retail"/>
    <n v="54"/>
    <x v="0"/>
  </r>
  <r>
    <s v="ORD-00895"/>
    <x v="106"/>
    <s v="CUST-0145"/>
    <s v="PROD-039"/>
    <x v="25"/>
    <n v="3"/>
    <n v="4610"/>
    <n v="29.7"/>
    <n v="9722.49"/>
    <s v="Completed"/>
    <s v="Bengaluru"/>
    <x v="3"/>
    <s v="SMB"/>
    <n v="44"/>
    <x v="0"/>
  </r>
  <r>
    <s v="ORD-00896"/>
    <x v="149"/>
    <s v="CUST-0036"/>
    <s v="PROD-002"/>
    <x v="22"/>
    <n v="5"/>
    <n v="2600"/>
    <n v="21.4"/>
    <n v="10218"/>
    <s v="Completed"/>
    <s v="Mumbai"/>
    <x v="4"/>
    <s v="Retail"/>
    <n v="35"/>
    <x v="1"/>
  </r>
  <r>
    <s v="ORD-00600"/>
    <x v="295"/>
    <s v="CUST-0269"/>
    <s v="PROD-009"/>
    <x v="5"/>
    <n v="10"/>
    <n v="1220"/>
    <n v="24.3"/>
    <n v="9235.4"/>
    <s v="Completed"/>
    <s v="Pune"/>
    <x v="4"/>
    <s v="Retail"/>
    <n v="48"/>
    <x v="2"/>
  </r>
  <r>
    <s v="ORD-00898"/>
    <x v="34"/>
    <s v="CUST-9607"/>
    <s v="PROD-007"/>
    <x v="15"/>
    <n v="10"/>
    <n v="1430"/>
    <n v="5.0999999999999996"/>
    <n v="13570.7"/>
    <s v="Cancelled"/>
    <s v="Chennai"/>
    <x v="4"/>
    <e v="#N/A"/>
    <e v="#N/A"/>
    <x v="1"/>
  </r>
  <r>
    <s v="ORD-00899"/>
    <x v="35"/>
    <s v="CUST-0189"/>
    <s v="PROD-046"/>
    <x v="14"/>
    <n v="10"/>
    <n v="4880"/>
    <n v="25.5"/>
    <n v="36356"/>
    <s v="Cancelled"/>
    <s v="Chennai"/>
    <x v="5"/>
    <s v="Retail"/>
    <n v="41"/>
    <x v="2"/>
  </r>
  <r>
    <s v="ORD-00900"/>
    <x v="79"/>
    <s v="CUST-0199"/>
    <s v="PROD-050"/>
    <x v="8"/>
    <n v="6"/>
    <n v="6080"/>
    <n v="21.6"/>
    <n v="28600.32"/>
    <s v="Completed"/>
    <s v="Hyderabad"/>
    <x v="5"/>
    <s v="SMB"/>
    <n v="31"/>
    <x v="2"/>
  </r>
  <r>
    <s v="ORD-00901"/>
    <x v="158"/>
    <s v="CUST-0277"/>
    <s v="PROD-045"/>
    <x v="22"/>
    <n v="3"/>
    <n v="3020"/>
    <n v="20.7"/>
    <n v="7184.58"/>
    <s v="Completed"/>
    <s v="Chennai"/>
    <x v="5"/>
    <s v="Corporate"/>
    <n v="34"/>
    <x v="1"/>
  </r>
  <r>
    <s v="ORD-00902"/>
    <x v="338"/>
    <s v="CUST-0108"/>
    <s v="PROD-015"/>
    <x v="22"/>
    <n v="9"/>
    <n v="2720"/>
    <n v="21.4"/>
    <n v="19241.28"/>
    <s v="Completed"/>
    <s v="Bengaluru"/>
    <x v="0"/>
    <s v="Corporate"/>
    <n v="59"/>
    <x v="1"/>
  </r>
  <r>
    <s v="ORD-00903"/>
    <x v="53"/>
    <s v="CUST-0203"/>
    <s v="PROD-003"/>
    <x v="5"/>
    <n v="10"/>
    <n v="3570"/>
    <n v="4.4000000000000004"/>
    <n v="34129.199999999997"/>
    <s v="Completed"/>
    <s v="Chennai"/>
    <x v="4"/>
    <s v="SMB"/>
    <n v="55"/>
    <x v="2"/>
  </r>
  <r>
    <s v="ORD-00904"/>
    <x v="119"/>
    <s v="CUST-0272"/>
    <s v="PROD-040"/>
    <x v="2"/>
    <n v="8"/>
    <n v="1080"/>
    <n v="23.8"/>
    <n v="6583.68"/>
    <s v="Completed"/>
    <s v="Mumbai"/>
    <x v="3"/>
    <s v="SMB"/>
    <n v="47"/>
    <x v="1"/>
  </r>
  <r>
    <s v="ORD-00905"/>
    <x v="27"/>
    <s v="CUST-0039"/>
    <s v="PROD-035"/>
    <x v="23"/>
    <n v="8"/>
    <n v="1090"/>
    <n v="17.5"/>
    <n v="7194"/>
    <s v="Completed"/>
    <s v="Bengaluru"/>
    <x v="3"/>
    <s v="Retail"/>
    <n v="37"/>
    <x v="1"/>
  </r>
  <r>
    <s v="ORD-00906"/>
    <x v="70"/>
    <s v="CUST-0105"/>
    <s v="PROD-018"/>
    <x v="28"/>
    <n v="7"/>
    <n v="3560"/>
    <n v="11.1"/>
    <n v="22153.88"/>
    <s v="Completed"/>
    <s v="Chennai"/>
    <x v="0"/>
    <s v="SMB"/>
    <n v="51"/>
    <x v="2"/>
  </r>
  <r>
    <s v="ORD-00907"/>
    <x v="59"/>
    <s v="CUST-0095"/>
    <s v="PROD-060"/>
    <x v="24"/>
    <n v="6"/>
    <n v="190"/>
    <n v="17.100000000000001"/>
    <n v="945.06"/>
    <s v="Cancelled"/>
    <s v="Mumbai"/>
    <x v="1"/>
    <s v="SMB"/>
    <n v="54"/>
    <x v="3"/>
  </r>
  <r>
    <s v="ORD-00908"/>
    <x v="320"/>
    <s v="CUST-0138"/>
    <s v="PROD-025"/>
    <x v="5"/>
    <n v="7"/>
    <n v="4060"/>
    <n v="0.6"/>
    <n v="28249.48"/>
    <s v="Completed"/>
    <s v="Chennai"/>
    <x v="2"/>
    <s v="Retail"/>
    <n v="24"/>
    <x v="2"/>
  </r>
  <r>
    <s v="ORD-00909"/>
    <x v="63"/>
    <s v="CUST-0155"/>
    <s v="PROD-039"/>
    <x v="13"/>
    <n v="4"/>
    <n v="4610"/>
    <n v="1.9"/>
    <n v="18089.64"/>
    <s v="Pending"/>
    <s v="Pune"/>
    <x v="3"/>
    <s v="Corporate"/>
    <n v="40"/>
    <x v="3"/>
  </r>
  <r>
    <s v="ORD-00910"/>
    <x v="93"/>
    <s v="CUST-0198"/>
    <s v="PROD-026"/>
    <x v="16"/>
    <n v="4"/>
    <n v="4070"/>
    <n v="26.8"/>
    <n v="11916.96"/>
    <s v="Completed"/>
    <s v="Chennai"/>
    <x v="2"/>
    <s v="Corporate"/>
    <n v="22"/>
    <x v="3"/>
  </r>
  <r>
    <s v="ORD-00911"/>
    <x v="142"/>
    <s v="CUST-0267"/>
    <s v="PROD-014"/>
    <x v="10"/>
    <n v="4"/>
    <n v="3620"/>
    <n v="11.7"/>
    <n v="12785.84"/>
    <s v="Completed"/>
    <s v="Hyderabad"/>
    <x v="0"/>
    <s v="Retail"/>
    <n v="27"/>
    <x v="0"/>
  </r>
  <r>
    <s v="ORD-00912"/>
    <x v="195"/>
    <s v="CUST-0248"/>
    <s v="PROD-006"/>
    <x v="14"/>
    <n v="3"/>
    <n v="3970"/>
    <n v="24.7"/>
    <n v="8968.23"/>
    <s v="Completed"/>
    <s v="Chennai"/>
    <x v="4"/>
    <s v="SMB"/>
    <n v="57"/>
    <x v="2"/>
  </r>
  <r>
    <s v="ORD-00913"/>
    <x v="36"/>
    <s v="CUST-0114"/>
    <s v="PROD-030"/>
    <x v="8"/>
    <n v="4"/>
    <n v="970"/>
    <n v="0.4"/>
    <n v="3864.48"/>
    <s v="Completed"/>
    <s v="Bengaluru"/>
    <x v="2"/>
    <s v="Corporate"/>
    <n v="42"/>
    <x v="2"/>
  </r>
  <r>
    <s v="ORD-00914"/>
    <x v="229"/>
    <s v="CUST-0129"/>
    <s v="PROD-057"/>
    <x v="12"/>
    <n v="2"/>
    <n v="960"/>
    <n v="1.4"/>
    <n v="1893.12"/>
    <s v="Completed"/>
    <s v="Hyderabad"/>
    <x v="1"/>
    <s v="Retail"/>
    <n v="29"/>
    <x v="3"/>
  </r>
  <r>
    <s v="ORD-00915"/>
    <x v="67"/>
    <s v="CUST-0182"/>
    <s v="PROD-005"/>
    <x v="29"/>
    <n v="7"/>
    <n v="300"/>
    <n v="20.399999999999999"/>
    <n v="1671.6"/>
    <s v="Completed"/>
    <s v="Mumbai"/>
    <x v="4"/>
    <s v="Retail"/>
    <n v="54"/>
    <x v="1"/>
  </r>
  <r>
    <s v="ORD-00916"/>
    <x v="245"/>
    <s v="CUST-0020"/>
    <s v="PROD-002"/>
    <x v="2"/>
    <n v="8"/>
    <n v="2600"/>
    <n v="2.2000000000000002"/>
    <n v="20342.400000000001"/>
    <s v="Cancelled"/>
    <s v="Hyderabad"/>
    <x v="4"/>
    <s v="Retail"/>
    <n v="46"/>
    <x v="1"/>
  </r>
  <r>
    <s v="ORD-00917"/>
    <x v="297"/>
    <s v="CUST-0163"/>
    <s v="PROD-032"/>
    <x v="4"/>
    <n v="2"/>
    <n v="370"/>
    <n v="17.7"/>
    <n v="609.02"/>
    <s v="Completed"/>
    <s v="Pune"/>
    <x v="3"/>
    <s v="Retail"/>
    <n v="49"/>
    <x v="0"/>
  </r>
  <r>
    <s v="ORD-00918"/>
    <x v="6"/>
    <s v="CUST-0142"/>
    <s v="PROD-047"/>
    <x v="17"/>
    <n v="4"/>
    <n v="3450"/>
    <n v="9.8000000000000007"/>
    <n v="12447.6"/>
    <s v="Cancelled"/>
    <s v="Chennai"/>
    <x v="5"/>
    <s v="Corporate"/>
    <n v="55"/>
    <x v="2"/>
  </r>
  <r>
    <s v="ORD-00919"/>
    <x v="97"/>
    <s v="CUST-0221"/>
    <s v="PROD-019"/>
    <x v="16"/>
    <n v="1"/>
    <n v="2480"/>
    <n v="5.8"/>
    <n v="2336.16"/>
    <s v="Completed"/>
    <s v="Delhi"/>
    <x v="0"/>
    <s v="SMB"/>
    <n v="29"/>
    <x v="3"/>
  </r>
  <r>
    <s v="ORD-00920"/>
    <x v="90"/>
    <s v="CUST-0079"/>
    <s v="PROD-028"/>
    <x v="7"/>
    <n v="5"/>
    <n v="3660"/>
    <n v="4.7"/>
    <n v="17439.900000000001"/>
    <s v="Pending"/>
    <s v="Mumbai"/>
    <x v="2"/>
    <s v="Corporate"/>
    <n v="60"/>
    <x v="3"/>
  </r>
  <r>
    <s v="ORD-00921"/>
    <x v="162"/>
    <s v="CUST-0133"/>
    <s v="PROD-044"/>
    <x v="12"/>
    <n v="7"/>
    <n v="1650"/>
    <n v="8.6"/>
    <n v="10556.7"/>
    <s v="Completed"/>
    <s v="Chennai"/>
    <x v="5"/>
    <s v="Retail"/>
    <n v="26"/>
    <x v="3"/>
  </r>
  <r>
    <s v="ORD-00922"/>
    <x v="339"/>
    <s v="CUST-0086"/>
    <s v="PROD-060"/>
    <x v="5"/>
    <n v="6"/>
    <n v="190"/>
    <n v="14.6"/>
    <n v="973.56"/>
    <s v="Completed"/>
    <s v="Hyderabad"/>
    <x v="1"/>
    <s v="Corporate"/>
    <n v="56"/>
    <x v="2"/>
  </r>
  <r>
    <s v="ORD-00923"/>
    <x v="14"/>
    <s v="CUST-0155"/>
    <s v="PROD-022"/>
    <x v="19"/>
    <n v="5"/>
    <n v="2270"/>
    <n v="5.9"/>
    <n v="10680.35"/>
    <s v="Completed"/>
    <s v="Pune"/>
    <x v="2"/>
    <s v="Corporate"/>
    <n v="40"/>
    <x v="0"/>
  </r>
  <r>
    <s v="ORD-00924"/>
    <x v="327"/>
    <s v="CUST-0244"/>
    <s v="PROD-024"/>
    <x v="23"/>
    <n v="1"/>
    <n v="2270"/>
    <n v="14.9"/>
    <n v="1931.77"/>
    <s v="Completed"/>
    <s v="Bengaluru"/>
    <x v="2"/>
    <s v="Retail"/>
    <n v="61"/>
    <x v="1"/>
  </r>
  <r>
    <s v="ORD-00925"/>
    <x v="133"/>
    <s v="CUST-0262"/>
    <s v="PROD-011"/>
    <x v="26"/>
    <n v="4"/>
    <n v="3450"/>
    <n v="11.7"/>
    <n v="12185.4"/>
    <s v="Cancelled"/>
    <s v="Mumbai"/>
    <x v="0"/>
    <s v="Retail"/>
    <n v="52"/>
    <x v="3"/>
  </r>
  <r>
    <s v="ORD-00926"/>
    <x v="46"/>
    <s v="CUST-0251"/>
    <s v="PROD-045"/>
    <x v="8"/>
    <n v="7"/>
    <n v="3020"/>
    <n v="18.8"/>
    <n v="17165.68"/>
    <s v="Completed"/>
    <s v="Mumbai"/>
    <x v="5"/>
    <s v="Retail"/>
    <n v="44"/>
    <x v="2"/>
  </r>
  <r>
    <s v="ORD-00927"/>
    <x v="284"/>
    <s v="CUST-0007"/>
    <s v="PROD-033"/>
    <x v="29"/>
    <n v="4"/>
    <n v="2030"/>
    <n v="25.7"/>
    <n v="6033.16"/>
    <s v="Completed"/>
    <s v="Bengaluru"/>
    <x v="3"/>
    <s v="Retail"/>
    <n v="47"/>
    <x v="1"/>
  </r>
  <r>
    <s v="ORD-00928"/>
    <x v="331"/>
    <s v="CUST-0161"/>
    <s v="PROD-011"/>
    <x v="2"/>
    <n v="4"/>
    <n v="3450"/>
    <n v="3.9"/>
    <n v="13261.8"/>
    <s v="Completed"/>
    <s v="Chennai"/>
    <x v="0"/>
    <s v="Retail"/>
    <n v="38"/>
    <x v="1"/>
  </r>
  <r>
    <s v="ORD-00929"/>
    <x v="324"/>
    <s v="CUST-0251"/>
    <s v="PROD-049"/>
    <x v="8"/>
    <n v="5"/>
    <n v="960"/>
    <n v="8"/>
    <n v="4416"/>
    <s v="Completed"/>
    <s v="Mumbai"/>
    <x v="5"/>
    <s v="Retail"/>
    <n v="44"/>
    <x v="2"/>
  </r>
  <r>
    <s v="ORD-00930"/>
    <x v="269"/>
    <s v="CUST-0098"/>
    <s v="PROD-006"/>
    <x v="19"/>
    <n v="7"/>
    <n v="3970"/>
    <n v="11.7"/>
    <n v="24538.57"/>
    <s v="Completed"/>
    <s v="Delhi"/>
    <x v="4"/>
    <s v="Retail"/>
    <n v="52"/>
    <x v="0"/>
  </r>
  <r>
    <s v="ORD-00931"/>
    <x v="211"/>
    <s v="CUST-0200"/>
    <s v="PROD-052"/>
    <x v="17"/>
    <n v="3"/>
    <n v="5410"/>
    <n v="10"/>
    <n v="14607"/>
    <s v="Completed"/>
    <s v="Hyderabad"/>
    <x v="1"/>
    <s v="Corporate"/>
    <n v="46"/>
    <x v="2"/>
  </r>
  <r>
    <s v="ORD-00932"/>
    <x v="49"/>
    <s v="CUST-0228"/>
    <s v="PROD-003"/>
    <x v="0"/>
    <n v="8"/>
    <n v="3570"/>
    <n v="8.5"/>
    <n v="26132.400000000001"/>
    <s v="Completed"/>
    <s v="Pune"/>
    <x v="4"/>
    <s v="Corporate"/>
    <n v="37"/>
    <x v="0"/>
  </r>
  <r>
    <s v="ORD-00933"/>
    <x v="25"/>
    <s v="CUST-0095"/>
    <s v="PROD-002"/>
    <x v="2"/>
    <n v="7"/>
    <n v="2600"/>
    <n v="27.1"/>
    <n v="13267.8"/>
    <s v="Completed"/>
    <s v="Mumbai"/>
    <x v="4"/>
    <s v="SMB"/>
    <n v="54"/>
    <x v="1"/>
  </r>
  <r>
    <s v="ORD-00934"/>
    <x v="33"/>
    <s v="CUST-0175"/>
    <s v="PROD-053"/>
    <x v="17"/>
    <n v="6"/>
    <n v="470"/>
    <n v="2.4"/>
    <n v="2752.32"/>
    <s v="Pending"/>
    <s v="Delhi"/>
    <x v="1"/>
    <s v="Corporate"/>
    <n v="55"/>
    <x v="2"/>
  </r>
  <r>
    <s v="ORD-00935"/>
    <x v="2"/>
    <s v="CUST-0270"/>
    <s v="PROD-053"/>
    <x v="5"/>
    <n v="3"/>
    <n v="470"/>
    <n v="6.3"/>
    <n v="1321.17"/>
    <s v="Completed"/>
    <s v="Bengaluru"/>
    <x v="1"/>
    <s v="Retail"/>
    <n v="29"/>
    <x v="2"/>
  </r>
  <r>
    <s v="ORD-00936"/>
    <x v="326"/>
    <s v="CUST-0105"/>
    <s v="PROD-059"/>
    <x v="10"/>
    <n v="3"/>
    <n v="3780"/>
    <n v="19.399999999999999"/>
    <n v="9140.0400000000009"/>
    <s v="Pending"/>
    <s v="Chennai"/>
    <x v="1"/>
    <s v="SMB"/>
    <n v="51"/>
    <x v="0"/>
  </r>
  <r>
    <s v="ORD-00937"/>
    <x v="40"/>
    <s v="CUST-0147"/>
    <s v="PROD-056"/>
    <x v="7"/>
    <n v="5"/>
    <n v="6940"/>
    <n v="12.6"/>
    <n v="30327.8"/>
    <s v="Completed"/>
    <s v="Pune"/>
    <x v="1"/>
    <s v="Retail"/>
    <n v="56"/>
    <x v="3"/>
  </r>
  <r>
    <s v="ORD-00938"/>
    <x v="194"/>
    <s v="CUST-0106"/>
    <s v="PROD-004"/>
    <x v="14"/>
    <n v="2"/>
    <n v="3870"/>
    <n v="10.5"/>
    <n v="6927.3"/>
    <s v="Completed"/>
    <s v="Pune"/>
    <x v="4"/>
    <s v="Retail"/>
    <n v="22"/>
    <x v="2"/>
  </r>
  <r>
    <s v="ORD-00939"/>
    <x v="340"/>
    <s v="CUST-0130"/>
    <s v="PROD-052"/>
    <x v="2"/>
    <n v="8"/>
    <n v="5410"/>
    <n v="28.4"/>
    <n v="30988.48"/>
    <s v="Pending"/>
    <s v="Bengaluru"/>
    <x v="1"/>
    <s v="Corporate"/>
    <n v="41"/>
    <x v="1"/>
  </r>
  <r>
    <s v="ORD-00940"/>
    <x v="221"/>
    <s v="CUST-0241"/>
    <s v="PROD-006"/>
    <x v="14"/>
    <n v="7"/>
    <n v="3970"/>
    <n v="12.3"/>
    <n v="24371.83"/>
    <s v="Completed"/>
    <s v="Pune"/>
    <x v="4"/>
    <s v="Corporate"/>
    <n v="47"/>
    <x v="2"/>
  </r>
  <r>
    <s v="ORD-00941"/>
    <x v="294"/>
    <s v="CUST-0151"/>
    <s v="PROD-056"/>
    <x v="19"/>
    <n v="5"/>
    <n v="6940"/>
    <n v="1.5"/>
    <n v="34179.5"/>
    <s v="Completed"/>
    <s v="Mumbai"/>
    <x v="1"/>
    <s v="Retail"/>
    <n v="53"/>
    <x v="0"/>
  </r>
  <r>
    <s v="ORD-00942"/>
    <x v="110"/>
    <s v="CUST-0022"/>
    <s v="PROD-012"/>
    <x v="3"/>
    <n v="7"/>
    <n v="3160"/>
    <n v="2.4"/>
    <n v="21589.119999999999"/>
    <s v="Refunded"/>
    <s v="Bengaluru"/>
    <x v="0"/>
    <s v="Corporate"/>
    <n v="55"/>
    <x v="0"/>
  </r>
  <r>
    <s v="ORD-00943"/>
    <x v="255"/>
    <s v="CUST-0030"/>
    <s v="PROD-020"/>
    <x v="6"/>
    <n v="2"/>
    <n v="820"/>
    <n v="8.1"/>
    <n v="1507.16"/>
    <s v="Completed"/>
    <s v="Bengaluru"/>
    <x v="0"/>
    <s v="Corporate"/>
    <n v="43"/>
    <x v="2"/>
  </r>
  <r>
    <s v="ORD-00944"/>
    <x v="237"/>
    <s v="CUST-0176"/>
    <s v="PROD-041"/>
    <x v="14"/>
    <n v="2"/>
    <n v="1540"/>
    <n v="17.7"/>
    <n v="2534.84"/>
    <s v="Completed"/>
    <s v="Bengaluru"/>
    <x v="5"/>
    <s v="SMB"/>
    <n v="34"/>
    <x v="2"/>
  </r>
  <r>
    <s v="ORD-00945"/>
    <x v="310"/>
    <s v="CUST-0270"/>
    <s v="PROD-004"/>
    <x v="19"/>
    <n v="10"/>
    <n v="3870"/>
    <n v="12.2"/>
    <n v="33978.6"/>
    <s v="Refunded"/>
    <s v="Bengaluru"/>
    <x v="4"/>
    <s v="Retail"/>
    <n v="29"/>
    <x v="0"/>
  </r>
  <r>
    <s v="ORD-00946"/>
    <x v="56"/>
    <s v="CUST-0216"/>
    <s v="PROD-008"/>
    <x v="25"/>
    <n v="7"/>
    <n v="2660"/>
    <n v="4.7"/>
    <n v="17744.86"/>
    <s v="Completed"/>
    <s v="Mumbai"/>
    <x v="4"/>
    <s v="Retail"/>
    <n v="50"/>
    <x v="0"/>
  </r>
  <r>
    <s v="ORD-00947"/>
    <x v="313"/>
    <s v="CUST-0187"/>
    <s v="PROD-003"/>
    <x v="18"/>
    <n v="4"/>
    <n v="3570"/>
    <n v="19.3"/>
    <n v="11523.96"/>
    <s v="Completed"/>
    <s v="Chennai"/>
    <x v="4"/>
    <s v="SMB"/>
    <n v="51"/>
    <x v="1"/>
  </r>
  <r>
    <s v="ORD-00948"/>
    <x v="274"/>
    <s v="CUST-0143"/>
    <s v="PROD-033"/>
    <x v="25"/>
    <n v="2"/>
    <n v="2030"/>
    <n v="2.6"/>
    <n v="3954.44"/>
    <s v="Completed"/>
    <s v="Chennai"/>
    <x v="3"/>
    <s v="SMB"/>
    <n v="52"/>
    <x v="0"/>
  </r>
  <r>
    <s v="ORD-00949"/>
    <x v="273"/>
    <s v="CUST-0104"/>
    <s v="PROD-012"/>
    <x v="22"/>
    <n v="6"/>
    <n v="3160"/>
    <n v="25.8"/>
    <n v="14068.32"/>
    <s v="Completed"/>
    <s v="Hyderabad"/>
    <x v="0"/>
    <s v="Corporate"/>
    <n v="43"/>
    <x v="1"/>
  </r>
  <r>
    <s v="ORD-00950"/>
    <x v="157"/>
    <s v="CUST-0121"/>
    <s v="PROD-034"/>
    <x v="2"/>
    <n v="4"/>
    <n v="5080"/>
    <n v="2"/>
    <n v="19913.599999999999"/>
    <s v="Completed"/>
    <s v=" Delhi "/>
    <x v="3"/>
    <s v="SMB"/>
    <n v="55"/>
    <x v="1"/>
  </r>
  <r>
    <s v="ORD-00951"/>
    <x v="322"/>
    <s v="CUST-0228"/>
    <s v="PROD-047"/>
    <x v="9"/>
    <n v="6"/>
    <n v="3450"/>
    <n v="1.8"/>
    <n v="20327.400000000001"/>
    <s v="Cancelled"/>
    <s v="Pune"/>
    <x v="5"/>
    <s v="Corporate"/>
    <n v="37"/>
    <x v="1"/>
  </r>
  <r>
    <s v="ORD-00952"/>
    <x v="189"/>
    <s v="CUST-0218"/>
    <s v="PROD-051"/>
    <x v="29"/>
    <n v="3"/>
    <n v="3450"/>
    <n v="4.7"/>
    <n v="9863.5499999999993"/>
    <s v="Pending"/>
    <s v="Mumbai"/>
    <x v="1"/>
    <s v="Retail"/>
    <n v="39"/>
    <x v="1"/>
  </r>
  <r>
    <s v="ORD-00953"/>
    <x v="27"/>
    <s v="CUST-0118"/>
    <s v="PROD-001"/>
    <x v="28"/>
    <n v="7"/>
    <n v="5330"/>
    <n v="16.399999999999999"/>
    <n v="31191.16"/>
    <s v="Completed"/>
    <s v="Hyderabad"/>
    <x v="4"/>
    <s v="Retail"/>
    <n v="26"/>
    <x v="2"/>
  </r>
  <r>
    <s v="ORD-00954"/>
    <x v="190"/>
    <s v="CUST-0262"/>
    <s v="PROD-029"/>
    <x v="11"/>
    <n v="6"/>
    <n v="2210"/>
    <n v="13.1"/>
    <n v="11522.94"/>
    <s v="Completed"/>
    <s v="Mumbai"/>
    <x v="2"/>
    <s v="Retail"/>
    <n v="52"/>
    <x v="0"/>
  </r>
  <r>
    <s v="ORD-00955"/>
    <x v="133"/>
    <s v="CUST-0137"/>
    <s v="PROD-040"/>
    <x v="17"/>
    <n v="8"/>
    <n v="1080"/>
    <n v="8.6999999999999993"/>
    <n v="7888.32"/>
    <s v="Completed"/>
    <s v="Mumbai"/>
    <x v="3"/>
    <s v="Retail"/>
    <n v="41"/>
    <x v="2"/>
  </r>
  <r>
    <s v="ORD-00956"/>
    <x v="185"/>
    <s v="CUST-0145"/>
    <s v="PROD-014"/>
    <x v="15"/>
    <n v="5"/>
    <n v="3620"/>
    <n v="16.100000000000001"/>
    <n v="15185.9"/>
    <s v="Completed"/>
    <s v="Bengaluru"/>
    <x v="0"/>
    <s v="SMB"/>
    <n v="44"/>
    <x v="1"/>
  </r>
  <r>
    <s v="ORD-00957"/>
    <x v="64"/>
    <s v="CUST-0275"/>
    <s v="PROD-018"/>
    <x v="23"/>
    <n v="7"/>
    <n v="3560"/>
    <n v="8.5"/>
    <n v="22801.8"/>
    <s v="Completed"/>
    <s v="Mumbai"/>
    <x v="0"/>
    <s v="Retail"/>
    <n v="36"/>
    <x v="1"/>
  </r>
  <r>
    <s v="ORD-00958"/>
    <x v="263"/>
    <s v="CUST-0189"/>
    <s v="PROD-033"/>
    <x v="5"/>
    <n v="8"/>
    <n v="2030"/>
    <n v="18.100000000000001"/>
    <n v="13300.56"/>
    <s v="Completed"/>
    <s v="Chennai"/>
    <x v="3"/>
    <s v="Retail"/>
    <n v="41"/>
    <x v="2"/>
  </r>
  <r>
    <s v="ORD-00959"/>
    <x v="154"/>
    <s v="CUST-0105"/>
    <s v="PROD-044"/>
    <x v="23"/>
    <n v="10"/>
    <n v="1650"/>
    <n v="7.1"/>
    <n v="15328.5"/>
    <s v="Completed"/>
    <s v="Chennai"/>
    <x v="5"/>
    <s v="SMB"/>
    <n v="51"/>
    <x v="1"/>
  </r>
  <r>
    <s v="ORD-00960"/>
    <x v="25"/>
    <s v="CUST-0284"/>
    <s v="PROD-021"/>
    <x v="21"/>
    <n v="4"/>
    <n v="2760"/>
    <n v="17.600000000000001"/>
    <n v="9096.9599999999991"/>
    <s v="Cancelled"/>
    <s v="Hyderabad"/>
    <x v="2"/>
    <s v="SMB"/>
    <n v="65"/>
    <x v="3"/>
  </r>
  <r>
    <s v="ORD-00961"/>
    <x v="151"/>
    <s v="CUST-0296"/>
    <s v="PROD-006"/>
    <x v="18"/>
    <n v="4"/>
    <n v="3970"/>
    <n v="4.3"/>
    <n v="15197.16"/>
    <s v="Completed"/>
    <s v="Delhi"/>
    <x v="4"/>
    <s v="Corporate"/>
    <n v="47"/>
    <x v="1"/>
  </r>
  <r>
    <s v="ORD-00962"/>
    <x v="89"/>
    <s v="CUST-0087"/>
    <s v="PROD-050"/>
    <x v="9"/>
    <n v="2"/>
    <n v="6080"/>
    <n v="23.8"/>
    <n v="9265.92"/>
    <s v="Completed"/>
    <s v="Pune"/>
    <x v="5"/>
    <s v="SMB"/>
    <n v="49"/>
    <x v="1"/>
  </r>
  <r>
    <s v="ORD-00963"/>
    <x v="341"/>
    <s v="CUST-0012"/>
    <s v="PROD-024"/>
    <x v="10"/>
    <n v="4"/>
    <n v="2270"/>
    <n v="28.9"/>
    <n v="6455.88"/>
    <s v="Completed"/>
    <s v="Pune"/>
    <x v="2"/>
    <s v="Retail"/>
    <n v="43"/>
    <x v="0"/>
  </r>
  <r>
    <s v="ORD-00964"/>
    <x v="236"/>
    <s v="CUST-0241"/>
    <s v="PROD-006"/>
    <x v="10"/>
    <n v="10"/>
    <n v="3970"/>
    <n v="26.2"/>
    <n v="29298.6"/>
    <s v="Completed"/>
    <s v="Pune"/>
    <x v="4"/>
    <s v="Corporate"/>
    <n v="47"/>
    <x v="0"/>
  </r>
  <r>
    <s v="ORD-00965"/>
    <x v="239"/>
    <s v="CUST-0133"/>
    <s v="PROD-048"/>
    <x v="22"/>
    <n v="4"/>
    <n v="5100"/>
    <n v="2.1"/>
    <n v="19971.599999999999"/>
    <s v="Completed"/>
    <s v="Chennai"/>
    <x v="5"/>
    <s v="Retail"/>
    <n v="26"/>
    <x v="1"/>
  </r>
  <r>
    <s v="ORD-00966"/>
    <x v="49"/>
    <s v="CUST-0230"/>
    <s v="PROD-045"/>
    <x v="6"/>
    <n v="5"/>
    <n v="3020"/>
    <n v="17.3"/>
    <n v="12487.7"/>
    <s v="Completed"/>
    <s v="Pune"/>
    <x v="5"/>
    <s v="Corporate"/>
    <n v="33"/>
    <x v="2"/>
  </r>
  <r>
    <s v="ORD-00967"/>
    <x v="126"/>
    <s v="CUST-0126"/>
    <s v="PROD-057"/>
    <x v="29"/>
    <n v="8"/>
    <n v="960"/>
    <n v="1.3"/>
    <n v="7580.16"/>
    <s v="Cancelled"/>
    <s v="Mumbai"/>
    <x v="1"/>
    <s v="Retail"/>
    <n v="37"/>
    <x v="1"/>
  </r>
  <r>
    <s v="ORD-00968"/>
    <x v="109"/>
    <s v="CUST-0233"/>
    <s v="PROD-019"/>
    <x v="4"/>
    <n v="9"/>
    <n v="2480"/>
    <n v="15.6"/>
    <n v="18838.080000000002"/>
    <s v="Completed"/>
    <s v="Mumbai"/>
    <x v="0"/>
    <s v="SMB"/>
    <n v="65"/>
    <x v="0"/>
  </r>
  <r>
    <s v="ORD-00969"/>
    <x v="286"/>
    <s v="CUST-9555"/>
    <s v="PROD-030"/>
    <x v="27"/>
    <n v="1"/>
    <n v="970"/>
    <n v="24.9"/>
    <n v="728.47"/>
    <s v="Completed"/>
    <s v="Bengaluru"/>
    <x v="2"/>
    <e v="#N/A"/>
    <e v="#N/A"/>
    <x v="1"/>
  </r>
  <r>
    <s v="ORD-00970"/>
    <x v="38"/>
    <s v="CUST-0150"/>
    <s v="PROD-023"/>
    <x v="24"/>
    <n v="4"/>
    <n v="2380"/>
    <n v="9.5"/>
    <n v="8615.6"/>
    <s v="Cancelled"/>
    <s v="Pune"/>
    <x v="2"/>
    <s v="SMB"/>
    <n v="53"/>
    <x v="3"/>
  </r>
  <r>
    <s v="ORD-00971"/>
    <x v="318"/>
    <s v="CUST-0204"/>
    <s v="PROD-052"/>
    <x v="1"/>
    <n v="4"/>
    <n v="5410"/>
    <n v="18.7"/>
    <n v="17593.32"/>
    <s v="Completed"/>
    <s v="Hyderabad"/>
    <x v="1"/>
    <s v="Retail"/>
    <n v="60"/>
    <x v="0"/>
  </r>
  <r>
    <s v="ORD-00972"/>
    <x v="52"/>
    <s v="CUST-0040"/>
    <s v="PROD-034"/>
    <x v="24"/>
    <n v="7"/>
    <n v="5080"/>
    <n v="6.5"/>
    <n v="33248.6"/>
    <s v="Completed"/>
    <s v="Chennai"/>
    <x v="3"/>
    <s v="Retail"/>
    <n v="28"/>
    <x v="3"/>
  </r>
  <r>
    <s v="ORD-00973"/>
    <x v="220"/>
    <s v="CUST-0060"/>
    <s v="PROD-007"/>
    <x v="5"/>
    <n v="5"/>
    <n v="1430"/>
    <n v="19.8"/>
    <n v="5734.3"/>
    <s v="Completed"/>
    <s v="Pune"/>
    <x v="4"/>
    <s v="Retail"/>
    <n v="39"/>
    <x v="2"/>
  </r>
  <r>
    <s v="ORD-00974"/>
    <x v="4"/>
    <s v="CUST-0017"/>
    <s v="PROD-037"/>
    <x v="23"/>
    <n v="7"/>
    <n v="660"/>
    <n v="17.3"/>
    <n v="3820.74"/>
    <s v="Completed"/>
    <s v="Delhi"/>
    <x v="3"/>
    <s v="SMB"/>
    <n v="38"/>
    <x v="1"/>
  </r>
  <r>
    <s v="ORD-00975"/>
    <x v="265"/>
    <s v="CUST-0093"/>
    <s v="PROD-041"/>
    <x v="10"/>
    <n v="10"/>
    <n v="1540"/>
    <n v="17.5"/>
    <n v="12705"/>
    <s v="Completed"/>
    <s v="Pune"/>
    <x v="5"/>
    <s v="Retail"/>
    <n v="36"/>
    <x v="0"/>
  </r>
  <r>
    <s v="ORD-01662"/>
    <x v="243"/>
    <s v="CUST-0068"/>
    <s v="PROD-029"/>
    <x v="11"/>
    <n v="10"/>
    <n v="2210"/>
    <n v="24.1"/>
    <n v="16773.900000000001"/>
    <s v="Pending"/>
    <s v="Delhi"/>
    <x v="2"/>
    <s v="SMB"/>
    <n v="48"/>
    <x v="0"/>
  </r>
  <r>
    <s v="ORD-00977"/>
    <x v="281"/>
    <s v="CUST-0251"/>
    <s v="PROD-057"/>
    <x v="24"/>
    <n v="4"/>
    <n v="960"/>
    <n v="13.4"/>
    <n v="3325.44"/>
    <s v="Completed"/>
    <s v="Mumbai"/>
    <x v="1"/>
    <s v="Retail"/>
    <n v="44"/>
    <x v="3"/>
  </r>
  <r>
    <s v="ORD-00978"/>
    <x v="108"/>
    <s v="CUST-0076"/>
    <s v="PROD-047"/>
    <x v="24"/>
    <n v="8"/>
    <n v="3450"/>
    <n v="3.7"/>
    <n v="26578.799999999999"/>
    <s v="Completed"/>
    <s v="Mumbai"/>
    <x v="5"/>
    <s v="Retail"/>
    <n v="38"/>
    <x v="3"/>
  </r>
  <r>
    <s v="ORD-00979"/>
    <x v="214"/>
    <s v="CUST-9927"/>
    <s v="PROD-033"/>
    <x v="1"/>
    <n v="6"/>
    <n v="2030"/>
    <n v="9.5"/>
    <n v="11022.9"/>
    <s v="Completed"/>
    <s v="Mumbai"/>
    <x v="3"/>
    <e v="#N/A"/>
    <e v="#N/A"/>
    <x v="0"/>
  </r>
  <r>
    <s v="ORD-00980"/>
    <x v="342"/>
    <s v="CUST-0135"/>
    <s v="PROD-011"/>
    <x v="18"/>
    <n v="7"/>
    <n v="3450"/>
    <n v="28.2"/>
    <n v="17339.7"/>
    <s v="Completed"/>
    <s v="Pune"/>
    <x v="0"/>
    <s v="SMB"/>
    <n v="24"/>
    <x v="1"/>
  </r>
  <r>
    <s v="ORD-00981"/>
    <x v="101"/>
    <s v="CUST-0163"/>
    <s v="PROD-027"/>
    <x v="23"/>
    <n v="7"/>
    <n v="3780"/>
    <n v="15.1"/>
    <n v="22464.54"/>
    <s v="Completed"/>
    <s v="Pune"/>
    <x v="2"/>
    <s v="Retail"/>
    <n v="49"/>
    <x v="1"/>
  </r>
  <r>
    <s v="ORD-00947"/>
    <x v="53"/>
    <s v="CUST-0107"/>
    <s v="PROD-021"/>
    <x v="25"/>
    <n v="4"/>
    <n v="2760"/>
    <n v="14.8"/>
    <n v="9406.08"/>
    <s v="Completed"/>
    <s v="Pune"/>
    <x v="2"/>
    <s v="Retail"/>
    <n v="50"/>
    <x v="0"/>
  </r>
  <r>
    <s v="ORD-00983"/>
    <x v="322"/>
    <s v="CUST-0209"/>
    <s v="PROD-041"/>
    <x v="20"/>
    <n v="4"/>
    <n v="1540"/>
    <n v="13.9"/>
    <n v="5303.76"/>
    <s v="Completed"/>
    <s v="Pune"/>
    <x v="5"/>
    <s v="Retail"/>
    <n v="31"/>
    <x v="2"/>
  </r>
  <r>
    <s v="ORD-00984"/>
    <x v="334"/>
    <s v="CUST-0074"/>
    <s v="PROD-031"/>
    <x v="0"/>
    <n v="2"/>
    <n v="3730"/>
    <n v="15.7"/>
    <n v="6288.78"/>
    <s v="Cancelled"/>
    <s v="Bengaluru"/>
    <x v="3"/>
    <s v="Retail"/>
    <n v="27"/>
    <x v="0"/>
  </r>
  <r>
    <s v="ORD-00985"/>
    <x v="251"/>
    <s v="CUST-0037"/>
    <s v="PROD-031"/>
    <x v="28"/>
    <n v="4"/>
    <n v="3730"/>
    <n v="2.1"/>
    <n v="14606.68"/>
    <s v="Completed"/>
    <s v="Bengaluru"/>
    <x v="3"/>
    <s v="Retail"/>
    <n v="52"/>
    <x v="2"/>
  </r>
  <r>
    <s v="ORD-00986"/>
    <x v="136"/>
    <s v="CUST-0026"/>
    <s v="PROD-012"/>
    <x v="22"/>
    <n v="1"/>
    <n v="3160"/>
    <n v="29.8"/>
    <n v="2218.3200000000002"/>
    <s v="Completed"/>
    <s v="Pune"/>
    <x v="0"/>
    <s v="Retail"/>
    <n v="62"/>
    <x v="1"/>
  </r>
  <r>
    <s v="ORD-00987"/>
    <x v="227"/>
    <s v="CUST-0151"/>
    <s v="PROD-042"/>
    <x v="24"/>
    <n v="9"/>
    <n v="2290"/>
    <n v="8.3000000000000007"/>
    <n v="18899.37"/>
    <s v="Pending"/>
    <s v="Mumbai"/>
    <x v="5"/>
    <s v="Retail"/>
    <n v="53"/>
    <x v="3"/>
  </r>
  <r>
    <s v="ORD-00988"/>
    <x v="215"/>
    <s v="CUST-0210"/>
    <s v="PROD-004"/>
    <x v="22"/>
    <n v="2"/>
    <n v="3870"/>
    <n v="5.2"/>
    <n v="7337.52"/>
    <s v="Completed"/>
    <s v="Pune"/>
    <x v="4"/>
    <s v="Corporate"/>
    <n v="48"/>
    <x v="1"/>
  </r>
  <r>
    <s v="ORD-00989"/>
    <x v="57"/>
    <s v="CUST-0192"/>
    <s v="PROD-003"/>
    <x v="0"/>
    <n v="5"/>
    <n v="3570"/>
    <n v="19.899999999999999"/>
    <n v="14297.85"/>
    <s v="Completed"/>
    <s v="Bengaluru"/>
    <x v="4"/>
    <s v="Retail"/>
    <n v="55"/>
    <x v="0"/>
  </r>
  <r>
    <s v="ORD-00990"/>
    <x v="305"/>
    <s v="CUST-0161"/>
    <s v="PROD-054"/>
    <x v="19"/>
    <n v="5"/>
    <n v="1010"/>
    <n v="2.2000000000000002"/>
    <n v="4938.8999999999996"/>
    <s v="Completed"/>
    <s v="Chennai"/>
    <x v="1"/>
    <s v="Retail"/>
    <n v="38"/>
    <x v="0"/>
  </r>
  <r>
    <s v="ORD-00991"/>
    <x v="119"/>
    <s v="CUST-0255"/>
    <s v="PROD-042"/>
    <x v="10"/>
    <n v="10"/>
    <n v="2290"/>
    <n v="16.8"/>
    <n v="19052.8"/>
    <s v="Cancelled"/>
    <s v="Chennai"/>
    <x v="5"/>
    <s v="Corporate"/>
    <n v="51"/>
    <x v="0"/>
  </r>
  <r>
    <s v="ORD-00992"/>
    <x v="293"/>
    <s v="CUST-0027"/>
    <s v="PROD-039"/>
    <x v="7"/>
    <n v="3"/>
    <n v="4610"/>
    <n v="13.2"/>
    <n v="12004.44"/>
    <s v="Pending"/>
    <s v="Hyderabad"/>
    <x v="3"/>
    <s v="Corporate"/>
    <n v="52"/>
    <x v="3"/>
  </r>
  <r>
    <s v="ORD-00993"/>
    <x v="320"/>
    <s v="CUST-0228"/>
    <s v="PROD-017"/>
    <x v="11"/>
    <n v="1"/>
    <n v="2510"/>
    <n v="16.899999999999999"/>
    <n v="2085.81"/>
    <s v="Completed"/>
    <s v="Pune"/>
    <x v="0"/>
    <s v="Corporate"/>
    <n v="37"/>
    <x v="0"/>
  </r>
  <r>
    <s v="ORD-00994"/>
    <x v="27"/>
    <s v="CUST-0183"/>
    <s v="PROD-045"/>
    <x v="18"/>
    <n v="1"/>
    <n v="3020"/>
    <n v="26.7"/>
    <n v="2213.66"/>
    <s v="Completed"/>
    <s v="Mumbai"/>
    <x v="5"/>
    <s v="SMB"/>
    <n v="27"/>
    <x v="1"/>
  </r>
  <r>
    <s v="ORD-00995"/>
    <x v="343"/>
    <s v="CUST-0026"/>
    <s v="PROD-060"/>
    <x v="27"/>
    <n v="6"/>
    <n v="190"/>
    <n v="7.1"/>
    <n v="1059.06"/>
    <s v="Completed"/>
    <s v="Pune"/>
    <x v="1"/>
    <s v="Retail"/>
    <n v="62"/>
    <x v="1"/>
  </r>
  <r>
    <s v="ORD-00996"/>
    <x v="201"/>
    <s v="CUST-0211"/>
    <s v="PROD-033"/>
    <x v="25"/>
    <n v="6"/>
    <n v="2030"/>
    <n v="13.5"/>
    <n v="10535.7"/>
    <s v="Cancelled"/>
    <s v="Bengaluru"/>
    <x v="3"/>
    <s v="Retail"/>
    <n v="36"/>
    <x v="0"/>
  </r>
  <r>
    <s v="ORD-00997"/>
    <x v="74"/>
    <s v="CUST-0190"/>
    <s v="PROD-036"/>
    <x v="27"/>
    <n v="10"/>
    <n v="3250"/>
    <n v="8.6999999999999993"/>
    <n v="29672.5"/>
    <s v="Completed"/>
    <s v="Hyderabad"/>
    <x v="3"/>
    <s v="Retail"/>
    <n v="52"/>
    <x v="1"/>
  </r>
  <r>
    <s v="ORD-00998"/>
    <x v="193"/>
    <s v="CUST-0172"/>
    <s v="PROD-033"/>
    <x v="20"/>
    <n v="9"/>
    <n v="2030"/>
    <n v="29.3"/>
    <n v="12916.89"/>
    <s v="Completed"/>
    <s v="Pune"/>
    <x v="3"/>
    <s v="Retail"/>
    <n v="65"/>
    <x v="2"/>
  </r>
  <r>
    <s v="ORD-00999"/>
    <x v="82"/>
    <s v="CUST-0272"/>
    <s v="PROD-023"/>
    <x v="5"/>
    <n v="1"/>
    <n v="2380"/>
    <n v="12.9"/>
    <n v="2072.98"/>
    <s v="Completed"/>
    <s v="Mumbai"/>
    <x v="2"/>
    <s v="SMB"/>
    <n v="47"/>
    <x v="2"/>
  </r>
  <r>
    <s v="ORD-01000"/>
    <x v="126"/>
    <s v="CUST-0232"/>
    <s v="PROD-011"/>
    <x v="6"/>
    <n v="10"/>
    <n v="3450"/>
    <n v="18.5"/>
    <n v="28117.5"/>
    <s v="Completed"/>
    <s v="Hyderabad"/>
    <x v="0"/>
    <s v="Retail"/>
    <n v="38"/>
    <x v="2"/>
  </r>
  <r>
    <s v="ORD-01001"/>
    <x v="66"/>
    <s v="CUST-0282"/>
    <s v="PROD-012"/>
    <x v="25"/>
    <n v="10"/>
    <n v="3160"/>
    <n v="26.3"/>
    <n v="23289.200000000001"/>
    <s v="Completed"/>
    <s v="Hyderabad"/>
    <x v="0"/>
    <s v="Corporate"/>
    <n v="29"/>
    <x v="0"/>
  </r>
  <r>
    <s v="ORD-01002"/>
    <x v="101"/>
    <s v="CUST-0164"/>
    <s v="PROD-038"/>
    <x v="17"/>
    <n v="10"/>
    <n v="5490"/>
    <n v="22.7"/>
    <n v="42437.7"/>
    <s v="Completed"/>
    <s v="Chennai"/>
    <x v="3"/>
    <s v="Retail"/>
    <n v="60"/>
    <x v="2"/>
  </r>
  <r>
    <s v="ORD-01003"/>
    <x v="232"/>
    <s v="CUST-0212"/>
    <s v="PROD-055"/>
    <x v="3"/>
    <n v="8"/>
    <n v="2860"/>
    <n v="14.3"/>
    <n v="19608.16"/>
    <s v="Completed"/>
    <s v="Chennai"/>
    <x v="1"/>
    <s v="SMB"/>
    <n v="46"/>
    <x v="0"/>
  </r>
  <r>
    <s v="ORD-01004"/>
    <x v="104"/>
    <s v="CUST-0234"/>
    <s v="PROD-049"/>
    <x v="23"/>
    <n v="1"/>
    <n v="960"/>
    <n v="11.9"/>
    <n v="845.76"/>
    <s v="Completed"/>
    <s v="Bengaluru"/>
    <x v="5"/>
    <s v="Retail"/>
    <n v="34"/>
    <x v="1"/>
  </r>
  <r>
    <s v="ORD-01005"/>
    <x v="195"/>
    <s v="CUST-0292"/>
    <s v="PROD-040"/>
    <x v="0"/>
    <n v="3"/>
    <n v="1080"/>
    <n v="26"/>
    <n v="2397.6"/>
    <s v="Completed"/>
    <s v="Bengaluru"/>
    <x v="3"/>
    <s v="Retail"/>
    <n v="32"/>
    <x v="0"/>
  </r>
  <r>
    <s v="ORD-01006"/>
    <x v="65"/>
    <s v="CUST-0018"/>
    <s v="PROD-055"/>
    <x v="19"/>
    <n v="10"/>
    <n v="2860"/>
    <n v="13.1"/>
    <n v="24853.4"/>
    <s v="Refunded"/>
    <s v="Pune"/>
    <x v="1"/>
    <s v="SMB"/>
    <n v="54"/>
    <x v="0"/>
  </r>
  <r>
    <s v="ORD-01007"/>
    <x v="316"/>
    <s v="CUST-0220"/>
    <s v="PROD-013"/>
    <x v="19"/>
    <n v="3"/>
    <n v="3640"/>
    <n v="18.2"/>
    <n v="8932.56"/>
    <s v="Completed"/>
    <s v="Chennai"/>
    <x v="0"/>
    <s v="Retail"/>
    <n v="34"/>
    <x v="0"/>
  </r>
  <r>
    <s v="ORD-01008"/>
    <x v="171"/>
    <s v="CUST-0064"/>
    <s v="PROD-015"/>
    <x v="26"/>
    <n v="3"/>
    <n v="2720"/>
    <n v="3.6"/>
    <n v="7866.24"/>
    <s v="Completed"/>
    <s v="Hyderabad"/>
    <x v="0"/>
    <s v="SMB"/>
    <n v="40"/>
    <x v="3"/>
  </r>
  <r>
    <s v="ORD-01009"/>
    <x v="316"/>
    <s v="CUST-0077"/>
    <s v="PROD-024"/>
    <x v="4"/>
    <n v="4"/>
    <n v="2270"/>
    <n v="18.399999999999999"/>
    <n v="7409.28"/>
    <s v="Completed"/>
    <s v="Hyderabad"/>
    <x v="2"/>
    <s v="SMB"/>
    <n v="48"/>
    <x v="0"/>
  </r>
  <r>
    <s v="ORD-01010"/>
    <x v="64"/>
    <s v="CUST-0229"/>
    <s v="PROD-009"/>
    <x v="20"/>
    <n v="5"/>
    <n v="1220"/>
    <n v="13.9"/>
    <n v="5252.1"/>
    <s v="Completed"/>
    <s v="Hyderabad"/>
    <x v="4"/>
    <s v="SMB"/>
    <n v="25"/>
    <x v="2"/>
  </r>
  <r>
    <s v="ORD-01011"/>
    <x v="21"/>
    <s v="CUST-0129"/>
    <s v="PROD-010"/>
    <x v="15"/>
    <n v="8"/>
    <n v="2640"/>
    <n v="17.3"/>
    <n v="17466.240000000002"/>
    <s v="Completed"/>
    <s v="Hyderabad"/>
    <x v="4"/>
    <s v="Retail"/>
    <n v="29"/>
    <x v="1"/>
  </r>
  <r>
    <s v="ORD-01012"/>
    <x v="66"/>
    <s v="CUST-0145"/>
    <s v="PROD-030"/>
    <x v="15"/>
    <n v="1"/>
    <n v="970"/>
    <n v="28"/>
    <n v="698.4"/>
    <s v="Cancelled"/>
    <s v="Bengaluru"/>
    <x v="2"/>
    <s v="SMB"/>
    <n v="44"/>
    <x v="1"/>
  </r>
  <r>
    <s v="ORD-01013"/>
    <x v="243"/>
    <s v="CUST-0258"/>
    <s v="PROD-031"/>
    <x v="5"/>
    <n v="8"/>
    <n v="3730"/>
    <n v="2.1"/>
    <n v="29213.360000000001"/>
    <s v="Refunded"/>
    <s v="Pune"/>
    <x v="3"/>
    <s v="Retail"/>
    <n v="44"/>
    <x v="2"/>
  </r>
  <r>
    <s v="ORD-01014"/>
    <x v="311"/>
    <s v="CUST-0209"/>
    <s v="PROD-030"/>
    <x v="6"/>
    <n v="7"/>
    <n v="970"/>
    <n v="25.5"/>
    <n v="5058.55"/>
    <s v="Completed"/>
    <s v="Pune"/>
    <x v="2"/>
    <s v="Retail"/>
    <n v="31"/>
    <x v="2"/>
  </r>
  <r>
    <s v="ORD-01015"/>
    <x v="125"/>
    <s v="CUST-0131"/>
    <s v="PROD-003"/>
    <x v="24"/>
    <n v="6"/>
    <n v="3570"/>
    <n v="9.9"/>
    <n v="19299.419999999998"/>
    <s v="Completed"/>
    <s v="Delhi"/>
    <x v="4"/>
    <s v="SMB"/>
    <n v="28"/>
    <x v="3"/>
  </r>
  <r>
    <s v="ORD-01016"/>
    <x v="111"/>
    <s v="CUST-0276"/>
    <s v="PROD-030"/>
    <x v="29"/>
    <n v="6"/>
    <n v="970"/>
    <n v="19.600000000000001"/>
    <n v="4679.28"/>
    <s v="Completed"/>
    <s v="Chennai"/>
    <x v="2"/>
    <s v="Retail"/>
    <n v="26"/>
    <x v="1"/>
  </r>
  <r>
    <s v="ORD-01017"/>
    <x v="211"/>
    <s v="CUST-0283"/>
    <s v="PROD-059"/>
    <x v="23"/>
    <n v="8"/>
    <n v="3780"/>
    <n v="26.5"/>
    <n v="22226.400000000001"/>
    <s v="Completed"/>
    <s v="Delhi"/>
    <x v="1"/>
    <s v="SMB"/>
    <n v="50"/>
    <x v="1"/>
  </r>
  <r>
    <s v="ORD-01018"/>
    <x v="72"/>
    <s v="CUST-0195"/>
    <s v="PROD-058"/>
    <x v="23"/>
    <n v="6"/>
    <n v="2400"/>
    <n v="1.4"/>
    <n v="14198.4"/>
    <s v="Completed"/>
    <s v="Bengaluru"/>
    <x v="1"/>
    <s v="Retail"/>
    <n v="28"/>
    <x v="1"/>
  </r>
  <r>
    <s v="ORD-01019"/>
    <x v="97"/>
    <s v="CUST-0181"/>
    <s v="PROD-036"/>
    <x v="13"/>
    <n v="10"/>
    <n v="3250"/>
    <n v="19.3"/>
    <n v="26227.5"/>
    <s v="Completed"/>
    <s v="Delhi"/>
    <x v="3"/>
    <s v="SMB"/>
    <n v="38"/>
    <x v="3"/>
  </r>
  <r>
    <s v="ORD-01020"/>
    <x v="260"/>
    <s v="CUST-0149"/>
    <s v="PROD-021"/>
    <x v="2"/>
    <n v="7"/>
    <n v="2760"/>
    <n v="23.6"/>
    <n v="14760.48"/>
    <s v="Pending"/>
    <s v="Hyderabad"/>
    <x v="2"/>
    <s v="Retail"/>
    <n v="44"/>
    <x v="1"/>
  </r>
  <r>
    <s v="ORD-01021"/>
    <x v="113"/>
    <s v="CUST-0152"/>
    <s v="PROD-003"/>
    <x v="19"/>
    <n v="3"/>
    <n v="3570"/>
    <n v="26.3"/>
    <n v="7893.27"/>
    <s v="Completed"/>
    <s v="Bengaluru"/>
    <x v="4"/>
    <s v="SMB"/>
    <n v="64"/>
    <x v="0"/>
  </r>
  <r>
    <s v="ORD-01022"/>
    <x v="40"/>
    <s v="CUST-0085"/>
    <s v="PROD-027"/>
    <x v="15"/>
    <n v="4"/>
    <n v="3780"/>
    <n v="10.1"/>
    <n v="13592.88"/>
    <s v="Completed"/>
    <s v="Chennai"/>
    <x v="2"/>
    <s v="Retail"/>
    <n v="26"/>
    <x v="1"/>
  </r>
  <r>
    <s v="ORD-01023"/>
    <x v="77"/>
    <s v="CUST-0231"/>
    <s v="PROD-007"/>
    <x v="7"/>
    <n v="10"/>
    <n v="1430"/>
    <n v="3.7"/>
    <n v="13770.9"/>
    <s v="Completed"/>
    <s v="Chennai"/>
    <x v="4"/>
    <s v="Retail"/>
    <n v="61"/>
    <x v="3"/>
  </r>
  <r>
    <s v="ORD-01024"/>
    <x v="91"/>
    <s v="CUST-0044"/>
    <s v="PROD-022"/>
    <x v="23"/>
    <n v="6"/>
    <n v="2270"/>
    <n v="7.9"/>
    <n v="12544.02"/>
    <s v="Refunded"/>
    <s v="Hyderabad"/>
    <x v="2"/>
    <s v="SMB"/>
    <n v="29"/>
    <x v="1"/>
  </r>
  <r>
    <s v="ORD-01025"/>
    <x v="5"/>
    <s v="CUST-0027"/>
    <s v="PROD-054"/>
    <x v="22"/>
    <n v="1"/>
    <n v="1010"/>
    <n v="6.9"/>
    <n v="940.31"/>
    <s v="Pending"/>
    <s v="Hyderabad"/>
    <x v="1"/>
    <s v="Corporate"/>
    <n v="52"/>
    <x v="1"/>
  </r>
  <r>
    <s v="ORD-01026"/>
    <x v="91"/>
    <s v="CUST-0101"/>
    <s v="PROD-055"/>
    <x v="2"/>
    <n v="2"/>
    <n v="2860"/>
    <n v="20.100000000000001"/>
    <n v="4570.28"/>
    <s v="Completed"/>
    <s v="Hyderabad"/>
    <x v="1"/>
    <s v="SMB"/>
    <n v="40"/>
    <x v="1"/>
  </r>
  <r>
    <s v="ORD-01027"/>
    <x v="76"/>
    <s v="CUST-0123"/>
    <s v="PROD-002"/>
    <x v="7"/>
    <n v="9"/>
    <n v="2600"/>
    <n v="15.9"/>
    <n v="19679.400000000001"/>
    <s v="Cancelled"/>
    <s v="Chennai"/>
    <x v="4"/>
    <s v="Corporate"/>
    <n v="44"/>
    <x v="3"/>
  </r>
  <r>
    <s v="ORD-01028"/>
    <x v="132"/>
    <s v="CUST-0124"/>
    <s v="PROD-053"/>
    <x v="6"/>
    <n v="10"/>
    <n v="470"/>
    <n v="23.1"/>
    <n v="3614.3"/>
    <s v="Pending"/>
    <s v="Pune"/>
    <x v="1"/>
    <s v="Retail"/>
    <n v="57"/>
    <x v="2"/>
  </r>
  <r>
    <s v="ORD-01029"/>
    <x v="185"/>
    <s v="CUST-0159"/>
    <s v="PROD-037"/>
    <x v="22"/>
    <n v="10"/>
    <n v="660"/>
    <n v="9.4"/>
    <n v="5979.6"/>
    <s v="Completed"/>
    <s v="Hyderabad"/>
    <x v="3"/>
    <s v="Retail"/>
    <n v="32"/>
    <x v="1"/>
  </r>
  <r>
    <s v="ORD-01030"/>
    <x v="246"/>
    <s v="CUST-0087"/>
    <s v="PROD-009"/>
    <x v="12"/>
    <n v="5"/>
    <n v="1220"/>
    <n v="23.3"/>
    <n v="4678.7"/>
    <s v="Completed"/>
    <s v="Pune"/>
    <x v="4"/>
    <s v="SMB"/>
    <n v="49"/>
    <x v="3"/>
  </r>
  <r>
    <s v="ORD-01031"/>
    <x v="137"/>
    <s v="CUST-0295"/>
    <s v="PROD-036"/>
    <x v="23"/>
    <n v="9"/>
    <n v="3250"/>
    <n v="19.600000000000001"/>
    <n v="23517"/>
    <s v="Pending"/>
    <s v="Delhi"/>
    <x v="3"/>
    <s v="SMB"/>
    <n v="48"/>
    <x v="1"/>
  </r>
  <r>
    <s v="ORD-01032"/>
    <x v="176"/>
    <s v="CUST-0211"/>
    <s v="PROD-016"/>
    <x v="26"/>
    <n v="7"/>
    <n v="620"/>
    <n v="29"/>
    <n v="3081.4"/>
    <s v="Completed"/>
    <s v="Bengaluru"/>
    <x v="0"/>
    <s v="Retail"/>
    <n v="36"/>
    <x v="3"/>
  </r>
  <r>
    <s v="ORD-01033"/>
    <x v="99"/>
    <s v="CUST-0265"/>
    <s v="PROD-026"/>
    <x v="3"/>
    <n v="9"/>
    <n v="4070"/>
    <n v="16.2"/>
    <n v="30695.94"/>
    <s v="Completed"/>
    <s v="Chennai"/>
    <x v="2"/>
    <s v="Retail"/>
    <n v="49"/>
    <x v="0"/>
  </r>
  <r>
    <s v="ORD-01034"/>
    <x v="116"/>
    <s v="CUST-0252"/>
    <s v="PROD-012"/>
    <x v="0"/>
    <n v="8"/>
    <n v="3160"/>
    <n v="23.8"/>
    <n v="19263.36"/>
    <s v="Completed"/>
    <s v="Bengaluru"/>
    <x v="0"/>
    <s v="Retail"/>
    <n v="27"/>
    <x v="0"/>
  </r>
  <r>
    <s v="ORD-01035"/>
    <x v="124"/>
    <s v="CUST-0180"/>
    <s v="PROD-029"/>
    <x v="24"/>
    <n v="3"/>
    <n v="2210"/>
    <n v="29.7"/>
    <n v="4660.8900000000003"/>
    <s v="Completed"/>
    <s v="Chennai"/>
    <x v="2"/>
    <s v="Retail"/>
    <n v="36"/>
    <x v="3"/>
  </r>
  <r>
    <s v="ORD-01036"/>
    <x v="268"/>
    <s v="CUST-0231"/>
    <s v="PROD-053"/>
    <x v="5"/>
    <n v="9"/>
    <n v="470"/>
    <n v="27.1"/>
    <n v="3083.67"/>
    <s v="Completed"/>
    <s v="Chennai"/>
    <x v="1"/>
    <s v="Retail"/>
    <n v="61"/>
    <x v="2"/>
  </r>
  <r>
    <s v="ORD-01037"/>
    <x v="81"/>
    <s v="CUST-0161"/>
    <s v="PROD-032"/>
    <x v="16"/>
    <n v="6"/>
    <n v="370"/>
    <n v="5.4"/>
    <n v="2100.12"/>
    <s v="Completed"/>
    <s v="Chennai"/>
    <x v="3"/>
    <s v="Retail"/>
    <n v="38"/>
    <x v="3"/>
  </r>
  <r>
    <s v="ORD-01038"/>
    <x v="263"/>
    <s v="CUST-0249"/>
    <s v="PROD-059"/>
    <x v="26"/>
    <n v="10"/>
    <n v="3780"/>
    <n v="21.5"/>
    <n v="29673"/>
    <s v="Pending"/>
    <s v="Mumbai"/>
    <x v="1"/>
    <s v="Retail"/>
    <n v="44"/>
    <x v="3"/>
  </r>
  <r>
    <s v="ORD-01039"/>
    <x v="344"/>
    <s v="CUST-0048"/>
    <s v="PROD-056"/>
    <x v="18"/>
    <n v="4"/>
    <n v="6940"/>
    <n v="3.9"/>
    <n v="26677.360000000001"/>
    <s v="Cancelled"/>
    <s v="Delhi"/>
    <x v="1"/>
    <s v="Retail"/>
    <n v="59"/>
    <x v="1"/>
  </r>
  <r>
    <s v="ORD-01040"/>
    <x v="233"/>
    <s v="CUST-0068"/>
    <s v="PROD-031"/>
    <x v="24"/>
    <n v="3"/>
    <n v="3730"/>
    <n v="20.7"/>
    <n v="8873.67"/>
    <s v="Completed"/>
    <s v="Delhi"/>
    <x v="3"/>
    <s v="SMB"/>
    <n v="48"/>
    <x v="3"/>
  </r>
  <r>
    <s v="ORD-01041"/>
    <x v="212"/>
    <s v="CUST-0213"/>
    <s v="PROD-034"/>
    <x v="5"/>
    <n v="8"/>
    <n v="5080"/>
    <n v="6.2"/>
    <n v="38120.32"/>
    <s v="Completed"/>
    <s v="Mumbai"/>
    <x v="3"/>
    <s v="Retail"/>
    <n v="37"/>
    <x v="2"/>
  </r>
  <r>
    <s v="ORD-01042"/>
    <x v="6"/>
    <s v="CUST-0159"/>
    <s v="PROD-052"/>
    <x v="19"/>
    <n v="5"/>
    <n v="5410"/>
    <n v="5.2"/>
    <n v="25643.4"/>
    <s v="Completed"/>
    <s v="Hyderabad"/>
    <x v="1"/>
    <s v="Retail"/>
    <n v="32"/>
    <x v="0"/>
  </r>
  <r>
    <s v="ORD-01043"/>
    <x v="280"/>
    <s v="CUST-0298"/>
    <s v="PROD-015"/>
    <x v="17"/>
    <n v="6"/>
    <n v="2720"/>
    <n v="29.8"/>
    <n v="11456.64"/>
    <s v="Pending"/>
    <s v="Delhi"/>
    <x v="0"/>
    <s v="Retail"/>
    <n v="44"/>
    <x v="2"/>
  </r>
  <r>
    <s v="ORD-01044"/>
    <x v="290"/>
    <s v="CUST-0145"/>
    <s v="PROD-009"/>
    <x v="9"/>
    <n v="1"/>
    <n v="1220"/>
    <n v="22.6"/>
    <n v="944.28"/>
    <s v="Completed"/>
    <s v="Bengaluru"/>
    <x v="4"/>
    <s v="SMB"/>
    <n v="44"/>
    <x v="1"/>
  </r>
  <r>
    <s v="ORD-01045"/>
    <x v="93"/>
    <s v="CUST-0015"/>
    <s v="PROD-046"/>
    <x v="4"/>
    <n v="10"/>
    <n v="4880"/>
    <n v="7.3"/>
    <n v="45237.599999999999"/>
    <s v="Completed"/>
    <s v="Chennai"/>
    <x v="5"/>
    <s v="Retail"/>
    <n v="31"/>
    <x v="0"/>
  </r>
  <r>
    <s v="ORD-01046"/>
    <x v="216"/>
    <s v="CUST-0054"/>
    <s v="PROD-022"/>
    <x v="13"/>
    <n v="10"/>
    <n v="2270"/>
    <n v="1.6"/>
    <n v="22336.799999999999"/>
    <s v="Completed"/>
    <s v="Mumbai"/>
    <x v="2"/>
    <s v="Corporate"/>
    <n v="62"/>
    <x v="3"/>
  </r>
  <r>
    <s v="ORD-01047"/>
    <x v="55"/>
    <s v="CUST-0150"/>
    <s v="PROD-030"/>
    <x v="11"/>
    <n v="8"/>
    <n v="970"/>
    <n v="13.1"/>
    <n v="6743.44"/>
    <s v="Completed"/>
    <s v="Pune"/>
    <x v="2"/>
    <s v="SMB"/>
    <n v="53"/>
    <x v="0"/>
  </r>
  <r>
    <s v="ORD-01048"/>
    <x v="34"/>
    <s v="CUST-0096"/>
    <s v="PROD-023"/>
    <x v="27"/>
    <n v="7"/>
    <n v="2380"/>
    <n v="10.6"/>
    <n v="14894.04"/>
    <s v="Cancelled"/>
    <s v="Delhi"/>
    <x v="2"/>
    <s v="Corporate"/>
    <n v="27"/>
    <x v="1"/>
  </r>
  <r>
    <s v="ORD-01049"/>
    <x v="56"/>
    <s v="CUST-0288"/>
    <s v="PROD-014"/>
    <x v="29"/>
    <n v="6"/>
    <n v="3620"/>
    <n v="21.3"/>
    <n v="17093.64"/>
    <s v="Cancelled"/>
    <s v="Hyderabad"/>
    <x v="0"/>
    <s v="Corporate"/>
    <n v="25"/>
    <x v="1"/>
  </r>
  <r>
    <s v="ORD-01050"/>
    <x v="122"/>
    <s v="CUST-0048"/>
    <s v="PROD-026"/>
    <x v="28"/>
    <n v="3"/>
    <n v="4070"/>
    <n v="8.1999999999999993"/>
    <n v="11208.78"/>
    <s v="Cancelled"/>
    <s v="Delhi"/>
    <x v="2"/>
    <s v="Retail"/>
    <n v="59"/>
    <x v="2"/>
  </r>
  <r>
    <s v="ORD-01051"/>
    <x v="344"/>
    <s v="CUST-0104"/>
    <s v="PROD-048"/>
    <x v="17"/>
    <n v="8"/>
    <n v="5100"/>
    <n v="26.9"/>
    <n v="29824.799999999999"/>
    <s v="Completed"/>
    <s v="Hyderabad"/>
    <x v="5"/>
    <s v="Corporate"/>
    <n v="43"/>
    <x v="2"/>
  </r>
  <r>
    <s v="ORD-01052"/>
    <x v="197"/>
    <s v="CUST-0054"/>
    <s v="PROD-045"/>
    <x v="21"/>
    <n v="3"/>
    <n v="3020"/>
    <n v="18.5"/>
    <n v="7383.9"/>
    <s v="Cancelled"/>
    <s v="Mumbai"/>
    <x v="5"/>
    <s v="Corporate"/>
    <n v="62"/>
    <x v="3"/>
  </r>
  <r>
    <s v="ORD-01053"/>
    <x v="148"/>
    <s v="CUST-0158"/>
    <s v="PROD-049"/>
    <x v="25"/>
    <n v="8"/>
    <n v="960"/>
    <n v="7.1"/>
    <n v="7134.72"/>
    <s v="Completed"/>
    <s v="Pune"/>
    <x v="5"/>
    <s v="Corporate"/>
    <n v="42"/>
    <x v="0"/>
  </r>
  <r>
    <s v="ORD-01054"/>
    <x v="266"/>
    <s v="CUST-0231"/>
    <s v="PROD-034"/>
    <x v="15"/>
    <n v="8"/>
    <n v="5080"/>
    <n v="6.2"/>
    <n v="38120.32"/>
    <s v="Completed"/>
    <s v="Chennai"/>
    <x v="3"/>
    <s v="Retail"/>
    <n v="61"/>
    <x v="1"/>
  </r>
  <r>
    <s v="ORD-01055"/>
    <x v="295"/>
    <s v="CUST-0277"/>
    <s v="PROD-050"/>
    <x v="9"/>
    <n v="6"/>
    <n v="6080"/>
    <n v="25.8"/>
    <n v="27068.16"/>
    <s v="Completed"/>
    <s v="Chennai"/>
    <x v="5"/>
    <s v="Corporate"/>
    <n v="34"/>
    <x v="1"/>
  </r>
  <r>
    <s v="ORD-01056"/>
    <x v="227"/>
    <s v="CUST-0232"/>
    <s v="PROD-041"/>
    <x v="9"/>
    <n v="5"/>
    <n v="1540"/>
    <n v="24.6"/>
    <n v="5805.8"/>
    <s v="Completed"/>
    <s v="Hyderabad"/>
    <x v="5"/>
    <s v="Retail"/>
    <n v="38"/>
    <x v="1"/>
  </r>
  <r>
    <s v="ORD-01057"/>
    <x v="280"/>
    <s v="CUST-0074"/>
    <s v="PROD-054"/>
    <x v="6"/>
    <n v="4"/>
    <n v="1010"/>
    <n v="2.9"/>
    <n v="3922.84"/>
    <s v="Pending"/>
    <s v="Bengaluru"/>
    <x v="1"/>
    <s v="Retail"/>
    <n v="27"/>
    <x v="2"/>
  </r>
  <r>
    <s v="ORD-01058"/>
    <x v="261"/>
    <s v="CUST-0068"/>
    <s v="PROD-049"/>
    <x v="17"/>
    <n v="5"/>
    <n v="960"/>
    <n v="11.4"/>
    <n v="4252.8"/>
    <s v="Completed"/>
    <s v="Delhi"/>
    <x v="5"/>
    <s v="SMB"/>
    <n v="48"/>
    <x v="2"/>
  </r>
  <r>
    <s v="ORD-01059"/>
    <x v="111"/>
    <s v="CUST-0152"/>
    <s v="PROD-041"/>
    <x v="9"/>
    <n v="1"/>
    <n v="1540"/>
    <n v="5.6"/>
    <n v="1453.76"/>
    <s v="Completed"/>
    <s v="Bengaluru"/>
    <x v="5"/>
    <s v="SMB"/>
    <n v="64"/>
    <x v="1"/>
  </r>
  <r>
    <s v="ORD-01060"/>
    <x v="245"/>
    <s v="CUST-0046"/>
    <s v="PROD-043"/>
    <x v="7"/>
    <n v="9"/>
    <n v="3350"/>
    <n v="2.1"/>
    <n v="29516.85"/>
    <s v="Completed"/>
    <s v="Delhi"/>
    <x v="5"/>
    <s v="SMB"/>
    <n v="45"/>
    <x v="3"/>
  </r>
  <r>
    <s v="ORD-01061"/>
    <x v="260"/>
    <s v="CUST-0201"/>
    <s v="PROD-051"/>
    <x v="13"/>
    <n v="7"/>
    <n v="3450"/>
    <n v="4.7"/>
    <n v="23014.95"/>
    <s v="Completed"/>
    <s v="Hyderabad"/>
    <x v="1"/>
    <s v="Retail"/>
    <n v="31"/>
    <x v="3"/>
  </r>
  <r>
    <s v="ORD-01062"/>
    <x v="345"/>
    <s v="CUST-0191"/>
    <s v="PROD-057"/>
    <x v="7"/>
    <n v="10"/>
    <n v="960"/>
    <n v="17.899999999999999"/>
    <n v="7881.6"/>
    <s v="Completed"/>
    <s v="Hyderabad"/>
    <x v="1"/>
    <s v="SMB"/>
    <n v="43"/>
    <x v="3"/>
  </r>
  <r>
    <s v="ORD-01063"/>
    <x v="7"/>
    <s v="CUST-0192"/>
    <s v="PROD-013"/>
    <x v="2"/>
    <n v="1"/>
    <n v="3640"/>
    <n v="8.8000000000000007"/>
    <n v="3319.68"/>
    <s v="Completed"/>
    <s v="Bengaluru"/>
    <x v="0"/>
    <s v="Retail"/>
    <n v="55"/>
    <x v="1"/>
  </r>
  <r>
    <s v="ORD-01064"/>
    <x v="239"/>
    <s v="CUST-0074"/>
    <s v="PROD-029"/>
    <x v="21"/>
    <n v="1"/>
    <n v="2210"/>
    <n v="10.7"/>
    <n v="1973.53"/>
    <s v="Completed"/>
    <s v="Bengaluru"/>
    <x v="2"/>
    <s v="Retail"/>
    <n v="27"/>
    <x v="3"/>
  </r>
  <r>
    <s v="ORD-01065"/>
    <x v="125"/>
    <s v="CUST-0071"/>
    <s v="PROD-031"/>
    <x v="1"/>
    <n v="2"/>
    <n v="3730"/>
    <n v="13.9"/>
    <n v="6423.06"/>
    <s v="Completed"/>
    <s v="Delhi"/>
    <x v="3"/>
    <s v="Corporate"/>
    <n v="46"/>
    <x v="0"/>
  </r>
  <r>
    <s v="ORD-01066"/>
    <x v="176"/>
    <s v="CUST-0210"/>
    <s v="PROD-052"/>
    <x v="9"/>
    <n v="7"/>
    <n v="5410"/>
    <n v="23.6"/>
    <n v="28932.68"/>
    <s v="Completed"/>
    <s v="Pune"/>
    <x v="1"/>
    <s v="Corporate"/>
    <n v="48"/>
    <x v="1"/>
  </r>
  <r>
    <s v="ORD-01067"/>
    <x v="221"/>
    <s v="CUST-0054"/>
    <s v="PROD-027"/>
    <x v="26"/>
    <n v="7"/>
    <n v="3780"/>
    <n v="8.5"/>
    <n v="24210.9"/>
    <s v="Cancelled"/>
    <s v="Mumbai"/>
    <x v="2"/>
    <s v="Corporate"/>
    <n v="62"/>
    <x v="3"/>
  </r>
  <r>
    <s v="ORD-01068"/>
    <x v="122"/>
    <s v="CUST-0194"/>
    <s v="PROD-039"/>
    <x v="29"/>
    <n v="9"/>
    <n v="4610"/>
    <n v="26.6"/>
    <n v="30453.66"/>
    <s v="Completed"/>
    <s v="Delhi"/>
    <x v="3"/>
    <s v="SMB"/>
    <n v="55"/>
    <x v="1"/>
  </r>
  <r>
    <s v="ORD-01069"/>
    <x v="41"/>
    <s v="CUST-0231"/>
    <s v="PROD-010"/>
    <x v="5"/>
    <n v="5"/>
    <n v="2640"/>
    <n v="1.5"/>
    <n v="13002"/>
    <s v="Completed"/>
    <s v="Chennai"/>
    <x v="4"/>
    <s v="Retail"/>
    <n v="61"/>
    <x v="2"/>
  </r>
  <r>
    <s v="ORD-01070"/>
    <x v="50"/>
    <s v="CUST-0053"/>
    <s v="PROD-014"/>
    <x v="9"/>
    <n v="3"/>
    <n v="3620"/>
    <n v="3.1"/>
    <n v="10523.34"/>
    <s v="Completed"/>
    <s v="Delhi"/>
    <x v="0"/>
    <s v="Retail"/>
    <n v="53"/>
    <x v="1"/>
  </r>
  <r>
    <s v="ORD-01071"/>
    <x v="21"/>
    <s v="CUST-0290"/>
    <s v="PROD-053"/>
    <x v="26"/>
    <n v="5"/>
    <n v="470"/>
    <n v="10.6"/>
    <n v="2100.9"/>
    <s v="Cancelled"/>
    <s v="Delhi"/>
    <x v="1"/>
    <s v="Retail"/>
    <n v="63"/>
    <x v="3"/>
  </r>
  <r>
    <s v="ORD-01072"/>
    <x v="113"/>
    <s v="CUST-0261"/>
    <s v="PROD-001"/>
    <x v="18"/>
    <n v="7"/>
    <n v="5330"/>
    <n v="25"/>
    <n v="27982.5"/>
    <s v="Cancelled"/>
    <s v="Delhi"/>
    <x v="4"/>
    <s v="Retail"/>
    <n v="54"/>
    <x v="1"/>
  </r>
  <r>
    <s v="ORD-01073"/>
    <x v="346"/>
    <s v="CUST-0045"/>
    <s v="PROD-050"/>
    <x v="2"/>
    <n v="1"/>
    <n v="6080"/>
    <n v="27.8"/>
    <n v="4389.76"/>
    <s v="Completed"/>
    <s v="Chennai"/>
    <x v="5"/>
    <s v="SMB"/>
    <n v="39"/>
    <x v="1"/>
  </r>
  <r>
    <s v="ORD-01074"/>
    <x v="324"/>
    <s v="CUST-0064"/>
    <s v="PROD-043"/>
    <x v="6"/>
    <n v="6"/>
    <n v="3350"/>
    <n v="12"/>
    <n v="17688"/>
    <s v="Completed"/>
    <s v="Hyderabad"/>
    <x v="5"/>
    <s v="SMB"/>
    <n v="40"/>
    <x v="2"/>
  </r>
  <r>
    <s v="ORD-01075"/>
    <x v="95"/>
    <s v="CUST-9754"/>
    <s v="PROD-056"/>
    <x v="28"/>
    <n v="6"/>
    <n v="6940"/>
    <n v="20"/>
    <n v="33312"/>
    <s v="Completed"/>
    <s v="Chennai"/>
    <x v="1"/>
    <e v="#N/A"/>
    <e v="#N/A"/>
    <x v="2"/>
  </r>
  <r>
    <s v="ORD-01076"/>
    <x v="184"/>
    <s v="CUST-0200"/>
    <s v="PROD-032"/>
    <x v="0"/>
    <n v="1"/>
    <n v="370"/>
    <n v="10"/>
    <n v="333"/>
    <s v="Completed"/>
    <s v="Hyderabad"/>
    <x v="3"/>
    <s v="Corporate"/>
    <n v="46"/>
    <x v="0"/>
  </r>
  <r>
    <s v="ORD-01077"/>
    <x v="39"/>
    <s v="CUST-0058"/>
    <s v="PROD-038"/>
    <x v="16"/>
    <n v="2"/>
    <n v="5490"/>
    <n v="27.9"/>
    <n v="7916.58"/>
    <s v="Completed"/>
    <s v="Bengaluru"/>
    <x v="3"/>
    <s v="SMB"/>
    <n v="49"/>
    <x v="3"/>
  </r>
  <r>
    <s v="ORD-01078"/>
    <x v="319"/>
    <s v="CUST-0156"/>
    <s v="PROD-028"/>
    <x v="18"/>
    <n v="5"/>
    <n v="3660"/>
    <n v="4.5999999999999996"/>
    <n v="17458.2"/>
    <s v="Completed"/>
    <s v="Mumbai"/>
    <x v="2"/>
    <s v="Retail"/>
    <n v="33"/>
    <x v="1"/>
  </r>
  <r>
    <s v="ORD-01079"/>
    <x v="232"/>
    <s v="CUST-0107"/>
    <s v="PROD-005"/>
    <x v="20"/>
    <n v="6"/>
    <n v="300"/>
    <n v="9"/>
    <n v="1638"/>
    <s v="Completed"/>
    <s v="Pune"/>
    <x v="4"/>
    <s v="Retail"/>
    <n v="50"/>
    <x v="2"/>
  </r>
  <r>
    <s v="ORD-01080"/>
    <x v="271"/>
    <s v="CUST-0184"/>
    <s v="PROD-005"/>
    <x v="27"/>
    <n v="3"/>
    <n v="300"/>
    <n v="19.2"/>
    <n v="727.2"/>
    <s v="Completed"/>
    <s v="Pune"/>
    <x v="4"/>
    <s v="Retail"/>
    <n v="63"/>
    <x v="1"/>
  </r>
  <r>
    <s v="ORD-01081"/>
    <x v="205"/>
    <s v="CUST-0202"/>
    <s v="PROD-049"/>
    <x v="2"/>
    <n v="6"/>
    <n v="960"/>
    <n v="29.3"/>
    <n v="4072.32"/>
    <s v="Cancelled"/>
    <s v="Chennai"/>
    <x v="5"/>
    <s v="Retail"/>
    <n v="39"/>
    <x v="1"/>
  </r>
  <r>
    <s v="ORD-01082"/>
    <x v="266"/>
    <s v="CUST-0137"/>
    <s v="PROD-022"/>
    <x v="5"/>
    <n v="1"/>
    <n v="2270"/>
    <n v="12.4"/>
    <n v="1988.52"/>
    <s v="Completed"/>
    <s v="Mumbai"/>
    <x v="2"/>
    <s v="Retail"/>
    <n v="41"/>
    <x v="2"/>
  </r>
  <r>
    <s v="ORD-01083"/>
    <x v="110"/>
    <s v="CUST-0108"/>
    <s v="PROD-033"/>
    <x v="28"/>
    <n v="10"/>
    <n v="2030"/>
    <n v="4"/>
    <n v="19488"/>
    <s v="Completed"/>
    <s v="Bengaluru"/>
    <x v="3"/>
    <s v="Corporate"/>
    <n v="59"/>
    <x v="2"/>
  </r>
  <r>
    <s v="ORD-01084"/>
    <x v="303"/>
    <s v="CUST-0126"/>
    <s v="PROD-040"/>
    <x v="13"/>
    <n v="9"/>
    <n v="1080"/>
    <n v="19.2"/>
    <n v="7853.76"/>
    <s v="Pending"/>
    <s v="Mumbai"/>
    <x v="3"/>
    <s v="Retail"/>
    <n v="37"/>
    <x v="3"/>
  </r>
  <r>
    <s v="ORD-01085"/>
    <x v="113"/>
    <s v="CUST-0107"/>
    <s v="PROD-055"/>
    <x v="5"/>
    <n v="5"/>
    <n v="2860"/>
    <n v="25"/>
    <n v="10725"/>
    <s v="Pending"/>
    <s v="Pune"/>
    <x v="1"/>
    <s v="Retail"/>
    <n v="50"/>
    <x v="2"/>
  </r>
  <r>
    <s v="ORD-01086"/>
    <x v="276"/>
    <s v="CUST-0071"/>
    <s v="PROD-024"/>
    <x v="27"/>
    <n v="6"/>
    <n v="2270"/>
    <n v="9.3000000000000007"/>
    <n v="12353.34"/>
    <s v="Completed"/>
    <s v="Delhi"/>
    <x v="2"/>
    <s v="Corporate"/>
    <n v="46"/>
    <x v="1"/>
  </r>
  <r>
    <s v="ORD-01087"/>
    <x v="60"/>
    <s v="CUST-0238"/>
    <s v="PROD-015"/>
    <x v="6"/>
    <n v="1"/>
    <n v="2720"/>
    <n v="15.2"/>
    <n v="2306.56"/>
    <s v="Completed"/>
    <s v="Delhi"/>
    <x v="0"/>
    <s v="Retail"/>
    <n v="49"/>
    <x v="2"/>
  </r>
  <r>
    <s v="ORD-01088"/>
    <x v="198"/>
    <s v="CUST-0022"/>
    <s v="PROD-004"/>
    <x v="1"/>
    <n v="10"/>
    <n v="3870"/>
    <n v="4.9000000000000004"/>
    <n v="36803.699999999997"/>
    <s v="Cancelled"/>
    <s v="Bengaluru"/>
    <x v="4"/>
    <s v="Corporate"/>
    <n v="55"/>
    <x v="0"/>
  </r>
  <r>
    <s v="ORD-01089"/>
    <x v="10"/>
    <s v="CUST-0100"/>
    <s v="PROD-011"/>
    <x v="7"/>
    <n v="8"/>
    <n v="3450"/>
    <n v="20.6"/>
    <n v="21914.400000000001"/>
    <s v="Completed"/>
    <s v="Hyderabad"/>
    <x v="0"/>
    <s v="Corporate"/>
    <n v="60"/>
    <x v="3"/>
  </r>
  <r>
    <s v="ORD-01090"/>
    <x v="5"/>
    <s v="CUST-0263"/>
    <s v="PROD-053"/>
    <x v="25"/>
    <n v="1"/>
    <n v="470"/>
    <n v="5.4"/>
    <n v="444.62"/>
    <s v="Refunded"/>
    <s v="Mumbai"/>
    <x v="1"/>
    <s v="Retail"/>
    <n v="40"/>
    <x v="0"/>
  </r>
  <r>
    <s v="ORD-01091"/>
    <x v="171"/>
    <s v="CUST-0032"/>
    <s v="PROD-006"/>
    <x v="18"/>
    <n v="5"/>
    <n v="3970"/>
    <n v="5.8"/>
    <n v="18698.7"/>
    <s v="Completed"/>
    <s v="Hyderabad"/>
    <x v="4"/>
    <s v="Retail"/>
    <n v="28"/>
    <x v="1"/>
  </r>
  <r>
    <s v="ORD-01092"/>
    <x v="277"/>
    <s v="CUST-0227"/>
    <s v="PROD-048"/>
    <x v="27"/>
    <n v="2"/>
    <n v="5100"/>
    <n v="19.899999999999999"/>
    <n v="8170.2"/>
    <s v="Completed"/>
    <s v="Bengaluru"/>
    <x v="5"/>
    <s v="SMB"/>
    <n v="44"/>
    <x v="1"/>
  </r>
  <r>
    <s v="ORD-01093"/>
    <x v="165"/>
    <s v="CUST-0124"/>
    <s v="PROD-047"/>
    <x v="19"/>
    <n v="6"/>
    <n v="3450"/>
    <n v="13"/>
    <n v="18009"/>
    <s v="Completed"/>
    <s v="Pune"/>
    <x v="5"/>
    <s v="Retail"/>
    <n v="57"/>
    <x v="0"/>
  </r>
  <r>
    <s v="ORD-01094"/>
    <x v="168"/>
    <s v="CUST-0276"/>
    <s v="PROD-031"/>
    <x v="27"/>
    <n v="9"/>
    <n v="3730"/>
    <n v="15.5"/>
    <n v="28366.65"/>
    <s v="Completed"/>
    <s v="Chennai"/>
    <x v="3"/>
    <s v="Retail"/>
    <n v="26"/>
    <x v="1"/>
  </r>
  <r>
    <s v="ORD-01095"/>
    <x v="242"/>
    <s v="CUST-0100"/>
    <s v="PROD-049"/>
    <x v="16"/>
    <n v="5"/>
    <n v="960"/>
    <n v="9.3000000000000007"/>
    <n v="4353.6000000000004"/>
    <s v="Completed"/>
    <s v="Hyderabad"/>
    <x v="5"/>
    <s v="Corporate"/>
    <n v="60"/>
    <x v="3"/>
  </r>
  <r>
    <s v="ORD-01096"/>
    <x v="187"/>
    <s v="CUST-0221"/>
    <s v="PROD-034"/>
    <x v="4"/>
    <n v="3"/>
    <n v="5080"/>
    <n v="17.399999999999999"/>
    <n v="12588.24"/>
    <s v="Cancelled"/>
    <s v="Delhi"/>
    <x v="3"/>
    <s v="SMB"/>
    <n v="29"/>
    <x v="0"/>
  </r>
  <r>
    <s v="ORD-01097"/>
    <x v="212"/>
    <s v="CUST-0266"/>
    <s v="PROD-004"/>
    <x v="11"/>
    <n v="4"/>
    <n v="3870"/>
    <n v="20.5"/>
    <n v="12306.6"/>
    <s v="Pending"/>
    <s v="Pune"/>
    <x v="4"/>
    <s v="Retail"/>
    <n v="65"/>
    <x v="0"/>
  </r>
  <r>
    <s v="ORD-01098"/>
    <x v="72"/>
    <s v="CUST-0210"/>
    <s v="PROD-059"/>
    <x v="6"/>
    <n v="1"/>
    <n v="3780"/>
    <n v="21.5"/>
    <n v="2967.3"/>
    <s v="Completed"/>
    <s v="Pune"/>
    <x v="1"/>
    <s v="Corporate"/>
    <n v="48"/>
    <x v="2"/>
  </r>
  <r>
    <s v="ORD-01099"/>
    <x v="81"/>
    <s v="CUST-0293"/>
    <s v="PROD-004"/>
    <x v="21"/>
    <n v="3"/>
    <n v="3870"/>
    <n v="21.9"/>
    <n v="9067.41"/>
    <s v="Pending"/>
    <s v="Bengaluru"/>
    <x v="4"/>
    <s v="Retail"/>
    <n v="27"/>
    <x v="3"/>
  </r>
  <r>
    <s v="ORD-01100"/>
    <x v="113"/>
    <s v="CUST-0291"/>
    <s v="PROD-033"/>
    <x v="18"/>
    <n v="4"/>
    <n v="2030"/>
    <n v="23.4"/>
    <n v="6219.92"/>
    <s v="Completed"/>
    <s v="Pune"/>
    <x v="3"/>
    <s v="SMB"/>
    <n v="29"/>
    <x v="1"/>
  </r>
  <r>
    <s v="ORD-01101"/>
    <x v="192"/>
    <s v="CUST-0295"/>
    <s v="PROD-029"/>
    <x v="11"/>
    <n v="6"/>
    <n v="2210"/>
    <n v="9.1"/>
    <n v="12053.34"/>
    <s v="Completed"/>
    <s v="Delhi"/>
    <x v="2"/>
    <s v="SMB"/>
    <n v="48"/>
    <x v="0"/>
  </r>
  <r>
    <s v="ORD-01102"/>
    <x v="180"/>
    <s v="CUST-0123"/>
    <s v="PROD-041"/>
    <x v="21"/>
    <n v="5"/>
    <n v="1540"/>
    <n v="18.100000000000001"/>
    <n v="6306.3"/>
    <s v="Completed"/>
    <s v="Chennai"/>
    <x v="5"/>
    <s v="Corporate"/>
    <n v="44"/>
    <x v="3"/>
  </r>
  <r>
    <s v="ORD-01103"/>
    <x v="274"/>
    <s v="CUST-0167"/>
    <s v="PROD-054"/>
    <x v="23"/>
    <n v="1"/>
    <n v="1010"/>
    <n v="7.3"/>
    <n v="936.27"/>
    <s v="Completed"/>
    <s v="Delhi"/>
    <x v="1"/>
    <s v="Retail"/>
    <n v="43"/>
    <x v="1"/>
  </r>
  <r>
    <s v="ORD-01104"/>
    <x v="107"/>
    <s v="CUST-0247"/>
    <s v="PROD-001"/>
    <x v="15"/>
    <n v="10"/>
    <n v="5330"/>
    <n v="27.3"/>
    <n v="38749.1"/>
    <s v="Completed"/>
    <s v="Pune"/>
    <x v="4"/>
    <s v="SMB"/>
    <n v="35"/>
    <x v="1"/>
  </r>
  <r>
    <s v="ORD-01105"/>
    <x v="289"/>
    <s v="CUST-0224"/>
    <s v="PROD-003"/>
    <x v="24"/>
    <n v="7"/>
    <n v="3570"/>
    <n v="24.3"/>
    <n v="18917.43"/>
    <s v="Completed"/>
    <s v="Chennai"/>
    <x v="4"/>
    <s v="Corporate"/>
    <n v="24"/>
    <x v="3"/>
  </r>
  <r>
    <s v="ORD-01106"/>
    <x v="28"/>
    <s v="CUST-0102"/>
    <s v="PROD-043"/>
    <x v="21"/>
    <n v="1"/>
    <n v="3350"/>
    <n v="14.9"/>
    <n v="2850.85"/>
    <s v="Completed"/>
    <s v="Chennai"/>
    <x v="5"/>
    <s v="SMB"/>
    <n v="62"/>
    <x v="3"/>
  </r>
  <r>
    <s v="ORD-01107"/>
    <x v="110"/>
    <s v="CUST-0151"/>
    <s v="PROD-017"/>
    <x v="12"/>
    <n v="2"/>
    <n v="2510"/>
    <n v="10.6"/>
    <n v="4487.88"/>
    <s v="Completed"/>
    <s v="Mumbai"/>
    <x v="0"/>
    <s v="Retail"/>
    <n v="53"/>
    <x v="3"/>
  </r>
  <r>
    <s v="ORD-01108"/>
    <x v="264"/>
    <s v="CUST-0182"/>
    <s v="PROD-030"/>
    <x v="5"/>
    <n v="5"/>
    <n v="970"/>
    <n v="6.8"/>
    <n v="4520.2"/>
    <s v="Pending"/>
    <s v="Mumbai"/>
    <x v="2"/>
    <s v="Retail"/>
    <n v="54"/>
    <x v="2"/>
  </r>
  <r>
    <s v="ORD-01109"/>
    <x v="281"/>
    <s v="CUST-0152"/>
    <s v="PROD-027"/>
    <x v="25"/>
    <n v="5"/>
    <n v="3780"/>
    <n v="16.600000000000001"/>
    <n v="15762.6"/>
    <s v="Completed"/>
    <s v="Bengaluru"/>
    <x v="2"/>
    <s v="SMB"/>
    <n v="64"/>
    <x v="0"/>
  </r>
  <r>
    <s v="ORD-01110"/>
    <x v="229"/>
    <s v="CUST-0247"/>
    <s v="PROD-017"/>
    <x v="0"/>
    <n v="3"/>
    <n v="2510"/>
    <n v="24.9"/>
    <n v="5655.03"/>
    <s v="Cancelled"/>
    <s v="Pune"/>
    <x v="0"/>
    <s v="SMB"/>
    <n v="35"/>
    <x v="0"/>
  </r>
  <r>
    <s v="ORD-01111"/>
    <x v="289"/>
    <s v="CUST-0220"/>
    <s v="PROD-033"/>
    <x v="4"/>
    <n v="3"/>
    <n v="2030"/>
    <n v="3.8"/>
    <n v="5858.58"/>
    <s v="Completed"/>
    <s v="Chennai"/>
    <x v="3"/>
    <s v="Retail"/>
    <n v="34"/>
    <x v="0"/>
  </r>
  <r>
    <s v="ORD-01112"/>
    <x v="35"/>
    <s v="CUST-0206"/>
    <s v="PROD-060"/>
    <x v="2"/>
    <n v="9"/>
    <n v="190"/>
    <n v="5.4"/>
    <n v="1617.66"/>
    <s v="Completed"/>
    <s v="Mumbai"/>
    <x v="1"/>
    <s v="Retail"/>
    <n v="40"/>
    <x v="1"/>
  </r>
  <r>
    <s v="ORD-01113"/>
    <x v="200"/>
    <s v="CUST-0219"/>
    <s v="PROD-029"/>
    <x v="16"/>
    <n v="6"/>
    <n v="2210"/>
    <n v="29.4"/>
    <n v="9361.56"/>
    <s v="Completed"/>
    <s v="Chennai"/>
    <x v="2"/>
    <s v="Corporate"/>
    <n v="38"/>
    <x v="3"/>
  </r>
  <r>
    <s v="ORD-01114"/>
    <x v="14"/>
    <s v="CUST-0298"/>
    <s v="PROD-013"/>
    <x v="1"/>
    <n v="4"/>
    <n v="3640"/>
    <n v="0.6"/>
    <n v="14472.64"/>
    <s v="Completed"/>
    <s v="Delhi"/>
    <x v="0"/>
    <s v="Retail"/>
    <n v="44"/>
    <x v="0"/>
  </r>
  <r>
    <s v="ORD-01115"/>
    <x v="17"/>
    <s v="CUST-0254"/>
    <s v="PROD-009"/>
    <x v="18"/>
    <n v="9"/>
    <n v="1220"/>
    <n v="24.1"/>
    <n v="8333.82"/>
    <s v="Completed"/>
    <s v="Bengaluru"/>
    <x v="4"/>
    <s v="Retail"/>
    <n v="35"/>
    <x v="1"/>
  </r>
  <r>
    <s v="ORD-01116"/>
    <x v="73"/>
    <s v="CUST-0085"/>
    <s v="PROD-056"/>
    <x v="18"/>
    <n v="2"/>
    <n v="6940"/>
    <n v="27"/>
    <n v="10132.4"/>
    <s v="Completed"/>
    <s v="Chennai"/>
    <x v="1"/>
    <s v="Retail"/>
    <n v="26"/>
    <x v="1"/>
  </r>
  <r>
    <s v="ORD-01117"/>
    <x v="117"/>
    <s v="CUST-0181"/>
    <s v="PROD-055"/>
    <x v="9"/>
    <n v="6"/>
    <n v="2860"/>
    <n v="6.6"/>
    <n v="16027.44"/>
    <s v="Completed"/>
    <s v="Delhi"/>
    <x v="1"/>
    <s v="SMB"/>
    <n v="38"/>
    <x v="1"/>
  </r>
  <r>
    <s v="ORD-01118"/>
    <x v="182"/>
    <s v="CUST-0143"/>
    <s v="PROD-015"/>
    <x v="26"/>
    <n v="5"/>
    <n v="2720"/>
    <n v="21.4"/>
    <n v="10689.6"/>
    <s v="Completed"/>
    <s v="Chennai"/>
    <x v="0"/>
    <s v="SMB"/>
    <n v="52"/>
    <x v="3"/>
  </r>
  <r>
    <s v="ORD-01119"/>
    <x v="338"/>
    <s v="CUST-0263"/>
    <s v="PROD-020"/>
    <x v="3"/>
    <n v="5"/>
    <n v="820"/>
    <n v="28.6"/>
    <n v="2927.4"/>
    <s v="Completed"/>
    <s v="Mumbai"/>
    <x v="0"/>
    <s v="Retail"/>
    <n v="40"/>
    <x v="0"/>
  </r>
  <r>
    <s v="ORD-01120"/>
    <x v="135"/>
    <s v="CUST-0105"/>
    <s v="PROD-042"/>
    <x v="24"/>
    <n v="6"/>
    <n v="2290"/>
    <n v="18.8"/>
    <n v="11156.88"/>
    <s v="Completed"/>
    <s v="Chennai"/>
    <x v="5"/>
    <s v="SMB"/>
    <n v="51"/>
    <x v="3"/>
  </r>
  <r>
    <s v="ORD-01121"/>
    <x v="18"/>
    <s v="CUST-0256"/>
    <s v="PROD-047"/>
    <x v="13"/>
    <n v="6"/>
    <n v="3450"/>
    <n v="28.4"/>
    <n v="14821.2"/>
    <s v="Completed"/>
    <s v="Hyderabad"/>
    <x v="5"/>
    <s v="Retail"/>
    <n v="28"/>
    <x v="3"/>
  </r>
  <r>
    <s v="ORD-01122"/>
    <x v="1"/>
    <s v="CUST-0260"/>
    <s v="PROD-033"/>
    <x v="25"/>
    <n v="10"/>
    <n v="2030"/>
    <n v="8"/>
    <n v="18676"/>
    <s v="Completed"/>
    <s v="Bengaluru"/>
    <x v="3"/>
    <s v="Retail"/>
    <n v="42"/>
    <x v="0"/>
  </r>
  <r>
    <s v="ORD-01123"/>
    <x v="239"/>
    <s v="CUST-0233"/>
    <s v="PROD-058"/>
    <x v="24"/>
    <n v="1"/>
    <n v="2400"/>
    <n v="9.6999999999999993"/>
    <n v="2167.1999999999998"/>
    <s v="Completed"/>
    <s v="Mumbai"/>
    <x v="1"/>
    <s v="SMB"/>
    <n v="65"/>
    <x v="3"/>
  </r>
  <r>
    <s v="ORD-01124"/>
    <x v="264"/>
    <s v="CUST-0183"/>
    <s v="PROD-033"/>
    <x v="2"/>
    <n v="4"/>
    <n v="2030"/>
    <n v="24.8"/>
    <n v="6106.24"/>
    <s v="Pending"/>
    <s v="Mumbai"/>
    <x v="3"/>
    <s v="SMB"/>
    <n v="27"/>
    <x v="1"/>
  </r>
  <r>
    <s v="ORD-01125"/>
    <x v="191"/>
    <s v="CUST-0142"/>
    <s v="PROD-025"/>
    <x v="25"/>
    <n v="5"/>
    <n v="4060"/>
    <n v="9.1"/>
    <n v="18452.7"/>
    <s v="Pending"/>
    <s v="Chennai"/>
    <x v="2"/>
    <s v="Corporate"/>
    <n v="55"/>
    <x v="0"/>
  </r>
  <r>
    <s v="ORD-01126"/>
    <x v="334"/>
    <s v="CUST-0150"/>
    <s v="PROD-033"/>
    <x v="22"/>
    <n v="9"/>
    <n v="2030"/>
    <n v="15.9"/>
    <n v="15365.07"/>
    <s v="Pending"/>
    <s v="Pune"/>
    <x v="3"/>
    <s v="SMB"/>
    <n v="53"/>
    <x v="1"/>
  </r>
  <r>
    <s v="ORD-01127"/>
    <x v="201"/>
    <s v="CUST-0001"/>
    <s v="PROD-043"/>
    <x v="2"/>
    <n v="1"/>
    <n v="3350"/>
    <n v="23.2"/>
    <n v="2572.8000000000002"/>
    <s v="Refunded"/>
    <s v="Pune"/>
    <x v="5"/>
    <s v="Retail"/>
    <n v="36"/>
    <x v="1"/>
  </r>
  <r>
    <s v="ORD-01128"/>
    <x v="287"/>
    <s v="CUST-0104"/>
    <s v="PROD-037"/>
    <x v="3"/>
    <n v="4"/>
    <n v="660"/>
    <n v="27.1"/>
    <n v="1924.56"/>
    <s v="Completed"/>
    <s v="Hyderabad"/>
    <x v="3"/>
    <s v="Corporate"/>
    <n v="43"/>
    <x v="0"/>
  </r>
  <r>
    <s v="ORD-01129"/>
    <x v="236"/>
    <s v="CUST-0261"/>
    <s v="PROD-045"/>
    <x v="2"/>
    <n v="3"/>
    <n v="3020"/>
    <n v="7.2"/>
    <n v="8407.68"/>
    <s v="Completed"/>
    <s v="Delhi"/>
    <x v="5"/>
    <s v="Retail"/>
    <n v="54"/>
    <x v="1"/>
  </r>
  <r>
    <s v="ORD-01130"/>
    <x v="132"/>
    <s v="CUST-0010"/>
    <s v="PROD-008"/>
    <x v="3"/>
    <n v="3"/>
    <n v="2660"/>
    <n v="0.2"/>
    <n v="7964.04"/>
    <s v="Completed"/>
    <s v="Mumbai"/>
    <x v="4"/>
    <s v="SMB"/>
    <n v="61"/>
    <x v="0"/>
  </r>
  <r>
    <s v="ORD-01131"/>
    <x v="181"/>
    <s v="CUST-0237"/>
    <s v="PROD-054"/>
    <x v="3"/>
    <n v="4"/>
    <n v="1010"/>
    <n v="3.1"/>
    <n v="3914.76"/>
    <s v="Completed"/>
    <s v="Mumbai"/>
    <x v="1"/>
    <s v="Retail"/>
    <n v="49"/>
    <x v="0"/>
  </r>
  <r>
    <s v="ORD-01132"/>
    <x v="82"/>
    <s v="CUST-0128"/>
    <s v="PROD-038"/>
    <x v="21"/>
    <n v="5"/>
    <n v="5490"/>
    <n v="3.6"/>
    <n v="26461.8"/>
    <s v="Completed"/>
    <s v="Hyderabad"/>
    <x v="3"/>
    <s v="Retail"/>
    <n v="35"/>
    <x v="3"/>
  </r>
  <r>
    <s v="ORD-01133"/>
    <x v="94"/>
    <s v="CUST-0182"/>
    <s v="PROD-058"/>
    <x v="7"/>
    <n v="1"/>
    <n v="2400"/>
    <n v="24.3"/>
    <n v="1816.8"/>
    <s v="Completed"/>
    <s v="Mumbai"/>
    <x v="1"/>
    <s v="Retail"/>
    <n v="54"/>
    <x v="3"/>
  </r>
  <r>
    <s v="ORD-01134"/>
    <x v="147"/>
    <s v="CUST-0131"/>
    <s v="PROD-037"/>
    <x v="18"/>
    <n v="8"/>
    <n v="660"/>
    <n v="19.8"/>
    <n v="4234.5600000000004"/>
    <s v="Completed"/>
    <s v="Delhi"/>
    <x v="3"/>
    <s v="SMB"/>
    <n v="28"/>
    <x v="1"/>
  </r>
  <r>
    <s v="ORD-01135"/>
    <x v="172"/>
    <s v="CUST-0023"/>
    <s v="PROD-001"/>
    <x v="29"/>
    <n v="9"/>
    <n v="5330"/>
    <n v="16.5"/>
    <n v="40054.949999999997"/>
    <s v="Completed"/>
    <s v="Chennai"/>
    <x v="4"/>
    <s v="SMB"/>
    <n v="43"/>
    <x v="1"/>
  </r>
  <r>
    <s v="ORD-01136"/>
    <x v="340"/>
    <s v="CUST-0171"/>
    <s v="PROD-002"/>
    <x v="0"/>
    <n v="5"/>
    <n v="2600"/>
    <n v="0.3"/>
    <n v="12961"/>
    <s v="Completed"/>
    <s v="Chennai"/>
    <x v="4"/>
    <s v="Corporate"/>
    <n v="30"/>
    <x v="0"/>
  </r>
  <r>
    <s v="ORD-01137"/>
    <x v="32"/>
    <s v="CUST-0116"/>
    <s v="PROD-034"/>
    <x v="26"/>
    <n v="4"/>
    <n v="5080"/>
    <n v="13.8"/>
    <n v="17515.84"/>
    <s v="Pending"/>
    <s v="Bengaluru"/>
    <x v="3"/>
    <s v="Retail"/>
    <n v="53"/>
    <x v="3"/>
  </r>
  <r>
    <s v="ORD-01138"/>
    <x v="100"/>
    <s v="CUST-0021"/>
    <s v="PROD-023"/>
    <x v="25"/>
    <n v="7"/>
    <n v="2380"/>
    <n v="15.5"/>
    <n v="14077.7"/>
    <s v="Completed"/>
    <s v="Pune"/>
    <x v="2"/>
    <s v="Retail"/>
    <n v="44"/>
    <x v="0"/>
  </r>
  <r>
    <s v="ORD-01139"/>
    <x v="83"/>
    <s v="CUST-0234"/>
    <s v="PROD-046"/>
    <x v="3"/>
    <n v="3"/>
    <n v="4880"/>
    <n v="6.1"/>
    <n v="13746.96"/>
    <s v="Completed"/>
    <s v="Bengaluru"/>
    <x v="5"/>
    <s v="Retail"/>
    <n v="34"/>
    <x v="0"/>
  </r>
  <r>
    <s v="ORD-01140"/>
    <x v="36"/>
    <s v="CUST-0225"/>
    <s v="PROD-043"/>
    <x v="18"/>
    <n v="2"/>
    <n v="3350"/>
    <n v="17.2"/>
    <n v="5547.6"/>
    <s v="Completed"/>
    <s v="Chennai"/>
    <x v="5"/>
    <s v="SMB"/>
    <n v="26"/>
    <x v="1"/>
  </r>
  <r>
    <s v="ORD-01141"/>
    <x v="238"/>
    <s v="CUST-0268"/>
    <s v="PROD-030"/>
    <x v="6"/>
    <n v="5"/>
    <n v="970"/>
    <n v="23.6"/>
    <n v="3705.4"/>
    <s v="Completed"/>
    <s v="Chennai"/>
    <x v="2"/>
    <s v="Retail"/>
    <n v="35"/>
    <x v="2"/>
  </r>
  <r>
    <s v="ORD-01142"/>
    <x v="215"/>
    <s v="CUST-0248"/>
    <s v="PROD-005"/>
    <x v="24"/>
    <n v="5"/>
    <n v="300"/>
    <n v="3.8"/>
    <n v="1443"/>
    <s v="Completed"/>
    <s v="Chennai"/>
    <x v="4"/>
    <s v="SMB"/>
    <n v="57"/>
    <x v="3"/>
  </r>
  <r>
    <s v="ORD-01143"/>
    <x v="243"/>
    <s v="CUST-0026"/>
    <s v="PROD-006"/>
    <x v="1"/>
    <n v="9"/>
    <n v="3970"/>
    <n v="0.8"/>
    <n v="35444.160000000003"/>
    <s v="Completed"/>
    <s v="Pune"/>
    <x v="4"/>
    <s v="Retail"/>
    <n v="62"/>
    <x v="0"/>
  </r>
  <r>
    <s v="ORD-01144"/>
    <x v="242"/>
    <s v="CUST-0257"/>
    <s v="PROD-015"/>
    <x v="22"/>
    <n v="4"/>
    <n v="2720"/>
    <n v="12.7"/>
    <n v="9498.24"/>
    <s v="Completed"/>
    <s v="Mumbai"/>
    <x v="0"/>
    <s v="Corporate"/>
    <n v="46"/>
    <x v="1"/>
  </r>
  <r>
    <s v="ORD-01145"/>
    <x v="249"/>
    <s v="CUST-0258"/>
    <s v="PROD-016"/>
    <x v="13"/>
    <n v="3"/>
    <n v="620"/>
    <n v="5.5"/>
    <n v="1757.7"/>
    <s v="Completed"/>
    <s v="Pune"/>
    <x v="0"/>
    <s v="Retail"/>
    <n v="44"/>
    <x v="3"/>
  </r>
  <r>
    <s v="ORD-01146"/>
    <x v="319"/>
    <s v="CUST-0142"/>
    <s v="PROD-041"/>
    <x v="6"/>
    <n v="2"/>
    <n v="1540"/>
    <n v="2.2000000000000002"/>
    <n v="3012.24"/>
    <s v="Pending"/>
    <s v="Chennai"/>
    <x v="5"/>
    <s v="Corporate"/>
    <n v="55"/>
    <x v="2"/>
  </r>
  <r>
    <s v="ORD-01147"/>
    <x v="166"/>
    <s v="CUST-0020"/>
    <s v="PROD-042"/>
    <x v="17"/>
    <n v="1"/>
    <n v="2290"/>
    <n v="24.4"/>
    <n v="1731.24"/>
    <s v="Cancelled"/>
    <s v="Hyderabad"/>
    <x v="5"/>
    <s v="Retail"/>
    <n v="46"/>
    <x v="2"/>
  </r>
  <r>
    <s v="ORD-01148"/>
    <x v="343"/>
    <s v="CUST-0016"/>
    <s v="PROD-015"/>
    <x v="26"/>
    <n v="8"/>
    <n v="2720"/>
    <n v="1.7"/>
    <n v="21390.080000000002"/>
    <s v="Completed"/>
    <s v="Delhi"/>
    <x v="0"/>
    <s v="SMB"/>
    <n v="26"/>
    <x v="3"/>
  </r>
  <r>
    <s v="ORD-01149"/>
    <x v="69"/>
    <s v="CUST-0288"/>
    <s v="PROD-025"/>
    <x v="12"/>
    <n v="4"/>
    <n v="4060"/>
    <n v="19.600000000000001"/>
    <n v="13056.96"/>
    <s v="Cancelled"/>
    <s v="Hyderabad"/>
    <x v="2"/>
    <s v="Corporate"/>
    <n v="25"/>
    <x v="3"/>
  </r>
  <r>
    <s v="ORD-01150"/>
    <x v="43"/>
    <s v="CUST-0133"/>
    <s v="PROD-003"/>
    <x v="29"/>
    <n v="8"/>
    <n v="3570"/>
    <n v="10.8"/>
    <n v="25475.52"/>
    <s v="Completed"/>
    <s v="Chennai"/>
    <x v="4"/>
    <s v="Retail"/>
    <n v="26"/>
    <x v="1"/>
  </r>
  <r>
    <s v="ORD-01151"/>
    <x v="258"/>
    <s v="CUST-0192"/>
    <s v="PROD-051"/>
    <x v="10"/>
    <n v="10"/>
    <n v="3450"/>
    <n v="13.5"/>
    <n v="29842.5"/>
    <s v="Pending"/>
    <s v="Bengaluru"/>
    <x v="1"/>
    <s v="Retail"/>
    <n v="55"/>
    <x v="0"/>
  </r>
  <r>
    <s v="ORD-01152"/>
    <x v="277"/>
    <s v="CUST-0298"/>
    <s v="PROD-010"/>
    <x v="0"/>
    <n v="10"/>
    <n v="2640"/>
    <n v="29.8"/>
    <n v="18532.8"/>
    <s v="Completed"/>
    <s v="Delhi"/>
    <x v="4"/>
    <s v="Retail"/>
    <n v="44"/>
    <x v="0"/>
  </r>
  <r>
    <s v="ORD-01153"/>
    <x v="204"/>
    <s v="CUST-0088"/>
    <s v="PROD-032"/>
    <x v="18"/>
    <n v="3"/>
    <n v="370"/>
    <n v="25.5"/>
    <n v="826.95"/>
    <s v="Completed"/>
    <s v="Chennai"/>
    <x v="3"/>
    <s v="Retail"/>
    <n v="24"/>
    <x v="1"/>
  </r>
  <r>
    <s v="ORD-01154"/>
    <x v="180"/>
    <s v="CUST-0274"/>
    <s v="PROD-009"/>
    <x v="14"/>
    <n v="3"/>
    <n v="1220"/>
    <n v="7.7"/>
    <n v="3378.18"/>
    <s v="Pending"/>
    <s v="Bengaluru"/>
    <x v="4"/>
    <s v="Corporate"/>
    <n v="36"/>
    <x v="2"/>
  </r>
  <r>
    <s v="ORD-01155"/>
    <x v="59"/>
    <s v="CUST-0165"/>
    <s v="PROD-010"/>
    <x v="24"/>
    <n v="1"/>
    <n v="2640"/>
    <n v="23.6"/>
    <n v="2016.96"/>
    <s v="Completed"/>
    <s v="Pune"/>
    <x v="4"/>
    <s v="Retail"/>
    <n v="29"/>
    <x v="3"/>
  </r>
  <r>
    <s v="ORD-01156"/>
    <x v="232"/>
    <s v="CUST-0275"/>
    <s v="PROD-048"/>
    <x v="23"/>
    <n v="9"/>
    <n v="5100"/>
    <n v="9.5"/>
    <n v="41539.5"/>
    <s v="Completed"/>
    <s v="Mumbai"/>
    <x v="5"/>
    <s v="Retail"/>
    <n v="36"/>
    <x v="1"/>
  </r>
  <r>
    <s v="ORD-01157"/>
    <x v="347"/>
    <s v="CUST-0225"/>
    <s v="PROD-050"/>
    <x v="4"/>
    <n v="7"/>
    <n v="6080"/>
    <n v="17.5"/>
    <n v="35112"/>
    <s v="Completed"/>
    <s v="Chennai"/>
    <x v="5"/>
    <s v="SMB"/>
    <n v="26"/>
    <x v="0"/>
  </r>
  <r>
    <s v="ORD-01158"/>
    <x v="341"/>
    <s v="CUST-0059"/>
    <s v="PROD-005"/>
    <x v="17"/>
    <n v="1"/>
    <n v="300"/>
    <n v="26.9"/>
    <n v="219.3"/>
    <s v="Completed"/>
    <s v="Pune"/>
    <x v="4"/>
    <s v="Corporate"/>
    <n v="29"/>
    <x v="2"/>
  </r>
  <r>
    <s v="ORD-01159"/>
    <x v="181"/>
    <s v="CUST-0149"/>
    <s v="PROD-045"/>
    <x v="16"/>
    <n v="6"/>
    <n v="3020"/>
    <n v="28.5"/>
    <n v="12955.8"/>
    <s v="Completed"/>
    <s v="Hyderabad"/>
    <x v="5"/>
    <s v="Retail"/>
    <n v="44"/>
    <x v="3"/>
  </r>
  <r>
    <s v="ORD-01160"/>
    <x v="137"/>
    <s v="CUST-0283"/>
    <s v="PROD-005"/>
    <x v="26"/>
    <n v="8"/>
    <n v="300"/>
    <n v="1.2"/>
    <n v="2371.1999999999998"/>
    <s v="Completed"/>
    <s v="Delhi"/>
    <x v="4"/>
    <s v="SMB"/>
    <n v="50"/>
    <x v="3"/>
  </r>
  <r>
    <s v="ORD-01161"/>
    <x v="271"/>
    <s v="CUST-0039"/>
    <s v="PROD-043"/>
    <x v="23"/>
    <n v="9"/>
    <n v="3350"/>
    <n v="0.6"/>
    <n v="29969.1"/>
    <s v="Refunded"/>
    <s v="Bengaluru"/>
    <x v="5"/>
    <s v="Retail"/>
    <n v="37"/>
    <x v="1"/>
  </r>
  <r>
    <s v="ORD-01162"/>
    <x v="319"/>
    <s v="CUST-0046"/>
    <s v="PROD-026"/>
    <x v="6"/>
    <n v="4"/>
    <n v="4070"/>
    <n v="10.1"/>
    <n v="14635.72"/>
    <s v="Completed"/>
    <s v="Delhi"/>
    <x v="2"/>
    <s v="SMB"/>
    <n v="45"/>
    <x v="2"/>
  </r>
  <r>
    <s v="ORD-01163"/>
    <x v="105"/>
    <s v="CUST-0105"/>
    <s v="PROD-059"/>
    <x v="6"/>
    <n v="9"/>
    <n v="3780"/>
    <n v="27.8"/>
    <n v="24562.44"/>
    <s v="Cancelled"/>
    <s v="Chennai"/>
    <x v="1"/>
    <s v="SMB"/>
    <n v="51"/>
    <x v="2"/>
  </r>
  <r>
    <s v="ORD-01164"/>
    <x v="192"/>
    <s v="CUST-0006"/>
    <s v="PROD-040"/>
    <x v="14"/>
    <n v="6"/>
    <n v="1080"/>
    <n v="17.5"/>
    <n v="5346"/>
    <s v="Completed"/>
    <s v="Pune"/>
    <x v="3"/>
    <s v="SMB"/>
    <n v="44"/>
    <x v="2"/>
  </r>
  <r>
    <s v="ORD-01165"/>
    <x v="348"/>
    <s v="CUST-0192"/>
    <s v="PROD-002"/>
    <x v="12"/>
    <n v="3"/>
    <n v="2600"/>
    <n v="1.9"/>
    <n v="7651.8"/>
    <s v="Completed"/>
    <s v="Bengaluru"/>
    <x v="4"/>
    <s v="Retail"/>
    <n v="55"/>
    <x v="3"/>
  </r>
  <r>
    <s v="ORD-01166"/>
    <x v="67"/>
    <s v="CUST-0290"/>
    <s v="PROD-015"/>
    <x v="4"/>
    <n v="5"/>
    <n v="2720"/>
    <n v="1.8"/>
    <n v="13355.2"/>
    <s v="Cancelled"/>
    <s v="Delhi"/>
    <x v="0"/>
    <s v="Retail"/>
    <n v="63"/>
    <x v="0"/>
  </r>
  <r>
    <s v="ORD-01167"/>
    <x v="270"/>
    <s v="CUST-0287"/>
    <s v="PROD-028"/>
    <x v="27"/>
    <n v="8"/>
    <n v="3660"/>
    <n v="29.5"/>
    <n v="20642.400000000001"/>
    <s v="Completed"/>
    <s v="Chennai"/>
    <x v="2"/>
    <s v="SMB"/>
    <n v="53"/>
    <x v="1"/>
  </r>
  <r>
    <s v="ORD-01168"/>
    <x v="237"/>
    <s v="CUST-0025"/>
    <s v="PROD-044"/>
    <x v="1"/>
    <n v="9"/>
    <n v="1650"/>
    <n v="19.8"/>
    <n v="11909.7"/>
    <s v="Refunded"/>
    <s v="Bengaluru"/>
    <x v="5"/>
    <s v="Retail"/>
    <n v="23"/>
    <x v="0"/>
  </r>
  <r>
    <s v="ORD-01169"/>
    <x v="349"/>
    <s v="CUST-0139"/>
    <s v="PROD-055"/>
    <x v="7"/>
    <n v="3"/>
    <n v="2860"/>
    <n v="22.7"/>
    <n v="6632.34"/>
    <s v="Completed"/>
    <s v="Hyderabad"/>
    <x v="1"/>
    <s v="SMB"/>
    <n v="65"/>
    <x v="3"/>
  </r>
  <r>
    <s v="ORD-01170"/>
    <x v="335"/>
    <s v="CUST-0278"/>
    <s v="PROD-051"/>
    <x v="5"/>
    <n v="4"/>
    <n v="3450"/>
    <n v="9.1999999999999993"/>
    <n v="12530.4"/>
    <s v="Completed"/>
    <s v="Hyderabad"/>
    <x v="1"/>
    <s v="Retail"/>
    <n v="41"/>
    <x v="2"/>
  </r>
  <r>
    <s v="ORD-01171"/>
    <x v="171"/>
    <s v="CUST-0258"/>
    <s v="PROD-033"/>
    <x v="11"/>
    <n v="4"/>
    <n v="2030"/>
    <n v="17.100000000000001"/>
    <n v="6731.48"/>
    <s v="Completed"/>
    <s v="Pune"/>
    <x v="3"/>
    <s v="Retail"/>
    <n v="44"/>
    <x v="0"/>
  </r>
  <r>
    <s v="ORD-01172"/>
    <x v="24"/>
    <s v="CUST-0106"/>
    <s v="PROD-022"/>
    <x v="29"/>
    <n v="4"/>
    <n v="2270"/>
    <n v="27.3"/>
    <n v="6601.16"/>
    <s v="Completed"/>
    <s v="Pune"/>
    <x v="2"/>
    <s v="Retail"/>
    <n v="22"/>
    <x v="1"/>
  </r>
  <r>
    <s v="ORD-01173"/>
    <x v="41"/>
    <s v="CUST-0009"/>
    <s v="PROD-034"/>
    <x v="22"/>
    <n v="9"/>
    <n v="5080"/>
    <n v="10.9"/>
    <n v="40736.519999999997"/>
    <s v="Completed"/>
    <s v="Mumbai"/>
    <x v="3"/>
    <s v="Retail"/>
    <n v="61"/>
    <x v="1"/>
  </r>
  <r>
    <s v="ORD-01174"/>
    <x v="341"/>
    <s v="CUST-0209"/>
    <s v="PROD-026"/>
    <x v="20"/>
    <n v="8"/>
    <n v="4070"/>
    <n v="17.7"/>
    <n v="26796.880000000001"/>
    <s v="Completed"/>
    <s v="Pune"/>
    <x v="2"/>
    <s v="Retail"/>
    <n v="31"/>
    <x v="2"/>
  </r>
  <r>
    <s v="ORD-01175"/>
    <x v="332"/>
    <s v="CUST-0111"/>
    <s v="PROD-041"/>
    <x v="1"/>
    <n v="1"/>
    <n v="1540"/>
    <n v="0.9"/>
    <n v="1526.14"/>
    <s v="Completed"/>
    <s v="Chennai"/>
    <x v="5"/>
    <s v="SMB"/>
    <n v="64"/>
    <x v="0"/>
  </r>
  <r>
    <s v="ORD-01176"/>
    <x v="104"/>
    <s v="CUST-0014"/>
    <s v="PROD-048"/>
    <x v="6"/>
    <n v="10"/>
    <n v="5100"/>
    <n v="3"/>
    <n v="49470"/>
    <s v="Completed"/>
    <s v="Bengaluru"/>
    <x v="5"/>
    <s v="Retail"/>
    <n v="48"/>
    <x v="2"/>
  </r>
  <r>
    <s v="ORD-01177"/>
    <x v="165"/>
    <s v="CUST-0073"/>
    <s v="PROD-014"/>
    <x v="3"/>
    <n v="6"/>
    <n v="3620"/>
    <n v="20.2"/>
    <n v="17332.560000000001"/>
    <s v="Completed"/>
    <s v="Pune"/>
    <x v="0"/>
    <s v="Corporate"/>
    <n v="40"/>
    <x v="0"/>
  </r>
  <r>
    <s v="ORD-01178"/>
    <x v="258"/>
    <s v="CUST-0147"/>
    <s v="PROD-046"/>
    <x v="11"/>
    <n v="7"/>
    <n v="4880"/>
    <n v="5"/>
    <n v="32452"/>
    <s v="Completed"/>
    <s v="Pune"/>
    <x v="5"/>
    <s v="Retail"/>
    <n v="56"/>
    <x v="0"/>
  </r>
  <r>
    <s v="ORD-01179"/>
    <x v="22"/>
    <s v="CUST-0006"/>
    <s v="PROD-010"/>
    <x v="6"/>
    <n v="1"/>
    <n v="2640"/>
    <n v="4.0999999999999996"/>
    <n v="2531.7600000000002"/>
    <s v="Completed"/>
    <s v="Pune"/>
    <x v="4"/>
    <s v="SMB"/>
    <n v="44"/>
    <x v="2"/>
  </r>
  <r>
    <s v="ORD-01180"/>
    <x v="118"/>
    <s v="CUST-0031"/>
    <s v="PROD-026"/>
    <x v="16"/>
    <n v="9"/>
    <n v="4070"/>
    <n v="4.4000000000000004"/>
    <n v="35018.28"/>
    <s v="Completed"/>
    <s v="Hyderabad"/>
    <x v="2"/>
    <s v="Retail"/>
    <n v="53"/>
    <x v="3"/>
  </r>
  <r>
    <s v="ORD-01181"/>
    <x v="7"/>
    <s v="CUST-0084"/>
    <s v="PROD-003"/>
    <x v="5"/>
    <n v="9"/>
    <n v="3570"/>
    <n v="24.8"/>
    <n v="24161.759999999998"/>
    <s v="Completed"/>
    <s v="Chennai"/>
    <x v="4"/>
    <s v="Retail"/>
    <n v="28"/>
    <x v="2"/>
  </r>
  <r>
    <s v="ORD-01182"/>
    <x v="19"/>
    <s v="CUST-0203"/>
    <s v="PROD-043"/>
    <x v="1"/>
    <n v="10"/>
    <n v="3350"/>
    <n v="25.1"/>
    <n v="25091.5"/>
    <s v="Cancelled"/>
    <s v="Chennai"/>
    <x v="5"/>
    <s v="SMB"/>
    <n v="55"/>
    <x v="0"/>
  </r>
  <r>
    <s v="ORD-01183"/>
    <x v="246"/>
    <s v="CUST-0138"/>
    <s v="PROD-059"/>
    <x v="5"/>
    <n v="3"/>
    <n v="3780"/>
    <n v="3.8"/>
    <n v="10909.08"/>
    <s v="Completed"/>
    <s v="Chennai"/>
    <x v="1"/>
    <s v="Retail"/>
    <n v="24"/>
    <x v="2"/>
  </r>
  <r>
    <s v="ORD-01184"/>
    <x v="330"/>
    <s v="CUST-0157"/>
    <s v="PROD-003"/>
    <x v="4"/>
    <n v="4"/>
    <n v="3570"/>
    <n v="0.9"/>
    <n v="14151.48"/>
    <s v="Pending"/>
    <s v="Pune"/>
    <x v="4"/>
    <s v="Corporate"/>
    <n v="52"/>
    <x v="0"/>
  </r>
  <r>
    <s v="ORD-01185"/>
    <x v="295"/>
    <s v="CUST-0298"/>
    <s v="PROD-055"/>
    <x v="6"/>
    <n v="5"/>
    <n v="2860"/>
    <n v="20.100000000000001"/>
    <n v="11425.7"/>
    <s v="Completed"/>
    <s v="Delhi"/>
    <x v="1"/>
    <s v="Retail"/>
    <n v="44"/>
    <x v="2"/>
  </r>
  <r>
    <s v="ORD-01186"/>
    <x v="79"/>
    <s v="CUST-0132"/>
    <s v="PROD-016"/>
    <x v="11"/>
    <n v="1"/>
    <n v="620"/>
    <n v="1.1000000000000001"/>
    <n v="613.17999999999995"/>
    <s v="Cancelled"/>
    <s v="Delhi"/>
    <x v="0"/>
    <s v="Retail"/>
    <n v="41"/>
    <x v="0"/>
  </r>
  <r>
    <s v="ORD-01187"/>
    <x v="39"/>
    <s v="CUST-0006"/>
    <s v="PROD-003"/>
    <x v="27"/>
    <n v="1"/>
    <n v="3570"/>
    <n v="11.1"/>
    <n v="3173.73"/>
    <s v="Cancelled"/>
    <s v="Pune"/>
    <x v="4"/>
    <s v="SMB"/>
    <n v="44"/>
    <x v="1"/>
  </r>
  <r>
    <s v="ORD-01188"/>
    <x v="317"/>
    <s v="CUST-0011"/>
    <s v="PROD-001"/>
    <x v="27"/>
    <n v="1"/>
    <n v="5330"/>
    <n v="3.5"/>
    <n v="5143.45"/>
    <s v="Completed"/>
    <s v="Chennai"/>
    <x v="4"/>
    <s v="Corporate"/>
    <n v="41"/>
    <x v="1"/>
  </r>
  <r>
    <s v="ORD-01189"/>
    <x v="333"/>
    <s v="CUST-0170"/>
    <s v="PROD-052"/>
    <x v="26"/>
    <n v="7"/>
    <n v="5410"/>
    <n v="26.2"/>
    <n v="27948.06"/>
    <s v="Completed"/>
    <s v="Mumbai"/>
    <x v="1"/>
    <s v="SMB"/>
    <n v="22"/>
    <x v="3"/>
  </r>
  <r>
    <s v="ORD-01190"/>
    <x v="163"/>
    <s v="CUST-0109"/>
    <s v="PROD-034"/>
    <x v="29"/>
    <n v="10"/>
    <n v="5080"/>
    <n v="3.7"/>
    <n v="48920.4"/>
    <s v="Pending"/>
    <s v="Pune"/>
    <x v="3"/>
    <s v="Retail"/>
    <n v="42"/>
    <x v="1"/>
  </r>
  <r>
    <s v="ORD-01191"/>
    <x v="43"/>
    <s v="CUST-0066"/>
    <s v="PROD-003"/>
    <x v="1"/>
    <n v="9"/>
    <n v="3570"/>
    <n v="5.6"/>
    <n v="30330.720000000001"/>
    <s v="Completed"/>
    <s v="Delhi"/>
    <x v="4"/>
    <s v="Retail"/>
    <n v="24"/>
    <x v="0"/>
  </r>
  <r>
    <s v="ORD-01192"/>
    <x v="165"/>
    <s v="CUST-0055"/>
    <s v="PROD-030"/>
    <x v="24"/>
    <n v="9"/>
    <n v="970"/>
    <n v="19.5"/>
    <n v="7027.65"/>
    <s v="Completed"/>
    <s v="Bengaluru"/>
    <x v="2"/>
    <s v="Retail"/>
    <n v="34"/>
    <x v="3"/>
  </r>
  <r>
    <s v="ORD-01193"/>
    <x v="298"/>
    <s v="CUST-0298"/>
    <s v="PROD-005"/>
    <x v="18"/>
    <n v="10"/>
    <n v="300"/>
    <n v="23"/>
    <n v="2310"/>
    <s v="Cancelled"/>
    <s v="Delhi"/>
    <x v="4"/>
    <s v="Retail"/>
    <n v="44"/>
    <x v="1"/>
  </r>
  <r>
    <s v="ORD-01194"/>
    <x v="319"/>
    <s v="CUST-0024"/>
    <s v="PROD-050"/>
    <x v="11"/>
    <n v="10"/>
    <n v="6080"/>
    <n v="3.9"/>
    <n v="58428.800000000003"/>
    <s v="Completed"/>
    <s v="Chennai"/>
    <x v="5"/>
    <s v="SMB"/>
    <n v="64"/>
    <x v="0"/>
  </r>
  <r>
    <s v="ORD-01195"/>
    <x v="149"/>
    <s v="CUST-0008"/>
    <s v="PROD-048"/>
    <x v="23"/>
    <n v="2"/>
    <n v="5100"/>
    <n v="11"/>
    <n v="9078"/>
    <s v="Completed"/>
    <s v="Pune"/>
    <x v="5"/>
    <s v="SMB"/>
    <n v="39"/>
    <x v="1"/>
  </r>
  <r>
    <s v="ORD-01196"/>
    <x v="18"/>
    <s v="CUST-0070"/>
    <s v="PROD-011"/>
    <x v="7"/>
    <n v="9"/>
    <n v="3450"/>
    <n v="23.7"/>
    <n v="23691.15"/>
    <s v="Completed"/>
    <s v="Mumbai"/>
    <x v="0"/>
    <s v="Retail"/>
    <n v="42"/>
    <x v="3"/>
  </r>
  <r>
    <s v="ORD-01197"/>
    <x v="164"/>
    <s v="CUST-0270"/>
    <s v="PROD-019"/>
    <x v="23"/>
    <n v="5"/>
    <n v="2480"/>
    <n v="20.399999999999999"/>
    <n v="9870.4"/>
    <s v="Completed"/>
    <s v="Bengaluru"/>
    <x v="0"/>
    <s v="Retail"/>
    <n v="29"/>
    <x v="1"/>
  </r>
  <r>
    <s v="ORD-01198"/>
    <x v="323"/>
    <s v="CUST-0175"/>
    <s v="PROD-060"/>
    <x v="9"/>
    <n v="4"/>
    <n v="190"/>
    <n v="2.6"/>
    <n v="740.24"/>
    <s v="Completed"/>
    <s v="Delhi"/>
    <x v="1"/>
    <s v="Corporate"/>
    <n v="55"/>
    <x v="1"/>
  </r>
  <r>
    <s v="ORD-01199"/>
    <x v="212"/>
    <s v="CUST-0227"/>
    <s v="PROD-022"/>
    <x v="16"/>
    <n v="4"/>
    <n v="2270"/>
    <n v="8.1"/>
    <n v="8344.52"/>
    <s v="Pending"/>
    <s v="Bengaluru"/>
    <x v="2"/>
    <s v="SMB"/>
    <n v="44"/>
    <x v="3"/>
  </r>
  <r>
    <s v="ORD-01200"/>
    <x v="169"/>
    <s v="CUST-0041"/>
    <s v="PROD-017"/>
    <x v="8"/>
    <n v="7"/>
    <n v="2510"/>
    <n v="25.5"/>
    <n v="13089.65"/>
    <s v="Completed"/>
    <s v="Bengaluru"/>
    <x v="0"/>
    <s v="SMB"/>
    <n v="26"/>
    <x v="2"/>
  </r>
  <r>
    <s v="ORD-01201"/>
    <x v="318"/>
    <s v="CUST-0147"/>
    <s v="PROD-059"/>
    <x v="10"/>
    <n v="3"/>
    <n v="3780"/>
    <n v="16.8"/>
    <n v="9434.8799999999992"/>
    <s v="Completed"/>
    <s v="Pune"/>
    <x v="1"/>
    <s v="Retail"/>
    <n v="56"/>
    <x v="0"/>
  </r>
  <r>
    <s v="ORD-01202"/>
    <x v="79"/>
    <s v="CUST-0185"/>
    <s v="PROD-003"/>
    <x v="9"/>
    <n v="7"/>
    <n v="3570"/>
    <n v="23.7"/>
    <n v="19067.37"/>
    <s v="Completed"/>
    <s v="Hyderabad"/>
    <x v="4"/>
    <s v="SMB"/>
    <n v="43"/>
    <x v="1"/>
  </r>
  <r>
    <s v="ORD-01203"/>
    <x v="115"/>
    <s v="CUST-0210"/>
    <s v="PROD-037"/>
    <x v="23"/>
    <n v="4"/>
    <n v="660"/>
    <n v="3.6"/>
    <n v="2544.96"/>
    <s v="Completed"/>
    <s v="Pune"/>
    <x v="3"/>
    <s v="Corporate"/>
    <n v="48"/>
    <x v="1"/>
  </r>
  <r>
    <s v="ORD-01204"/>
    <x v="350"/>
    <s v="CUST-0289"/>
    <s v="PROD-030"/>
    <x v="9"/>
    <n v="7"/>
    <n v="970"/>
    <n v="23.7"/>
    <n v="5180.7700000000004"/>
    <s v="Completed"/>
    <s v="Mumbai"/>
    <x v="2"/>
    <s v="Retail"/>
    <n v="54"/>
    <x v="1"/>
  </r>
  <r>
    <s v="ORD-01205"/>
    <x v="200"/>
    <s v="CUST-0017"/>
    <s v="PROD-024"/>
    <x v="3"/>
    <n v="8"/>
    <n v="2270"/>
    <n v="6.8"/>
    <n v="16925.12"/>
    <s v="Completed"/>
    <s v="Delhi"/>
    <x v="2"/>
    <s v="SMB"/>
    <n v="38"/>
    <x v="0"/>
  </r>
  <r>
    <s v="ORD-01206"/>
    <x v="65"/>
    <s v="CUST-0115"/>
    <s v="PROD-058"/>
    <x v="27"/>
    <n v="1"/>
    <n v="2400"/>
    <n v="26.5"/>
    <n v="1764"/>
    <s v="Completed"/>
    <s v="Mumbai"/>
    <x v="1"/>
    <s v="SMB"/>
    <n v="65"/>
    <x v="1"/>
  </r>
  <r>
    <s v="ORD-01207"/>
    <x v="283"/>
    <s v="CUST-0183"/>
    <s v="PROD-034"/>
    <x v="9"/>
    <n v="5"/>
    <n v="5080"/>
    <n v="29.6"/>
    <n v="17881.599999999999"/>
    <s v="Completed"/>
    <s v="Mumbai"/>
    <x v="3"/>
    <s v="SMB"/>
    <n v="27"/>
    <x v="1"/>
  </r>
  <r>
    <s v="ORD-01208"/>
    <x v="116"/>
    <s v="CUST-0193"/>
    <s v="PROD-043"/>
    <x v="2"/>
    <n v="9"/>
    <n v="3350"/>
    <n v="6.2"/>
    <n v="28280.7"/>
    <s v="Completed"/>
    <s v="Bengaluru"/>
    <x v="5"/>
    <s v="Retail"/>
    <n v="42"/>
    <x v="1"/>
  </r>
  <r>
    <s v="ORD-01209"/>
    <x v="9"/>
    <s v="CUST-0019"/>
    <s v="PROD-041"/>
    <x v="19"/>
    <n v="4"/>
    <n v="1540"/>
    <n v="22.2"/>
    <n v="4792.4799999999996"/>
    <s v="Completed"/>
    <s v="Chennai"/>
    <x v="5"/>
    <s v="Retail"/>
    <n v="22"/>
    <x v="0"/>
  </r>
  <r>
    <s v="ORD-01210"/>
    <x v="313"/>
    <s v="CUST-0097"/>
    <s v="PROD-034"/>
    <x v="25"/>
    <n v="10"/>
    <n v="5080"/>
    <n v="11.8"/>
    <n v="44805.599999999999"/>
    <s v="Completed"/>
    <s v="Mumbai"/>
    <x v="3"/>
    <s v="Retail"/>
    <n v="65"/>
    <x v="0"/>
  </r>
  <r>
    <s v="ORD-01211"/>
    <x v="197"/>
    <s v="CUST-0237"/>
    <s v="PROD-018"/>
    <x v="27"/>
    <n v="9"/>
    <n v="3560"/>
    <n v="15.9"/>
    <n v="26945.64"/>
    <s v="Completed"/>
    <s v="Mumbai"/>
    <x v="0"/>
    <s v="Retail"/>
    <n v="49"/>
    <x v="1"/>
  </r>
  <r>
    <s v="ORD-01212"/>
    <x v="98"/>
    <s v="CUST-0252"/>
    <s v="PROD-040"/>
    <x v="18"/>
    <n v="2"/>
    <n v="1080"/>
    <n v="21.1"/>
    <n v="1704.24"/>
    <s v="Completed"/>
    <s v="Bengaluru"/>
    <x v="3"/>
    <s v="Retail"/>
    <n v="27"/>
    <x v="1"/>
  </r>
  <r>
    <s v="ORD-01213"/>
    <x v="202"/>
    <s v="CUST-0216"/>
    <s v="PROD-023"/>
    <x v="26"/>
    <n v="5"/>
    <n v="2380"/>
    <n v="20.5"/>
    <n v="9460.5"/>
    <s v="Completed"/>
    <s v="Mumbai"/>
    <x v="2"/>
    <s v="Retail"/>
    <n v="50"/>
    <x v="3"/>
  </r>
  <r>
    <s v="ORD-01214"/>
    <x v="71"/>
    <s v="CUST-0248"/>
    <s v="PROD-019"/>
    <x v="5"/>
    <n v="9"/>
    <n v="2480"/>
    <n v="1.2"/>
    <n v="22052.16"/>
    <s v="Completed"/>
    <s v="Chennai"/>
    <x v="0"/>
    <s v="SMB"/>
    <n v="57"/>
    <x v="2"/>
  </r>
  <r>
    <s v="ORD-01215"/>
    <x v="333"/>
    <s v="CUST-0044"/>
    <s v="PROD-042"/>
    <x v="27"/>
    <n v="9"/>
    <n v="2290"/>
    <n v="0.9"/>
    <n v="20424.509999999998"/>
    <s v="Completed"/>
    <s v="Hyderabad"/>
    <x v="5"/>
    <s v="SMB"/>
    <n v="29"/>
    <x v="1"/>
  </r>
  <r>
    <s v="ORD-01216"/>
    <x v="143"/>
    <s v="CUST-0251"/>
    <s v="PROD-011"/>
    <x v="23"/>
    <n v="3"/>
    <n v="3450"/>
    <n v="29.5"/>
    <n v="7296.75"/>
    <s v="Completed"/>
    <s v="Mumbai"/>
    <x v="0"/>
    <s v="Retail"/>
    <n v="44"/>
    <x v="1"/>
  </r>
  <r>
    <s v="ORD-01217"/>
    <x v="28"/>
    <s v="CUST-0280"/>
    <s v="PROD-047"/>
    <x v="6"/>
    <n v="9"/>
    <n v="3450"/>
    <n v="19.399999999999999"/>
    <n v="25026.3"/>
    <s v="Completed"/>
    <s v="Delhi"/>
    <x v="5"/>
    <s v="SMB"/>
    <n v="27"/>
    <x v="2"/>
  </r>
  <r>
    <s v="ORD-01218"/>
    <x v="340"/>
    <s v="CUST-0108"/>
    <s v="PROD-002"/>
    <x v="14"/>
    <n v="2"/>
    <n v="2600"/>
    <n v="20.2"/>
    <n v="4149.6000000000004"/>
    <s v="Cancelled"/>
    <s v="Bengaluru"/>
    <x v="4"/>
    <s v="Corporate"/>
    <n v="59"/>
    <x v="2"/>
  </r>
  <r>
    <s v="ORD-01219"/>
    <x v="281"/>
    <s v="CUST-0058"/>
    <s v="PROD-021"/>
    <x v="5"/>
    <n v="1"/>
    <n v="2760"/>
    <n v="9.5"/>
    <n v="2497.8000000000002"/>
    <s v="Completed"/>
    <s v="Bengaluru"/>
    <x v="2"/>
    <s v="SMB"/>
    <n v="49"/>
    <x v="2"/>
  </r>
  <r>
    <s v="ORD-01220"/>
    <x v="106"/>
    <s v="CUST-0090"/>
    <s v="PROD-039"/>
    <x v="11"/>
    <n v="4"/>
    <n v="4610"/>
    <n v="14.8"/>
    <n v="15710.88"/>
    <s v="Completed"/>
    <s v="Bengaluru"/>
    <x v="3"/>
    <s v="Corporate"/>
    <n v="26"/>
    <x v="0"/>
  </r>
  <r>
    <s v="ORD-01221"/>
    <x v="147"/>
    <s v="CUST-0204"/>
    <s v="PROD-019"/>
    <x v="6"/>
    <n v="3"/>
    <n v="2480"/>
    <n v="3.7"/>
    <n v="7164.72"/>
    <s v="Completed"/>
    <s v="Hyderabad"/>
    <x v="0"/>
    <s v="Retail"/>
    <n v="60"/>
    <x v="2"/>
  </r>
  <r>
    <s v="ORD-01222"/>
    <x v="294"/>
    <s v="CUST-0044"/>
    <s v="PROD-056"/>
    <x v="23"/>
    <n v="5"/>
    <n v="6940"/>
    <n v="0.3"/>
    <n v="34595.9"/>
    <s v="Completed"/>
    <s v="Hyderabad"/>
    <x v="1"/>
    <s v="SMB"/>
    <n v="29"/>
    <x v="1"/>
  </r>
  <r>
    <s v="ORD-01223"/>
    <x v="9"/>
    <s v="CUST-0068"/>
    <s v="PROD-022"/>
    <x v="12"/>
    <n v="8"/>
    <n v="2270"/>
    <n v="15.6"/>
    <n v="15327.04"/>
    <s v="Pending"/>
    <s v="Delhi"/>
    <x v="2"/>
    <s v="SMB"/>
    <n v="48"/>
    <x v="3"/>
  </r>
  <r>
    <s v="ORD-01224"/>
    <x v="313"/>
    <s v="CUST-0127"/>
    <s v="PROD-048"/>
    <x v="14"/>
    <n v="5"/>
    <n v="5100"/>
    <n v="9.5"/>
    <n v="23077.5"/>
    <s v="Completed"/>
    <s v="Bengaluru"/>
    <x v="5"/>
    <s v="SMB"/>
    <n v="36"/>
    <x v="2"/>
  </r>
  <r>
    <s v="ORD-01225"/>
    <x v="345"/>
    <s v="CUST-0191"/>
    <s v="PROD-036"/>
    <x v="23"/>
    <n v="5"/>
    <n v="3250"/>
    <n v="8.1"/>
    <n v="14933.75"/>
    <s v="Completed"/>
    <s v="Hyderabad"/>
    <x v="3"/>
    <s v="SMB"/>
    <n v="43"/>
    <x v="1"/>
  </r>
  <r>
    <s v="ORD-01226"/>
    <x v="303"/>
    <s v="CUST-0028"/>
    <s v="PROD-006"/>
    <x v="11"/>
    <n v="6"/>
    <n v="3970"/>
    <n v="18.8"/>
    <n v="19341.84"/>
    <s v="Pending"/>
    <s v="Bengaluru"/>
    <x v="4"/>
    <s v="Retail"/>
    <n v="59"/>
    <x v="0"/>
  </r>
  <r>
    <s v="ORD-01227"/>
    <x v="14"/>
    <s v="CUST-0027"/>
    <s v="PROD-001"/>
    <x v="5"/>
    <n v="4"/>
    <n v="5330"/>
    <n v="19.7"/>
    <n v="17119.96"/>
    <s v="Completed"/>
    <s v="Hyderabad"/>
    <x v="4"/>
    <s v="Corporate"/>
    <n v="52"/>
    <x v="2"/>
  </r>
  <r>
    <s v="ORD-01228"/>
    <x v="84"/>
    <s v="CUST-0193"/>
    <s v="PROD-008"/>
    <x v="10"/>
    <n v="7"/>
    <n v="2660"/>
    <n v="8.5"/>
    <n v="17037.3"/>
    <s v="Completed"/>
    <s v="Bengaluru"/>
    <x v="4"/>
    <s v="Retail"/>
    <n v="42"/>
    <x v="0"/>
  </r>
  <r>
    <s v="ORD-01229"/>
    <x v="124"/>
    <s v="CUST-0202"/>
    <s v="PROD-012"/>
    <x v="20"/>
    <n v="5"/>
    <n v="3160"/>
    <n v="13.4"/>
    <n v="13682.8"/>
    <s v="Pending"/>
    <s v="Chennai"/>
    <x v="0"/>
    <s v="Retail"/>
    <n v="39"/>
    <x v="2"/>
  </r>
  <r>
    <s v="ORD-01230"/>
    <x v="287"/>
    <s v="CUST-0230"/>
    <s v="PROD-054"/>
    <x v="7"/>
    <n v="10"/>
    <n v="1010"/>
    <n v="14"/>
    <n v="8686"/>
    <s v="Completed"/>
    <s v="Pune"/>
    <x v="1"/>
    <s v="Corporate"/>
    <n v="33"/>
    <x v="3"/>
  </r>
  <r>
    <s v="ORD-01231"/>
    <x v="351"/>
    <s v="CUST-0280"/>
    <s v="PROD-041"/>
    <x v="11"/>
    <n v="3"/>
    <n v="1540"/>
    <n v="13.7"/>
    <n v="3987.06"/>
    <s v="Pending"/>
    <s v="Delhi"/>
    <x v="5"/>
    <s v="SMB"/>
    <n v="27"/>
    <x v="0"/>
  </r>
  <r>
    <s v="ORD-01232"/>
    <x v="343"/>
    <s v="CUST-0196"/>
    <s v="PROD-048"/>
    <x v="18"/>
    <n v="10"/>
    <n v="5100"/>
    <n v="13.8"/>
    <n v="43962"/>
    <s v="Completed"/>
    <s v="Chennai"/>
    <x v="5"/>
    <s v="Retail"/>
    <n v="26"/>
    <x v="1"/>
  </r>
  <r>
    <s v="ORD-01233"/>
    <x v="136"/>
    <s v="CUST-0019"/>
    <s v="PROD-007"/>
    <x v="14"/>
    <n v="3"/>
    <n v="1430"/>
    <n v="1.5"/>
    <n v="4225.6499999999996"/>
    <s v="Completed"/>
    <s v="Chennai"/>
    <x v="4"/>
    <s v="Retail"/>
    <n v="22"/>
    <x v="2"/>
  </r>
  <r>
    <s v="ORD-01234"/>
    <x v="247"/>
    <s v="CUST-0201"/>
    <s v="PROD-038"/>
    <x v="22"/>
    <n v="8"/>
    <n v="5490"/>
    <n v="23.2"/>
    <n v="33730.559999999998"/>
    <s v="Completed"/>
    <s v="Hyderabad"/>
    <x v="3"/>
    <s v="Retail"/>
    <n v="31"/>
    <x v="1"/>
  </r>
  <r>
    <s v="ORD-01235"/>
    <x v="185"/>
    <s v="CUST-0146"/>
    <s v="PROD-044"/>
    <x v="4"/>
    <n v="6"/>
    <n v="1650"/>
    <n v="16.8"/>
    <n v="8236.7999999999993"/>
    <s v="Completed"/>
    <s v="Hyderabad"/>
    <x v="5"/>
    <s v="Retail"/>
    <n v="22"/>
    <x v="0"/>
  </r>
  <r>
    <s v="ORD-01236"/>
    <x v="151"/>
    <s v="CUST-0199"/>
    <s v="PROD-045"/>
    <x v="26"/>
    <n v="3"/>
    <n v="3020"/>
    <n v="14.5"/>
    <n v="7746.3"/>
    <s v="Completed"/>
    <s v="Hyderabad"/>
    <x v="5"/>
    <s v="SMB"/>
    <n v="31"/>
    <x v="3"/>
  </r>
  <r>
    <s v="ORD-01237"/>
    <x v="334"/>
    <s v="CUST-0099"/>
    <s v="PROD-041"/>
    <x v="11"/>
    <n v="5"/>
    <n v="1540"/>
    <n v="27.2"/>
    <n v="5605.6"/>
    <s v="Completed"/>
    <s v="Bengaluru"/>
    <x v="5"/>
    <s v="SMB"/>
    <n v="54"/>
    <x v="0"/>
  </r>
  <r>
    <s v="ORD-00372"/>
    <x v="246"/>
    <s v="CUST-0094"/>
    <s v="PROD-056"/>
    <x v="12"/>
    <n v="4"/>
    <n v="6940"/>
    <n v="3.2"/>
    <n v="26871.68"/>
    <s v="Completed"/>
    <s v="Pune"/>
    <x v="1"/>
    <s v="SMB"/>
    <n v="60"/>
    <x v="3"/>
  </r>
  <r>
    <s v="ORD-01239"/>
    <x v="25"/>
    <s v="CUST-0275"/>
    <s v="PROD-048"/>
    <x v="21"/>
    <n v="2"/>
    <n v="5100"/>
    <n v="18.100000000000001"/>
    <n v="8353.7999999999993"/>
    <s v="Completed"/>
    <s v="Mumbai"/>
    <x v="5"/>
    <s v="Retail"/>
    <n v="36"/>
    <x v="3"/>
  </r>
  <r>
    <s v="ORD-01240"/>
    <x v="189"/>
    <s v="CUST-0230"/>
    <s v="PROD-001"/>
    <x v="29"/>
    <n v="6"/>
    <n v="5330"/>
    <n v="0.3"/>
    <n v="31884.06"/>
    <s v="Pending"/>
    <s v="Pune"/>
    <x v="4"/>
    <s v="Corporate"/>
    <n v="33"/>
    <x v="1"/>
  </r>
  <r>
    <s v="ORD-01241"/>
    <x v="121"/>
    <s v="CUST-0227"/>
    <s v="PROD-057"/>
    <x v="20"/>
    <n v="5"/>
    <n v="960"/>
    <n v="16.600000000000001"/>
    <n v="4003.2"/>
    <s v="Completed"/>
    <s v="Bengaluru"/>
    <x v="1"/>
    <s v="SMB"/>
    <n v="44"/>
    <x v="2"/>
  </r>
  <r>
    <s v="ORD-01365"/>
    <x v="214"/>
    <s v="CUST-0200"/>
    <s v="PROD-014"/>
    <x v="24"/>
    <n v="7"/>
    <n v="3620"/>
    <n v="5.4"/>
    <n v="23971.64"/>
    <s v="Completed"/>
    <s v="Hyderabad"/>
    <x v="0"/>
    <s v="Corporate"/>
    <n v="46"/>
    <x v="3"/>
  </r>
  <r>
    <s v="ORD-01243"/>
    <x v="213"/>
    <s v="CUST-0268"/>
    <s v="PROD-002"/>
    <x v="3"/>
    <n v="6"/>
    <n v="2600"/>
    <n v="25.9"/>
    <n v="11559.6"/>
    <s v="Completed"/>
    <s v="Chennai"/>
    <x v="4"/>
    <s v="Retail"/>
    <n v="35"/>
    <x v="0"/>
  </r>
  <r>
    <s v="ORD-01244"/>
    <x v="129"/>
    <s v="CUST-0163"/>
    <s v="PROD-008"/>
    <x v="22"/>
    <n v="7"/>
    <n v="2660"/>
    <n v="20.2"/>
    <n v="14858.76"/>
    <s v="Completed"/>
    <s v="Pune"/>
    <x v="4"/>
    <s v="Retail"/>
    <n v="49"/>
    <x v="1"/>
  </r>
  <r>
    <s v="ORD-01245"/>
    <x v="22"/>
    <s v="CUST-0233"/>
    <s v="PROD-019"/>
    <x v="24"/>
    <n v="9"/>
    <n v="2480"/>
    <n v="14.7"/>
    <n v="19038.96"/>
    <s v="Completed"/>
    <s v="Mumbai"/>
    <x v="0"/>
    <s v="SMB"/>
    <n v="65"/>
    <x v="3"/>
  </r>
  <r>
    <s v="ORD-01246"/>
    <x v="296"/>
    <s v="CUST-0181"/>
    <s v="PROD-008"/>
    <x v="15"/>
    <n v="4"/>
    <n v="2660"/>
    <n v="8.9"/>
    <n v="9693.0400000000009"/>
    <s v="Completed"/>
    <s v="Delhi"/>
    <x v="4"/>
    <s v="SMB"/>
    <n v="38"/>
    <x v="1"/>
  </r>
  <r>
    <s v="ORD-01247"/>
    <x v="326"/>
    <s v="CUST-0254"/>
    <s v="PROD-001"/>
    <x v="9"/>
    <n v="1"/>
    <n v="5330"/>
    <n v="26.8"/>
    <n v="3901.56"/>
    <s v="Completed"/>
    <s v="Bengaluru"/>
    <x v="4"/>
    <s v="Retail"/>
    <n v="35"/>
    <x v="1"/>
  </r>
  <r>
    <s v="ORD-01248"/>
    <x v="227"/>
    <s v="CUST-0116"/>
    <s v="PROD-051"/>
    <x v="28"/>
    <n v="6"/>
    <n v="3450"/>
    <n v="19.2"/>
    <n v="16725.599999999999"/>
    <s v="Pending"/>
    <s v="Bengaluru"/>
    <x v="1"/>
    <s v="Retail"/>
    <n v="53"/>
    <x v="2"/>
  </r>
  <r>
    <s v="ORD-01249"/>
    <x v="323"/>
    <s v="CUST-0259"/>
    <s v="PROD-060"/>
    <x v="5"/>
    <n v="10"/>
    <n v="190"/>
    <n v="18.100000000000001"/>
    <n v="1556.1"/>
    <s v="Completed"/>
    <s v="Mumbai"/>
    <x v="1"/>
    <s v="Retail"/>
    <n v="34"/>
    <x v="2"/>
  </r>
  <r>
    <s v="ORD-01250"/>
    <x v="241"/>
    <s v="CUST-0198"/>
    <s v="PROD-006"/>
    <x v="18"/>
    <n v="9"/>
    <n v="3970"/>
    <n v="18.2"/>
    <n v="29227.14"/>
    <s v="Pending"/>
    <s v="Chennai"/>
    <x v="4"/>
    <s v="Corporate"/>
    <n v="22"/>
    <x v="1"/>
  </r>
  <r>
    <s v="ORD-01251"/>
    <x v="280"/>
    <s v="CUST-0204"/>
    <s v="PROD-039"/>
    <x v="25"/>
    <n v="4"/>
    <n v="4610"/>
    <n v="15.1"/>
    <n v="15655.56"/>
    <s v="Cancelled"/>
    <s v="Hyderabad"/>
    <x v="3"/>
    <s v="Retail"/>
    <n v="60"/>
    <x v="0"/>
  </r>
  <r>
    <s v="ORD-01252"/>
    <x v="233"/>
    <s v="CUST-0216"/>
    <s v="PROD-016"/>
    <x v="5"/>
    <n v="2"/>
    <n v="620"/>
    <n v="3.3"/>
    <n v="1199.08"/>
    <s v="Completed"/>
    <s v="Mumbai"/>
    <x v="0"/>
    <s v="Retail"/>
    <n v="50"/>
    <x v="2"/>
  </r>
  <r>
    <s v="ORD-01253"/>
    <x v="214"/>
    <s v="CUST-0030"/>
    <s v="PROD-041"/>
    <x v="5"/>
    <n v="7"/>
    <n v="1540"/>
    <n v="27.5"/>
    <n v="7815.5"/>
    <s v="Completed"/>
    <s v="Bengaluru"/>
    <x v="5"/>
    <s v="Corporate"/>
    <n v="43"/>
    <x v="2"/>
  </r>
  <r>
    <s v="ORD-01254"/>
    <x v="178"/>
    <s v="CUST-0019"/>
    <s v="PROD-053"/>
    <x v="21"/>
    <n v="10"/>
    <n v="470"/>
    <n v="3.9"/>
    <n v="4516.7"/>
    <s v="Completed"/>
    <s v="Chennai"/>
    <x v="1"/>
    <s v="Retail"/>
    <n v="22"/>
    <x v="3"/>
  </r>
  <r>
    <s v="ORD-01255"/>
    <x v="348"/>
    <s v="CUST-0034"/>
    <s v="PROD-046"/>
    <x v="25"/>
    <n v="5"/>
    <n v="4880"/>
    <n v="27.4"/>
    <n v="17714.400000000001"/>
    <s v="Completed"/>
    <s v="Delhi"/>
    <x v="5"/>
    <s v="Retail"/>
    <n v="47"/>
    <x v="0"/>
  </r>
  <r>
    <s v="ORD-01256"/>
    <x v="289"/>
    <s v="CUST-0063"/>
    <s v="PROD-052"/>
    <x v="20"/>
    <n v="1"/>
    <n v="5410"/>
    <n v="8.3000000000000007"/>
    <n v="4960.97"/>
    <s v="Completed"/>
    <s v="Mumbai"/>
    <x v="1"/>
    <s v="SMB"/>
    <n v="53"/>
    <x v="2"/>
  </r>
  <r>
    <s v="ORD-01257"/>
    <x v="337"/>
    <s v="CUST-0203"/>
    <s v="PROD-004"/>
    <x v="24"/>
    <n v="8"/>
    <n v="3870"/>
    <n v="9.3000000000000007"/>
    <n v="28080.720000000001"/>
    <s v="Pending"/>
    <s v="Chennai"/>
    <x v="4"/>
    <s v="SMB"/>
    <n v="55"/>
    <x v="3"/>
  </r>
  <r>
    <s v="ORD-01258"/>
    <x v="136"/>
    <s v="CUST-0016"/>
    <s v="PROD-010"/>
    <x v="21"/>
    <n v="10"/>
    <n v="2640"/>
    <n v="19.899999999999999"/>
    <n v="21146.400000000001"/>
    <s v="Completed"/>
    <s v="Delhi"/>
    <x v="4"/>
    <s v="SMB"/>
    <n v="26"/>
    <x v="3"/>
  </r>
  <r>
    <s v="ORD-01259"/>
    <x v="118"/>
    <s v="CUST-0198"/>
    <s v="PROD-034"/>
    <x v="0"/>
    <n v="1"/>
    <n v="5080"/>
    <n v="8.6"/>
    <n v="4643.12"/>
    <s v="Completed"/>
    <s v="Chennai"/>
    <x v="3"/>
    <s v="Corporate"/>
    <n v="22"/>
    <x v="0"/>
  </r>
  <r>
    <s v="ORD-01260"/>
    <x v="342"/>
    <s v="CUST-0212"/>
    <s v="PROD-036"/>
    <x v="26"/>
    <n v="9"/>
    <n v="3250"/>
    <n v="18.2"/>
    <n v="23926.5"/>
    <s v="Pending"/>
    <s v="Chennai"/>
    <x v="3"/>
    <s v="SMB"/>
    <n v="46"/>
    <x v="3"/>
  </r>
  <r>
    <s v="ORD-01261"/>
    <x v="84"/>
    <s v="CUST-0265"/>
    <s v="PROD-006"/>
    <x v="25"/>
    <n v="8"/>
    <n v="3970"/>
    <n v="22.4"/>
    <n v="24645.759999999998"/>
    <s v="Completed"/>
    <s v="Chennai"/>
    <x v="4"/>
    <s v="Retail"/>
    <n v="49"/>
    <x v="0"/>
  </r>
  <r>
    <s v="ORD-01262"/>
    <x v="192"/>
    <s v="CUST-0165"/>
    <s v="PROD-037"/>
    <x v="21"/>
    <n v="3"/>
    <n v="660"/>
    <n v="3.1"/>
    <n v="1918.62"/>
    <s v="Completed"/>
    <s v="Pune"/>
    <x v="3"/>
    <s v="Retail"/>
    <n v="29"/>
    <x v="3"/>
  </r>
  <r>
    <s v="ORD-01263"/>
    <x v="298"/>
    <s v="CUST-0109"/>
    <s v="PROD-002"/>
    <x v="24"/>
    <n v="7"/>
    <n v="2600"/>
    <n v="15.4"/>
    <n v="15397.2"/>
    <s v="Completed"/>
    <s v="Pune"/>
    <x v="4"/>
    <s v="Retail"/>
    <n v="42"/>
    <x v="3"/>
  </r>
  <r>
    <s v="ORD-01264"/>
    <x v="45"/>
    <s v="CUST-0155"/>
    <s v="PROD-037"/>
    <x v="15"/>
    <n v="9"/>
    <n v="660"/>
    <n v="23.7"/>
    <n v="4532.22"/>
    <s v="Completed"/>
    <s v="Pune"/>
    <x v="3"/>
    <s v="Corporate"/>
    <n v="40"/>
    <x v="1"/>
  </r>
  <r>
    <s v="ORD-01265"/>
    <x v="183"/>
    <s v="CUST-0194"/>
    <s v="PROD-023"/>
    <x v="13"/>
    <n v="3"/>
    <n v="2380"/>
    <n v="19.5"/>
    <n v="5747.7"/>
    <s v="Cancelled"/>
    <s v="Delhi"/>
    <x v="2"/>
    <s v="SMB"/>
    <n v="55"/>
    <x v="3"/>
  </r>
  <r>
    <s v="ORD-01266"/>
    <x v="207"/>
    <s v="CUST-0084"/>
    <s v="PROD-044"/>
    <x v="9"/>
    <n v="9"/>
    <n v="1650"/>
    <n v="2.5"/>
    <n v="14478.75"/>
    <s v="Completed"/>
    <s v="Chennai"/>
    <x v="5"/>
    <s v="Retail"/>
    <n v="28"/>
    <x v="1"/>
  </r>
  <r>
    <s v="ORD-01267"/>
    <x v="181"/>
    <s v="CUST-9684"/>
    <s v="PROD-010"/>
    <x v="3"/>
    <n v="8"/>
    <n v="2640"/>
    <n v="24.4"/>
    <n v="15966.72"/>
    <s v="Completed"/>
    <s v="Mumbai"/>
    <x v="4"/>
    <e v="#N/A"/>
    <e v="#N/A"/>
    <x v="0"/>
  </r>
  <r>
    <s v="ORD-01268"/>
    <x v="43"/>
    <s v="CUST-0218"/>
    <s v="PROD-023"/>
    <x v="22"/>
    <n v="8"/>
    <n v="2380"/>
    <n v="24.2"/>
    <n v="14432.32"/>
    <s v="Completed"/>
    <s v="Mumbai"/>
    <x v="2"/>
    <s v="Retail"/>
    <n v="39"/>
    <x v="1"/>
  </r>
  <r>
    <s v="ORD-01269"/>
    <x v="41"/>
    <s v="CUST-0194"/>
    <s v="PROD-029"/>
    <x v="0"/>
    <n v="10"/>
    <n v="2210"/>
    <n v="3.6"/>
    <n v="21304.400000000001"/>
    <s v="Completed"/>
    <s v="Delhi"/>
    <x v="2"/>
    <s v="SMB"/>
    <n v="55"/>
    <x v="0"/>
  </r>
  <r>
    <s v="ORD-01270"/>
    <x v="139"/>
    <s v="CUST-0037"/>
    <s v="PROD-050"/>
    <x v="26"/>
    <n v="9"/>
    <n v="6080"/>
    <n v="17.2"/>
    <n v="45308.160000000003"/>
    <s v="Pending"/>
    <s v="Bengaluru"/>
    <x v="5"/>
    <s v="Retail"/>
    <n v="52"/>
    <x v="3"/>
  </r>
  <r>
    <s v="ORD-01271"/>
    <x v="10"/>
    <s v="CUST-0245"/>
    <s v="PROD-054"/>
    <x v="24"/>
    <n v="8"/>
    <n v="1010"/>
    <n v="12.3"/>
    <n v="7086.16"/>
    <s v="Completed"/>
    <s v="Hyderabad"/>
    <x v="1"/>
    <s v="Retail"/>
    <n v="65"/>
    <x v="3"/>
  </r>
  <r>
    <s v="ORD-01272"/>
    <x v="329"/>
    <s v="CUST-0266"/>
    <s v="PROD-028"/>
    <x v="23"/>
    <n v="8"/>
    <n v="3660"/>
    <n v="8.4"/>
    <n v="26820.48"/>
    <s v="Completed"/>
    <s v="Pune"/>
    <x v="2"/>
    <s v="Retail"/>
    <n v="65"/>
    <x v="1"/>
  </r>
  <r>
    <s v="ORD-01273"/>
    <x v="68"/>
    <s v="CUST-0058"/>
    <s v="PROD-039"/>
    <x v="20"/>
    <n v="8"/>
    <n v="4610"/>
    <n v="15.4"/>
    <n v="31200.48"/>
    <s v="Cancelled"/>
    <s v="Bengaluru"/>
    <x v="3"/>
    <s v="SMB"/>
    <n v="49"/>
    <x v="2"/>
  </r>
  <r>
    <s v="ORD-01274"/>
    <x v="283"/>
    <s v="CUST-0058"/>
    <s v="PROD-048"/>
    <x v="3"/>
    <n v="9"/>
    <n v="5100"/>
    <n v="25.2"/>
    <n v="34333.199999999997"/>
    <s v="Cancelled"/>
    <s v="Bengaluru"/>
    <x v="5"/>
    <s v="SMB"/>
    <n v="49"/>
    <x v="0"/>
  </r>
  <r>
    <s v="ORD-01275"/>
    <x v="312"/>
    <s v="CUST-0028"/>
    <s v="PROD-045"/>
    <x v="7"/>
    <n v="5"/>
    <n v="3020"/>
    <n v="23"/>
    <n v="11627"/>
    <s v="Completed"/>
    <s v="Bengaluru"/>
    <x v="5"/>
    <s v="Retail"/>
    <n v="59"/>
    <x v="3"/>
  </r>
  <r>
    <s v="ORD-01276"/>
    <x v="3"/>
    <s v="CUST-0262"/>
    <s v="PROD-059"/>
    <x v="15"/>
    <n v="8"/>
    <n v="3780"/>
    <n v="17.100000000000001"/>
    <n v="25068.959999999999"/>
    <s v="Completed"/>
    <s v="Mumbai"/>
    <x v="1"/>
    <s v="Retail"/>
    <n v="52"/>
    <x v="1"/>
  </r>
  <r>
    <s v="ORD-01277"/>
    <x v="352"/>
    <s v="CUST-0241"/>
    <s v="PROD-029"/>
    <x v="19"/>
    <n v="10"/>
    <n v="2210"/>
    <n v="8.5"/>
    <n v="20221.5"/>
    <s v="Completed"/>
    <s v="Pune"/>
    <x v="2"/>
    <s v="Corporate"/>
    <n v="47"/>
    <x v="0"/>
  </r>
  <r>
    <s v="ORD-01278"/>
    <x v="117"/>
    <s v="CUST-0109"/>
    <s v="PROD-029"/>
    <x v="15"/>
    <n v="4"/>
    <n v="2210"/>
    <n v="3.1"/>
    <n v="8565.9599999999991"/>
    <s v="Completed"/>
    <s v="Pune"/>
    <x v="2"/>
    <s v="Retail"/>
    <n v="42"/>
    <x v="1"/>
  </r>
  <r>
    <s v="ORD-01279"/>
    <x v="326"/>
    <s v="CUST-0228"/>
    <s v="PROD-044"/>
    <x v="15"/>
    <n v="1"/>
    <n v="1650"/>
    <n v="10"/>
    <n v="1485"/>
    <s v="Completed"/>
    <s v="Pune"/>
    <x v="5"/>
    <s v="Corporate"/>
    <n v="37"/>
    <x v="1"/>
  </r>
  <r>
    <s v="ORD-01280"/>
    <x v="100"/>
    <s v="CUST-0239"/>
    <s v="PROD-060"/>
    <x v="1"/>
    <n v="6"/>
    <n v="190"/>
    <n v="3.5"/>
    <n v="1100.0999999999999"/>
    <s v="Cancelled"/>
    <s v="Mumbai"/>
    <x v="1"/>
    <s v="Retail"/>
    <n v="61"/>
    <x v="0"/>
  </r>
  <r>
    <s v="ORD-01281"/>
    <x v="55"/>
    <s v="CUST-0092"/>
    <s v="PROD-055"/>
    <x v="28"/>
    <n v="8"/>
    <n v="2860"/>
    <n v="14.7"/>
    <n v="19516.64"/>
    <s v="Completed"/>
    <s v="Bengaluru"/>
    <x v="1"/>
    <s v="SMB"/>
    <n v="28"/>
    <x v="2"/>
  </r>
  <r>
    <s v="ORD-01282"/>
    <x v="120"/>
    <s v="CUST-0283"/>
    <s v="PROD-005"/>
    <x v="14"/>
    <n v="9"/>
    <n v="300"/>
    <n v="19.5"/>
    <n v="2173.5"/>
    <s v="Completed"/>
    <s v="Delhi"/>
    <x v="4"/>
    <s v="SMB"/>
    <n v="50"/>
    <x v="2"/>
  </r>
  <r>
    <s v="ORD-01283"/>
    <x v="170"/>
    <s v="CUST-0206"/>
    <s v="PROD-049"/>
    <x v="0"/>
    <n v="10"/>
    <n v="960"/>
    <n v="9.6999999999999993"/>
    <n v="8668.7999999999993"/>
    <s v="Completed"/>
    <s v="Mumbai"/>
    <x v="5"/>
    <s v="Retail"/>
    <n v="40"/>
    <x v="0"/>
  </r>
  <r>
    <s v="ORD-01284"/>
    <x v="292"/>
    <s v="CUST-0174"/>
    <s v="PROD-020"/>
    <x v="22"/>
    <n v="5"/>
    <n v="820"/>
    <n v="0.5"/>
    <n v="4079.5"/>
    <s v="Completed"/>
    <s v="Pune"/>
    <x v="0"/>
    <s v="Retail"/>
    <n v="54"/>
    <x v="1"/>
  </r>
  <r>
    <s v="ORD-01285"/>
    <x v="266"/>
    <s v="CUST-0040"/>
    <s v="PROD-032"/>
    <x v="10"/>
    <n v="2"/>
    <n v="370"/>
    <n v="10.5"/>
    <n v="662.3"/>
    <s v="Pending"/>
    <s v="Chennai"/>
    <x v="3"/>
    <s v="Retail"/>
    <n v="28"/>
    <x v="0"/>
  </r>
  <r>
    <s v="ORD-01286"/>
    <x v="99"/>
    <s v="CUST-0153"/>
    <s v="PROD-038"/>
    <x v="12"/>
    <n v="9"/>
    <n v="5490"/>
    <n v="14.2"/>
    <n v="42393.78"/>
    <s v="Cancelled"/>
    <s v="Mumbai"/>
    <x v="3"/>
    <s v="Retail"/>
    <n v="35"/>
    <x v="3"/>
  </r>
  <r>
    <s v="ORD-01287"/>
    <x v="62"/>
    <s v="CUST-0236"/>
    <s v="PROD-032"/>
    <x v="26"/>
    <n v="3"/>
    <n v="370"/>
    <n v="18.399999999999999"/>
    <n v="905.76"/>
    <s v="Completed"/>
    <s v="Hyderabad"/>
    <x v="3"/>
    <s v="SMB"/>
    <n v="28"/>
    <x v="3"/>
  </r>
  <r>
    <s v="ORD-01288"/>
    <x v="241"/>
    <s v="CUST-0295"/>
    <s v="PROD-060"/>
    <x v="26"/>
    <n v="6"/>
    <n v="190"/>
    <n v="12.9"/>
    <n v="992.94"/>
    <s v="Completed"/>
    <s v="Delhi"/>
    <x v="1"/>
    <s v="SMB"/>
    <n v="48"/>
    <x v="3"/>
  </r>
  <r>
    <s v="ORD-01289"/>
    <x v="245"/>
    <s v="CUST-0145"/>
    <s v="PROD-029"/>
    <x v="12"/>
    <n v="8"/>
    <n v="2210"/>
    <n v="9.8000000000000007"/>
    <n v="15947.36"/>
    <s v="Completed"/>
    <s v="Bengaluru"/>
    <x v="2"/>
    <s v="SMB"/>
    <n v="44"/>
    <x v="3"/>
  </r>
  <r>
    <s v="ORD-01290"/>
    <x v="99"/>
    <s v="CUST-0192"/>
    <s v="PROD-044"/>
    <x v="18"/>
    <n v="7"/>
    <n v="1650"/>
    <n v="8.4"/>
    <n v="10579.8"/>
    <s v="Completed"/>
    <s v="Bengaluru"/>
    <x v="5"/>
    <s v="Retail"/>
    <n v="55"/>
    <x v="1"/>
  </r>
  <r>
    <s v="ORD-01291"/>
    <x v="353"/>
    <s v="CUST-0148"/>
    <s v="PROD-037"/>
    <x v="22"/>
    <n v="8"/>
    <n v="660"/>
    <n v="7.5"/>
    <n v="4884"/>
    <s v="Completed"/>
    <s v="Chennai"/>
    <x v="3"/>
    <s v="Retail"/>
    <n v="32"/>
    <x v="1"/>
  </r>
  <r>
    <s v="ORD-01292"/>
    <x v="128"/>
    <s v="CUST-0227"/>
    <s v="PROD-039"/>
    <x v="10"/>
    <n v="3"/>
    <n v="4610"/>
    <n v="29.6"/>
    <n v="9736.32"/>
    <s v="Completed"/>
    <s v="Bengaluru"/>
    <x v="3"/>
    <s v="SMB"/>
    <n v="44"/>
    <x v="0"/>
  </r>
  <r>
    <s v="ORD-01293"/>
    <x v="354"/>
    <s v="CUST-0170"/>
    <s v="PROD-029"/>
    <x v="5"/>
    <n v="6"/>
    <n v="2210"/>
    <n v="9.5"/>
    <n v="12000.3"/>
    <s v="Completed"/>
    <s v="Mumbai"/>
    <x v="2"/>
    <s v="SMB"/>
    <n v="22"/>
    <x v="2"/>
  </r>
  <r>
    <s v="ORD-01294"/>
    <x v="80"/>
    <s v="CUST-0102"/>
    <s v="PROD-042"/>
    <x v="21"/>
    <n v="4"/>
    <n v="2290"/>
    <n v="3.3"/>
    <n v="8857.7199999999993"/>
    <s v="Completed"/>
    <s v="Chennai"/>
    <x v="5"/>
    <s v="SMB"/>
    <n v="62"/>
    <x v="3"/>
  </r>
  <r>
    <s v="ORD-01295"/>
    <x v="264"/>
    <s v="CUST-0071"/>
    <s v="PROD-040"/>
    <x v="17"/>
    <n v="5"/>
    <n v="1080"/>
    <n v="26.1"/>
    <n v="3990.6"/>
    <s v="Completed"/>
    <s v="Delhi"/>
    <x v="3"/>
    <s v="Corporate"/>
    <n v="46"/>
    <x v="2"/>
  </r>
  <r>
    <s v="ORD-01296"/>
    <x v="42"/>
    <s v="CUST-0080"/>
    <s v="PROD-057"/>
    <x v="9"/>
    <n v="7"/>
    <n v="960"/>
    <n v="17.7"/>
    <n v="5530.56"/>
    <s v="Completed"/>
    <s v="Pune"/>
    <x v="1"/>
    <s v="SMB"/>
    <n v="30"/>
    <x v="1"/>
  </r>
  <r>
    <s v="ORD-01297"/>
    <x v="338"/>
    <s v="CUST-0272"/>
    <s v="PROD-058"/>
    <x v="4"/>
    <n v="1"/>
    <n v="2400"/>
    <n v="29.9"/>
    <n v="1682.4"/>
    <s v="Completed"/>
    <s v="Mumbai"/>
    <x v="1"/>
    <s v="SMB"/>
    <n v="47"/>
    <x v="0"/>
  </r>
  <r>
    <s v="ORD-01298"/>
    <x v="184"/>
    <s v="CUST-0076"/>
    <s v="PROD-042"/>
    <x v="9"/>
    <n v="9"/>
    <n v="2290"/>
    <n v="28.8"/>
    <n v="14674.32"/>
    <s v="Completed"/>
    <s v="Mumbai"/>
    <x v="5"/>
    <s v="Retail"/>
    <n v="38"/>
    <x v="1"/>
  </r>
  <r>
    <s v="ORD-01299"/>
    <x v="137"/>
    <s v="CUST-0222"/>
    <s v="PROD-040"/>
    <x v="26"/>
    <n v="9"/>
    <n v="1080"/>
    <n v="10.3"/>
    <n v="8718.84"/>
    <s v="Completed"/>
    <s v="Chennai"/>
    <x v="3"/>
    <s v="Retail"/>
    <n v="37"/>
    <x v="3"/>
  </r>
  <r>
    <s v="ORD-01300"/>
    <x v="121"/>
    <s v="CUST-0091"/>
    <s v="PROD-035"/>
    <x v="10"/>
    <n v="1"/>
    <n v="1090"/>
    <n v="5.8"/>
    <n v="1026.78"/>
    <s v="Cancelled"/>
    <s v="Delhi"/>
    <x v="3"/>
    <s v="Retail"/>
    <n v="55"/>
    <x v="0"/>
  </r>
  <r>
    <s v="ORD-01301"/>
    <x v="9"/>
    <s v="CUST-0126"/>
    <s v="PROD-029"/>
    <x v="26"/>
    <n v="3"/>
    <n v="2210"/>
    <n v="18.2"/>
    <n v="5423.34"/>
    <s v="Pending"/>
    <s v="Mumbai"/>
    <x v="2"/>
    <s v="Retail"/>
    <n v="37"/>
    <x v="3"/>
  </r>
  <r>
    <s v="ORD-01302"/>
    <x v="276"/>
    <s v="CUST-0241"/>
    <s v="PROD-014"/>
    <x v="15"/>
    <n v="8"/>
    <n v="3620"/>
    <n v="1.4"/>
    <n v="28554.560000000001"/>
    <s v="Completed"/>
    <s v="Pune"/>
    <x v="0"/>
    <s v="Corporate"/>
    <n v="47"/>
    <x v="1"/>
  </r>
  <r>
    <s v="ORD-01303"/>
    <x v="107"/>
    <s v="CUST-0118"/>
    <s v="PROD-033"/>
    <x v="23"/>
    <n v="7"/>
    <n v="2030"/>
    <n v="27.7"/>
    <n v="10273.83"/>
    <s v="Completed"/>
    <s v="Hyderabad"/>
    <x v="3"/>
    <s v="Retail"/>
    <n v="26"/>
    <x v="1"/>
  </r>
  <r>
    <s v="ORD-01304"/>
    <x v="309"/>
    <s v="CUST-0090"/>
    <s v="PROD-004"/>
    <x v="12"/>
    <n v="1"/>
    <n v="3870"/>
    <n v="29.6"/>
    <n v="2724.48"/>
    <s v="Completed"/>
    <s v="Bengaluru"/>
    <x v="4"/>
    <s v="Corporate"/>
    <n v="26"/>
    <x v="3"/>
  </r>
  <r>
    <s v="ORD-01305"/>
    <x v="258"/>
    <s v="CUST-0037"/>
    <s v="PROD-003"/>
    <x v="2"/>
    <n v="5"/>
    <n v="3570"/>
    <n v="11.8"/>
    <n v="15743.7"/>
    <s v="Refunded"/>
    <s v="Bengaluru"/>
    <x v="4"/>
    <s v="Retail"/>
    <n v="52"/>
    <x v="1"/>
  </r>
  <r>
    <s v="ORD-01306"/>
    <x v="181"/>
    <s v="CUST-0083"/>
    <s v="PROD-001"/>
    <x v="7"/>
    <n v="7"/>
    <n v="5330"/>
    <n v="8.1999999999999993"/>
    <n v="34250.58"/>
    <s v="Completed"/>
    <s v="Bengaluru"/>
    <x v="4"/>
    <s v="Corporate"/>
    <n v="31"/>
    <x v="3"/>
  </r>
  <r>
    <s v="ORD-01307"/>
    <x v="148"/>
    <s v="CUST-0154"/>
    <s v="PROD-009"/>
    <x v="18"/>
    <n v="5"/>
    <n v="1220"/>
    <n v="17.8"/>
    <n v="5014.2"/>
    <s v="Refunded"/>
    <s v="Pune"/>
    <x v="4"/>
    <s v="Retail"/>
    <n v="36"/>
    <x v="1"/>
  </r>
  <r>
    <s v="ORD-01308"/>
    <x v="78"/>
    <s v="CUST-0265"/>
    <s v="PROD-011"/>
    <x v="7"/>
    <n v="7"/>
    <n v="3450"/>
    <n v="29.3"/>
    <n v="17074.05"/>
    <s v="Completed"/>
    <s v="Chennai"/>
    <x v="0"/>
    <s v="Retail"/>
    <n v="49"/>
    <x v="3"/>
  </r>
  <r>
    <s v="ORD-01309"/>
    <x v="152"/>
    <s v="CUST-0115"/>
    <s v="PROD-018"/>
    <x v="22"/>
    <n v="6"/>
    <n v="3560"/>
    <n v="9.4"/>
    <n v="19352.16"/>
    <s v="Pending"/>
    <s v="Mumbai"/>
    <x v="0"/>
    <s v="SMB"/>
    <n v="65"/>
    <x v="1"/>
  </r>
  <r>
    <s v="ORD-01310"/>
    <x v="217"/>
    <s v="CUST-0274"/>
    <s v="PROD-032"/>
    <x v="1"/>
    <n v="4"/>
    <n v="370"/>
    <n v="4.9000000000000004"/>
    <n v="1407.48"/>
    <s v="Completed"/>
    <s v="Bengaluru"/>
    <x v="3"/>
    <s v="Corporate"/>
    <n v="36"/>
    <x v="0"/>
  </r>
  <r>
    <s v="ORD-01311"/>
    <x v="262"/>
    <s v="CUST-0269"/>
    <s v="PROD-009"/>
    <x v="11"/>
    <n v="1"/>
    <n v="1220"/>
    <n v="15.2"/>
    <n v="1034.56"/>
    <s v="Completed"/>
    <s v="Pune"/>
    <x v="4"/>
    <s v="Retail"/>
    <n v="48"/>
    <x v="0"/>
  </r>
  <r>
    <s v="ORD-01312"/>
    <x v="12"/>
    <s v="CUST-0045"/>
    <s v="PROD-013"/>
    <x v="3"/>
    <n v="3"/>
    <n v="3640"/>
    <n v="12.3"/>
    <n v="9576.84"/>
    <s v="Pending"/>
    <s v="Chennai"/>
    <x v="0"/>
    <s v="SMB"/>
    <n v="39"/>
    <x v="0"/>
  </r>
  <r>
    <s v="ORD-01313"/>
    <x v="115"/>
    <s v="CUST-0054"/>
    <s v="PROD-045"/>
    <x v="9"/>
    <n v="8"/>
    <n v="3020"/>
    <n v="28.2"/>
    <n v="17346.88"/>
    <s v="Pending"/>
    <s v="Mumbai"/>
    <x v="5"/>
    <s v="Corporate"/>
    <n v="62"/>
    <x v="1"/>
  </r>
  <r>
    <s v="ORD-01314"/>
    <x v="277"/>
    <s v="CUST-0160"/>
    <s v="PROD-048"/>
    <x v="4"/>
    <n v="3"/>
    <n v="5100"/>
    <n v="7.8"/>
    <n v="14106.6"/>
    <s v="Completed"/>
    <s v="Hyderabad"/>
    <x v="5"/>
    <s v="Retail"/>
    <n v="27"/>
    <x v="0"/>
  </r>
  <r>
    <s v="ORD-01315"/>
    <x v="192"/>
    <s v="CUST-0163"/>
    <s v="PROD-005"/>
    <x v="19"/>
    <n v="9"/>
    <n v="300"/>
    <n v="19"/>
    <n v="2187"/>
    <s v="Completed"/>
    <s v="Pune"/>
    <x v="4"/>
    <s v="Retail"/>
    <n v="49"/>
    <x v="0"/>
  </r>
  <r>
    <s v="ORD-01316"/>
    <x v="287"/>
    <s v="CUST-0006"/>
    <s v="PROD-042"/>
    <x v="0"/>
    <n v="10"/>
    <n v="2290"/>
    <n v="27.7"/>
    <n v="16556.7"/>
    <s v="Completed"/>
    <s v="Pune"/>
    <x v="5"/>
    <s v="SMB"/>
    <n v="44"/>
    <x v="0"/>
  </r>
  <r>
    <s v="ORD-01317"/>
    <x v="253"/>
    <s v="CUST-0142"/>
    <s v="PROD-013"/>
    <x v="6"/>
    <n v="9"/>
    <n v="3640"/>
    <n v="20.100000000000001"/>
    <n v="26175.24"/>
    <s v="Completed"/>
    <s v="Chennai"/>
    <x v="0"/>
    <s v="Corporate"/>
    <n v="55"/>
    <x v="2"/>
  </r>
  <r>
    <s v="ORD-01318"/>
    <x v="45"/>
    <s v="CUST-0262"/>
    <s v="PROD-020"/>
    <x v="24"/>
    <n v="4"/>
    <n v="820"/>
    <n v="7.6"/>
    <n v="3030.72"/>
    <s v="Completed"/>
    <s v="Mumbai"/>
    <x v="0"/>
    <s v="Retail"/>
    <n v="52"/>
    <x v="3"/>
  </r>
  <r>
    <s v="ORD-01319"/>
    <x v="68"/>
    <s v="CUST-0049"/>
    <s v="PROD-030"/>
    <x v="2"/>
    <n v="1"/>
    <n v="970"/>
    <n v="1.7"/>
    <n v="953.51"/>
    <s v="Completed"/>
    <s v="Mumbai"/>
    <x v="2"/>
    <s v="Corporate"/>
    <n v="42"/>
    <x v="1"/>
  </r>
  <r>
    <s v="ORD-01320"/>
    <x v="125"/>
    <s v="CUST-0204"/>
    <s v="PROD-018"/>
    <x v="7"/>
    <n v="5"/>
    <n v="3560"/>
    <n v="10.5"/>
    <n v="15931"/>
    <s v="Completed"/>
    <s v="Hyderabad"/>
    <x v="0"/>
    <s v="Retail"/>
    <n v="60"/>
    <x v="3"/>
  </r>
  <r>
    <s v="ORD-01321"/>
    <x v="231"/>
    <s v="CUST-0164"/>
    <s v="PROD-035"/>
    <x v="18"/>
    <n v="6"/>
    <n v="1090"/>
    <n v="2.4"/>
    <n v="6383.04"/>
    <s v="Pending"/>
    <s v="Chennai"/>
    <x v="3"/>
    <s v="Retail"/>
    <n v="60"/>
    <x v="1"/>
  </r>
  <r>
    <s v="ORD-01322"/>
    <x v="141"/>
    <s v="CUST-0003"/>
    <s v="PROD-008"/>
    <x v="21"/>
    <n v="6"/>
    <n v="2660"/>
    <n v="6.4"/>
    <n v="14938.56"/>
    <s v="Completed"/>
    <s v="Mumbai"/>
    <x v="4"/>
    <s v="Retail"/>
    <n v="33"/>
    <x v="3"/>
  </r>
  <r>
    <s v="ORD-01323"/>
    <x v="39"/>
    <s v="CUST-0032"/>
    <s v="PROD-006"/>
    <x v="19"/>
    <n v="5"/>
    <n v="3970"/>
    <n v="18.8"/>
    <n v="16118.2"/>
    <s v="Pending"/>
    <s v="Hyderabad"/>
    <x v="4"/>
    <s v="Retail"/>
    <n v="28"/>
    <x v="0"/>
  </r>
  <r>
    <s v="ORD-01324"/>
    <x v="264"/>
    <s v="CUST-0208"/>
    <s v="PROD-056"/>
    <x v="13"/>
    <n v="7"/>
    <n v="6940"/>
    <n v="23.8"/>
    <n v="37017.96"/>
    <s v="Refunded"/>
    <s v="Mumbai"/>
    <x v="1"/>
    <s v="Retail"/>
    <n v="49"/>
    <x v="3"/>
  </r>
  <r>
    <s v="ORD-01325"/>
    <x v="227"/>
    <s v="CUST-0183"/>
    <s v="PROD-058"/>
    <x v="10"/>
    <n v="3"/>
    <n v="2400"/>
    <n v="9.8000000000000007"/>
    <n v="6494.4"/>
    <s v="Completed"/>
    <s v="Mumbai"/>
    <x v="1"/>
    <s v="SMB"/>
    <n v="27"/>
    <x v="0"/>
  </r>
  <r>
    <s v="ORD-01326"/>
    <x v="183"/>
    <s v="CUST-0021"/>
    <s v="PROD-051"/>
    <x v="12"/>
    <n v="8"/>
    <n v="3450"/>
    <n v="26.6"/>
    <n v="20258.400000000001"/>
    <s v="Cancelled"/>
    <s v="Pune"/>
    <x v="1"/>
    <s v="Retail"/>
    <n v="44"/>
    <x v="3"/>
  </r>
  <r>
    <s v="ORD-01327"/>
    <x v="44"/>
    <s v="CUST-0080"/>
    <s v="PROD-009"/>
    <x v="10"/>
    <n v="4"/>
    <n v="1220"/>
    <n v="5.5"/>
    <n v="4611.6000000000004"/>
    <s v="Completed"/>
    <s v="Pune"/>
    <x v="4"/>
    <s v="SMB"/>
    <n v="30"/>
    <x v="0"/>
  </r>
  <r>
    <s v="ORD-01328"/>
    <x v="355"/>
    <s v="CUST-0286"/>
    <s v="PROD-016"/>
    <x v="0"/>
    <n v="1"/>
    <n v="620"/>
    <n v="22.3"/>
    <n v="481.74"/>
    <s v="Pending"/>
    <s v="Delhi"/>
    <x v="0"/>
    <s v="Retail"/>
    <n v="62"/>
    <x v="0"/>
  </r>
  <r>
    <s v="ORD-01329"/>
    <x v="333"/>
    <s v="CUST-0152"/>
    <s v="PROD-005"/>
    <x v="12"/>
    <n v="1"/>
    <n v="300"/>
    <n v="12.5"/>
    <n v="262.5"/>
    <s v="Completed"/>
    <s v="Bengaluru"/>
    <x v="4"/>
    <s v="SMB"/>
    <n v="64"/>
    <x v="3"/>
  </r>
  <r>
    <s v="ORD-01330"/>
    <x v="349"/>
    <s v="CUST-0254"/>
    <s v="PROD-054"/>
    <x v="16"/>
    <n v="3"/>
    <n v="1010"/>
    <n v="14.1"/>
    <n v="2602.77"/>
    <s v="Completed"/>
    <s v="Bengaluru"/>
    <x v="1"/>
    <s v="Retail"/>
    <n v="35"/>
    <x v="3"/>
  </r>
  <r>
    <s v="ORD-01331"/>
    <x v="77"/>
    <s v="CUST-0290"/>
    <s v="PROD-034"/>
    <x v="28"/>
    <n v="2"/>
    <n v="5080"/>
    <n v="16.8"/>
    <n v="8453.1200000000008"/>
    <s v="Completed"/>
    <s v="Delhi"/>
    <x v="3"/>
    <s v="Retail"/>
    <n v="63"/>
    <x v="2"/>
  </r>
  <r>
    <s v="ORD-01332"/>
    <x v="104"/>
    <s v="CUST-0101"/>
    <s v="PROD-012"/>
    <x v="28"/>
    <n v="2"/>
    <n v="3160"/>
    <n v="21.4"/>
    <n v="4967.5200000000004"/>
    <s v="Completed"/>
    <s v="Hyderabad"/>
    <x v="0"/>
    <s v="SMB"/>
    <n v="40"/>
    <x v="2"/>
  </r>
  <r>
    <s v="ORD-01333"/>
    <x v="275"/>
    <s v="CUST-0058"/>
    <s v="PROD-047"/>
    <x v="29"/>
    <n v="7"/>
    <n v="3450"/>
    <n v="21.3"/>
    <n v="19006.05"/>
    <s v="Completed"/>
    <s v="Bengaluru"/>
    <x v="5"/>
    <s v="SMB"/>
    <n v="49"/>
    <x v="1"/>
  </r>
  <r>
    <s v="ORD-01334"/>
    <x v="94"/>
    <s v="CUST-0296"/>
    <s v="PROD-001"/>
    <x v="3"/>
    <n v="2"/>
    <n v="5330"/>
    <n v="4.3"/>
    <n v="10201.620000000001"/>
    <s v="Completed"/>
    <s v="Delhi"/>
    <x v="4"/>
    <s v="Corporate"/>
    <n v="47"/>
    <x v="0"/>
  </r>
  <r>
    <s v="ORD-01335"/>
    <x v="17"/>
    <s v="CUST-0249"/>
    <s v="PROD-056"/>
    <x v="2"/>
    <n v="5"/>
    <n v="6940"/>
    <n v="2.9"/>
    <n v="33693.699999999997"/>
    <s v="Completed"/>
    <s v="Mumbai"/>
    <x v="1"/>
    <s v="Retail"/>
    <n v="44"/>
    <x v="1"/>
  </r>
  <r>
    <s v="ORD-01336"/>
    <x v="166"/>
    <s v="CUST-0055"/>
    <s v="PROD-037"/>
    <x v="8"/>
    <n v="5"/>
    <n v="660"/>
    <n v="15.8"/>
    <n v="2778.6"/>
    <s v="Completed"/>
    <s v="Bengaluru"/>
    <x v="3"/>
    <s v="Retail"/>
    <n v="34"/>
    <x v="2"/>
  </r>
  <r>
    <s v="ORD-01337"/>
    <x v="281"/>
    <s v="CUST-0005"/>
    <s v="PROD-048"/>
    <x v="22"/>
    <n v="9"/>
    <n v="5100"/>
    <n v="0.4"/>
    <n v="45716.4"/>
    <s v="Completed"/>
    <s v="Chennai"/>
    <x v="5"/>
    <s v="Corporate"/>
    <n v="52"/>
    <x v="1"/>
  </r>
  <r>
    <s v="ORD-01338"/>
    <x v="162"/>
    <s v="CUST-9595"/>
    <s v="PROD-044"/>
    <x v="2"/>
    <n v="5"/>
    <n v="1650"/>
    <n v="0.8"/>
    <n v="8184"/>
    <s v="Pending"/>
    <s v="Chennai"/>
    <x v="5"/>
    <e v="#N/A"/>
    <e v="#N/A"/>
    <x v="1"/>
  </r>
  <r>
    <s v="ORD-01339"/>
    <x v="286"/>
    <s v="CUST-0138"/>
    <s v="PROD-013"/>
    <x v="26"/>
    <n v="7"/>
    <n v="3640"/>
    <n v="25.5"/>
    <n v="18982.599999999999"/>
    <s v="Completed"/>
    <s v="Chennai"/>
    <x v="0"/>
    <s v="Retail"/>
    <n v="24"/>
    <x v="3"/>
  </r>
  <r>
    <s v="ORD-01340"/>
    <x v="175"/>
    <s v="CUST-0112"/>
    <s v="PROD-046"/>
    <x v="20"/>
    <n v="6"/>
    <n v="4880"/>
    <n v="12.6"/>
    <n v="25590.720000000001"/>
    <s v="Cancelled"/>
    <s v="Hyderabad"/>
    <x v="5"/>
    <s v="Retail"/>
    <n v="64"/>
    <x v="2"/>
  </r>
  <r>
    <s v="ORD-01341"/>
    <x v="124"/>
    <s v="CUST-0254"/>
    <s v="PROD-001"/>
    <x v="8"/>
    <n v="4"/>
    <n v="5330"/>
    <n v="16.2"/>
    <n v="17866.16"/>
    <s v="Completed"/>
    <s v="Bengaluru"/>
    <x v="4"/>
    <s v="Retail"/>
    <n v="35"/>
    <x v="2"/>
  </r>
  <r>
    <s v="ORD-01342"/>
    <x v="169"/>
    <s v="CUST-0087"/>
    <s v="PROD-038"/>
    <x v="12"/>
    <n v="3"/>
    <n v="5490"/>
    <n v="26.7"/>
    <n v="12072.51"/>
    <s v="Completed"/>
    <s v="Pune"/>
    <x v="3"/>
    <s v="SMB"/>
    <n v="49"/>
    <x v="3"/>
  </r>
  <r>
    <s v="ORD-01343"/>
    <x v="148"/>
    <s v="CUST-0142"/>
    <s v="PROD-060"/>
    <x v="25"/>
    <n v="7"/>
    <n v="190"/>
    <n v="11.6"/>
    <n v="1175.72"/>
    <s v="Completed"/>
    <s v="Chennai"/>
    <x v="1"/>
    <s v="Corporate"/>
    <n v="55"/>
    <x v="0"/>
  </r>
  <r>
    <s v="ORD-01344"/>
    <x v="352"/>
    <s v="CUST-0293"/>
    <s v="PROD-012"/>
    <x v="29"/>
    <n v="5"/>
    <n v="3160"/>
    <n v="24.1"/>
    <n v="11992.2"/>
    <s v="Completed"/>
    <s v="Bengaluru"/>
    <x v="0"/>
    <s v="Retail"/>
    <n v="27"/>
    <x v="1"/>
  </r>
  <r>
    <s v="ORD-01345"/>
    <x v="183"/>
    <s v="CUST-0025"/>
    <s v="PROD-035"/>
    <x v="12"/>
    <n v="1"/>
    <n v="1090"/>
    <n v="9.6"/>
    <n v="985.36"/>
    <s v="Refunded"/>
    <s v="Bengaluru"/>
    <x v="3"/>
    <s v="Retail"/>
    <n v="23"/>
    <x v="3"/>
  </r>
  <r>
    <s v="ORD-01346"/>
    <x v="130"/>
    <s v="CUST-0096"/>
    <s v="PROD-032"/>
    <x v="10"/>
    <n v="9"/>
    <n v="370"/>
    <n v="4"/>
    <n v="3196.8"/>
    <s v="Completed"/>
    <s v="Delhi"/>
    <x v="3"/>
    <s v="Corporate"/>
    <n v="27"/>
    <x v="0"/>
  </r>
  <r>
    <s v="ORD-01347"/>
    <x v="212"/>
    <s v="CUST-0069"/>
    <s v="PROD-008"/>
    <x v="25"/>
    <n v="5"/>
    <n v="2660"/>
    <n v="24.6"/>
    <n v="10028.200000000001"/>
    <s v="Cancelled"/>
    <s v="Chennai"/>
    <x v="4"/>
    <s v="Retail"/>
    <n v="51"/>
    <x v="0"/>
  </r>
  <r>
    <s v="ORD-01348"/>
    <x v="322"/>
    <s v="CUST-0220"/>
    <s v="PROD-018"/>
    <x v="26"/>
    <n v="4"/>
    <n v="3560"/>
    <n v="25.7"/>
    <n v="10580.32"/>
    <s v="Completed"/>
    <s v="Chennai"/>
    <x v="0"/>
    <s v="Retail"/>
    <n v="34"/>
    <x v="3"/>
  </r>
  <r>
    <s v="ORD-01349"/>
    <x v="306"/>
    <s v="CUST-0005"/>
    <s v="PROD-049"/>
    <x v="1"/>
    <n v="8"/>
    <n v="960"/>
    <n v="0.1"/>
    <n v="7672.32"/>
    <s v="Completed"/>
    <s v="Chennai"/>
    <x v="5"/>
    <s v="Corporate"/>
    <n v="52"/>
    <x v="0"/>
  </r>
  <r>
    <s v="ORD-01350"/>
    <x v="128"/>
    <s v="CUST-0222"/>
    <s v="PROD-032"/>
    <x v="6"/>
    <n v="10"/>
    <n v="370"/>
    <n v="16.399999999999999"/>
    <n v="3093.2"/>
    <s v="Cancelled"/>
    <s v="Chennai"/>
    <x v="3"/>
    <s v="Retail"/>
    <n v="37"/>
    <x v="2"/>
  </r>
  <r>
    <s v="ORD-01351"/>
    <x v="342"/>
    <s v="CUST-0039"/>
    <s v="PROD-015"/>
    <x v="20"/>
    <n v="4"/>
    <n v="2720"/>
    <n v="3.1"/>
    <n v="10542.72"/>
    <s v="Completed"/>
    <s v="Bengaluru"/>
    <x v="0"/>
    <s v="Retail"/>
    <n v="37"/>
    <x v="2"/>
  </r>
  <r>
    <s v="ORD-01352"/>
    <x v="236"/>
    <s v="CUST-0224"/>
    <s v="PROD-034"/>
    <x v="1"/>
    <n v="10"/>
    <n v="5080"/>
    <n v="6.8"/>
    <n v="47345.599999999999"/>
    <s v="Completed"/>
    <s v="Chennai"/>
    <x v="3"/>
    <s v="Corporate"/>
    <n v="24"/>
    <x v="0"/>
  </r>
  <r>
    <s v="ORD-01353"/>
    <x v="229"/>
    <s v="CUST-0288"/>
    <s v="PROD-042"/>
    <x v="4"/>
    <n v="6"/>
    <n v="2290"/>
    <n v="22.6"/>
    <n v="10634.76"/>
    <s v="Completed"/>
    <s v="Hyderabad"/>
    <x v="5"/>
    <s v="Corporate"/>
    <n v="25"/>
    <x v="0"/>
  </r>
  <r>
    <s v="ORD-01354"/>
    <x v="349"/>
    <s v="CUST-0002"/>
    <s v="PROD-021"/>
    <x v="3"/>
    <n v="4"/>
    <n v="2760"/>
    <n v="27.2"/>
    <n v="8037.12"/>
    <s v="Refunded"/>
    <s v="Pune"/>
    <x v="2"/>
    <s v="Corporate"/>
    <n v="42"/>
    <x v="0"/>
  </r>
  <r>
    <s v="ORD-01355"/>
    <x v="12"/>
    <s v="CUST-0172"/>
    <s v="PROD-024"/>
    <x v="28"/>
    <n v="9"/>
    <n v="2270"/>
    <n v="5.2"/>
    <n v="19367.64"/>
    <s v="Completed"/>
    <s v="Pune"/>
    <x v="2"/>
    <s v="Retail"/>
    <n v="65"/>
    <x v="2"/>
  </r>
  <r>
    <s v="ORD-01356"/>
    <x v="66"/>
    <s v="CUST-0287"/>
    <s v="PROD-017"/>
    <x v="4"/>
    <n v="3"/>
    <n v="2510"/>
    <n v="16.399999999999999"/>
    <n v="6295.08"/>
    <s v="Completed"/>
    <s v="Chennai"/>
    <x v="0"/>
    <s v="SMB"/>
    <n v="53"/>
    <x v="0"/>
  </r>
  <r>
    <s v="ORD-01357"/>
    <x v="186"/>
    <s v="CUST-0020"/>
    <s v="PROD-023"/>
    <x v="27"/>
    <n v="1"/>
    <n v="2380"/>
    <n v="23.5"/>
    <n v="1820.7"/>
    <s v="Completed"/>
    <s v="Hyderabad"/>
    <x v="2"/>
    <s v="Retail"/>
    <n v="46"/>
    <x v="1"/>
  </r>
  <r>
    <s v="ORD-01358"/>
    <x v="130"/>
    <s v="CUST-0039"/>
    <s v="PROD-059"/>
    <x v="7"/>
    <n v="2"/>
    <n v="3780"/>
    <n v="29.1"/>
    <n v="5360.04"/>
    <s v="Completed"/>
    <s v="Bengaluru"/>
    <x v="1"/>
    <s v="Retail"/>
    <n v="37"/>
    <x v="3"/>
  </r>
  <r>
    <s v="ORD-01359"/>
    <x v="14"/>
    <s v="CUST-0128"/>
    <s v="PROD-011"/>
    <x v="17"/>
    <n v="1"/>
    <n v="3450"/>
    <n v="17.8"/>
    <n v="2835.9"/>
    <s v="Completed"/>
    <s v="Hyderabad"/>
    <x v="0"/>
    <s v="Retail"/>
    <n v="35"/>
    <x v="2"/>
  </r>
  <r>
    <s v="ORD-01360"/>
    <x v="310"/>
    <s v="CUST-0149"/>
    <s v="PROD-046"/>
    <x v="3"/>
    <n v="6"/>
    <n v="4880"/>
    <n v="15.6"/>
    <n v="24712.32"/>
    <s v="Pending"/>
    <s v="Hyderabad"/>
    <x v="5"/>
    <s v="Retail"/>
    <n v="44"/>
    <x v="0"/>
  </r>
  <r>
    <s v="ORD-01361"/>
    <x v="273"/>
    <s v="CUST-0101"/>
    <s v="PROD-049"/>
    <x v="29"/>
    <n v="6"/>
    <n v="960"/>
    <n v="7.5"/>
    <n v="5328"/>
    <s v="Pending"/>
    <s v="Hyderabad"/>
    <x v="5"/>
    <s v="SMB"/>
    <n v="40"/>
    <x v="1"/>
  </r>
  <r>
    <s v="ORD-01362"/>
    <x v="147"/>
    <s v="CUST-0106"/>
    <s v="PROD-018"/>
    <x v="12"/>
    <n v="1"/>
    <n v="3560"/>
    <n v="12.9"/>
    <n v="3100.76"/>
    <s v="Completed"/>
    <s v="Pune"/>
    <x v="0"/>
    <s v="Retail"/>
    <n v="22"/>
    <x v="3"/>
  </r>
  <r>
    <s v="ORD-01363"/>
    <x v="12"/>
    <s v="CUST-0085"/>
    <s v="PROD-025"/>
    <x v="1"/>
    <n v="5"/>
    <n v="4060"/>
    <n v="18.100000000000001"/>
    <n v="16625.7"/>
    <s v="Pending"/>
    <s v="Chennai"/>
    <x v="2"/>
    <s v="Retail"/>
    <n v="26"/>
    <x v="0"/>
  </r>
  <r>
    <s v="ORD-01364"/>
    <x v="182"/>
    <s v="CUST-0071"/>
    <s v="PROD-015"/>
    <x v="16"/>
    <n v="10"/>
    <n v="2720"/>
    <n v="23.2"/>
    <n v="20889.599999999999"/>
    <s v="Completed"/>
    <s v="Delhi"/>
    <x v="0"/>
    <s v="Corporate"/>
    <n v="46"/>
    <x v="3"/>
  </r>
  <r>
    <s v="ORD-01365"/>
    <x v="74"/>
    <s v="CUST-0185"/>
    <s v="PROD-029"/>
    <x v="24"/>
    <n v="1"/>
    <n v="2210"/>
    <n v="5.8"/>
    <n v="2081.8200000000002"/>
    <s v="Pending"/>
    <s v="Hyderabad"/>
    <x v="2"/>
    <s v="SMB"/>
    <n v="43"/>
    <x v="3"/>
  </r>
  <r>
    <s v="ORD-01366"/>
    <x v="74"/>
    <s v="CUST-0182"/>
    <s v="PROD-047"/>
    <x v="22"/>
    <n v="5"/>
    <n v="3450"/>
    <n v="27.9"/>
    <n v="12437.25"/>
    <s v="Pending"/>
    <s v="Mumbai"/>
    <x v="5"/>
    <s v="Retail"/>
    <n v="54"/>
    <x v="1"/>
  </r>
  <r>
    <s v="ORD-01367"/>
    <x v="269"/>
    <s v="CUST-0177"/>
    <s v="PROD-023"/>
    <x v="12"/>
    <n v="9"/>
    <n v="2380"/>
    <n v="15.2"/>
    <n v="18164.16"/>
    <s v="Refunded"/>
    <s v="Mumbai"/>
    <x v="2"/>
    <s v="SMB"/>
    <n v="36"/>
    <x v="3"/>
  </r>
  <r>
    <s v="ORD-01368"/>
    <x v="317"/>
    <s v="CUST-0253"/>
    <s v="PROD-023"/>
    <x v="25"/>
    <n v="2"/>
    <n v="2380"/>
    <n v="24.3"/>
    <n v="3603.32"/>
    <s v="Completed"/>
    <s v="Delhi"/>
    <x v="2"/>
    <s v="SMB"/>
    <n v="53"/>
    <x v="0"/>
  </r>
  <r>
    <s v="ORD-01369"/>
    <x v="9"/>
    <s v="CUST-0071"/>
    <s v="PROD-018"/>
    <x v="27"/>
    <n v="9"/>
    <n v="3560"/>
    <n v="6.6"/>
    <n v="29925.360000000001"/>
    <s v="Refunded"/>
    <s v="Delhi"/>
    <x v="0"/>
    <s v="Corporate"/>
    <n v="46"/>
    <x v="1"/>
  </r>
  <r>
    <s v="ORD-01370"/>
    <x v="259"/>
    <s v="CUST-0240"/>
    <s v="PROD-009"/>
    <x v="26"/>
    <n v="7"/>
    <n v="1220"/>
    <n v="29.4"/>
    <n v="6029.24"/>
    <s v="Completed"/>
    <s v="Chennai"/>
    <x v="4"/>
    <s v="Corporate"/>
    <n v="35"/>
    <x v="3"/>
  </r>
  <r>
    <s v="ORD-01371"/>
    <x v="9"/>
    <s v="CUST-0050"/>
    <s v="PROD-056"/>
    <x v="21"/>
    <n v="7"/>
    <n v="6940"/>
    <n v="9.6"/>
    <n v="43916.32"/>
    <s v="Completed"/>
    <s v="Mumbai"/>
    <x v="1"/>
    <s v="Retail"/>
    <n v="37"/>
    <x v="3"/>
  </r>
  <r>
    <s v="ORD-01372"/>
    <x v="183"/>
    <s v="CUST-0089"/>
    <s v="PROD-035"/>
    <x v="24"/>
    <n v="2"/>
    <n v="1090"/>
    <n v="17"/>
    <n v="1809.4"/>
    <s v="Completed"/>
    <s v="Mumbai"/>
    <x v="3"/>
    <s v="SMB"/>
    <n v="43"/>
    <x v="3"/>
  </r>
  <r>
    <s v="ORD-01373"/>
    <x v="97"/>
    <s v="CUST-0209"/>
    <s v="PROD-023"/>
    <x v="8"/>
    <n v="4"/>
    <n v="2380"/>
    <n v="18.899999999999999"/>
    <n v="7720.72"/>
    <s v="Pending"/>
    <s v="Pune"/>
    <x v="2"/>
    <s v="Retail"/>
    <n v="31"/>
    <x v="2"/>
  </r>
  <r>
    <s v="ORD-01374"/>
    <x v="344"/>
    <s v="CUST-0089"/>
    <s v="PROD-024"/>
    <x v="10"/>
    <n v="6"/>
    <n v="2270"/>
    <n v="20.9"/>
    <n v="10773.42"/>
    <s v="Pending"/>
    <s v="Mumbai"/>
    <x v="2"/>
    <s v="SMB"/>
    <n v="43"/>
    <x v="0"/>
  </r>
  <r>
    <s v="ORD-01375"/>
    <x v="248"/>
    <s v="CUST-0093"/>
    <s v="PROD-033"/>
    <x v="7"/>
    <n v="10"/>
    <n v="2030"/>
    <n v="25"/>
    <n v="15225"/>
    <s v="Completed"/>
    <s v="Pune"/>
    <x v="3"/>
    <s v="Retail"/>
    <n v="36"/>
    <x v="3"/>
  </r>
  <r>
    <s v="ORD-01376"/>
    <x v="118"/>
    <s v="CUST-0018"/>
    <s v="PROD-035"/>
    <x v="28"/>
    <n v="3"/>
    <n v="1090"/>
    <n v="12.1"/>
    <n v="2874.33"/>
    <s v="Completed"/>
    <s v="Pune"/>
    <x v="3"/>
    <s v="SMB"/>
    <n v="54"/>
    <x v="2"/>
  </r>
  <r>
    <s v="ORD-01377"/>
    <x v="291"/>
    <s v="CUST-0089"/>
    <s v="PROD-017"/>
    <x v="21"/>
    <n v="3"/>
    <n v="2510"/>
    <n v="28.7"/>
    <n v="5368.89"/>
    <s v="Completed"/>
    <s v="Mumbai"/>
    <x v="0"/>
    <s v="SMB"/>
    <n v="43"/>
    <x v="3"/>
  </r>
  <r>
    <s v="ORD-01378"/>
    <x v="249"/>
    <s v="CUST-0116"/>
    <s v="PROD-024"/>
    <x v="17"/>
    <n v="9"/>
    <n v="2270"/>
    <n v="25.4"/>
    <n v="15240.78"/>
    <s v="Pending"/>
    <s v="Bengaluru"/>
    <x v="2"/>
    <s v="Retail"/>
    <n v="53"/>
    <x v="2"/>
  </r>
  <r>
    <s v="ORD-01379"/>
    <x v="169"/>
    <s v="CUST-0071"/>
    <s v="PROD-006"/>
    <x v="20"/>
    <n v="9"/>
    <n v="3970"/>
    <n v="10.1"/>
    <n v="32121.27"/>
    <s v="Cancelled"/>
    <s v="Delhi"/>
    <x v="4"/>
    <s v="Corporate"/>
    <n v="46"/>
    <x v="2"/>
  </r>
  <r>
    <s v="ORD-01380"/>
    <x v="23"/>
    <s v="CUST-0115"/>
    <s v="PROD-029"/>
    <x v="2"/>
    <n v="6"/>
    <n v="2210"/>
    <n v="7.4"/>
    <n v="12278.76"/>
    <s v="Completed"/>
    <s v="Mumbai"/>
    <x v="2"/>
    <s v="SMB"/>
    <n v="65"/>
    <x v="1"/>
  </r>
  <r>
    <s v="ORD-01381"/>
    <x v="107"/>
    <s v="CUST-0258"/>
    <s v="PROD-041"/>
    <x v="21"/>
    <n v="7"/>
    <n v="1540"/>
    <n v="20.6"/>
    <n v="8559.32"/>
    <s v="Completed"/>
    <s v="Pune"/>
    <x v="5"/>
    <s v="Retail"/>
    <n v="44"/>
    <x v="3"/>
  </r>
  <r>
    <s v="ORD-01382"/>
    <x v="323"/>
    <s v="CUST-0290"/>
    <s v="PROD-039"/>
    <x v="28"/>
    <n v="9"/>
    <n v="4610"/>
    <n v="2.1"/>
    <n v="40618.71"/>
    <s v="Completed"/>
    <s v="Delhi"/>
    <x v="3"/>
    <s v="Retail"/>
    <n v="63"/>
    <x v="2"/>
  </r>
  <r>
    <s v="ORD-01383"/>
    <x v="159"/>
    <s v="CUST-0279"/>
    <s v="PROD-006"/>
    <x v="25"/>
    <n v="10"/>
    <n v="3970"/>
    <n v="13.3"/>
    <n v="34419.9"/>
    <s v="Pending"/>
    <s v="Mumbai"/>
    <x v="4"/>
    <s v="Retail"/>
    <n v="56"/>
    <x v="0"/>
  </r>
  <r>
    <s v="ORD-01384"/>
    <x v="166"/>
    <s v="CUST-0132"/>
    <s v="PROD-008"/>
    <x v="4"/>
    <n v="8"/>
    <n v="2660"/>
    <n v="16.8"/>
    <n v="17704.96"/>
    <s v="Completed"/>
    <s v="Delhi"/>
    <x v="4"/>
    <s v="Retail"/>
    <n v="41"/>
    <x v="0"/>
  </r>
  <r>
    <s v="ORD-01385"/>
    <x v="90"/>
    <s v="CUST-0029"/>
    <s v="PROD-047"/>
    <x v="13"/>
    <n v="6"/>
    <n v="3450"/>
    <n v="23.4"/>
    <n v="15856.2"/>
    <s v="Completed"/>
    <s v="Chennai"/>
    <x v="5"/>
    <s v="Corporate"/>
    <n v="54"/>
    <x v="3"/>
  </r>
  <r>
    <s v="ORD-01386"/>
    <x v="356"/>
    <s v="CUST-0295"/>
    <s v="PROD-053"/>
    <x v="0"/>
    <n v="10"/>
    <n v="470"/>
    <n v="21.2"/>
    <n v="3703.6"/>
    <s v="Completed"/>
    <s v="Delhi"/>
    <x v="1"/>
    <s v="SMB"/>
    <n v="48"/>
    <x v="0"/>
  </r>
  <r>
    <s v="ORD-00168"/>
    <x v="323"/>
    <s v="CUST-0106"/>
    <s v="PROD-059"/>
    <x v="24"/>
    <n v="7"/>
    <n v="3780"/>
    <n v="10.1"/>
    <n v="23787.54"/>
    <s v="Completed"/>
    <s v="Pune"/>
    <x v="1"/>
    <s v="Retail"/>
    <n v="22"/>
    <x v="3"/>
  </r>
  <r>
    <s v="ORD-01388"/>
    <x v="258"/>
    <s v="CUST-0127"/>
    <s v="PROD-014"/>
    <x v="28"/>
    <n v="3"/>
    <n v="3620"/>
    <n v="4.2"/>
    <n v="10403.879999999999"/>
    <s v="Completed"/>
    <s v="Bengaluru"/>
    <x v="0"/>
    <s v="SMB"/>
    <n v="36"/>
    <x v="2"/>
  </r>
  <r>
    <s v="ORD-01389"/>
    <x v="110"/>
    <s v="CUST-0031"/>
    <s v="PROD-049"/>
    <x v="8"/>
    <n v="7"/>
    <n v="960"/>
    <n v="9"/>
    <n v="6115.2"/>
    <s v="Completed"/>
    <s v="Hyderabad"/>
    <x v="5"/>
    <s v="Retail"/>
    <n v="53"/>
    <x v="2"/>
  </r>
  <r>
    <s v="ORD-01390"/>
    <x v="112"/>
    <s v="CUST-0256"/>
    <s v="PROD-043"/>
    <x v="0"/>
    <n v="10"/>
    <n v="3350"/>
    <n v="1.2"/>
    <n v="33098"/>
    <s v="Cancelled"/>
    <s v="Hyderabad"/>
    <x v="5"/>
    <s v="Retail"/>
    <n v="28"/>
    <x v="0"/>
  </r>
  <r>
    <s v="ORD-01391"/>
    <x v="321"/>
    <s v="CUST-0131"/>
    <s v="PROD-058"/>
    <x v="14"/>
    <n v="3"/>
    <n v="2400"/>
    <n v="15.4"/>
    <n v="6091.2"/>
    <s v="Completed"/>
    <s v="Delhi"/>
    <x v="1"/>
    <s v="SMB"/>
    <n v="28"/>
    <x v="2"/>
  </r>
  <r>
    <s v="ORD-01392"/>
    <x v="192"/>
    <s v="CUST-0270"/>
    <s v="PROD-055"/>
    <x v="25"/>
    <n v="2"/>
    <n v="2860"/>
    <n v="10.5"/>
    <n v="5119.3999999999996"/>
    <s v="Completed"/>
    <s v="Bengaluru"/>
    <x v="1"/>
    <s v="Retail"/>
    <n v="29"/>
    <x v="0"/>
  </r>
  <r>
    <s v="ORD-01393"/>
    <x v="247"/>
    <s v="CUST-0212"/>
    <s v="PROD-042"/>
    <x v="4"/>
    <n v="4"/>
    <n v="2290"/>
    <n v="5.9"/>
    <n v="8619.56"/>
    <s v="Completed"/>
    <s v="Chennai"/>
    <x v="5"/>
    <s v="SMB"/>
    <n v="46"/>
    <x v="0"/>
  </r>
  <r>
    <s v="ORD-01394"/>
    <x v="59"/>
    <s v="CUST-0216"/>
    <s v="PROD-001"/>
    <x v="12"/>
    <n v="7"/>
    <n v="5330"/>
    <n v="3.5"/>
    <n v="36004.15"/>
    <s v="Cancelled"/>
    <s v="Mumbai"/>
    <x v="4"/>
    <s v="Retail"/>
    <n v="50"/>
    <x v="3"/>
  </r>
  <r>
    <s v="ORD-01395"/>
    <x v="65"/>
    <s v="CUST-0189"/>
    <s v="PROD-013"/>
    <x v="26"/>
    <n v="10"/>
    <n v="3640"/>
    <n v="20.100000000000001"/>
    <n v="29083.599999999999"/>
    <s v="Completed"/>
    <s v="Chennai"/>
    <x v="0"/>
    <s v="Retail"/>
    <n v="41"/>
    <x v="3"/>
  </r>
  <r>
    <s v="ORD-01396"/>
    <x v="142"/>
    <s v="CUST-0064"/>
    <s v="PROD-034"/>
    <x v="6"/>
    <n v="10"/>
    <n v="5080"/>
    <n v="2.1"/>
    <n v="49733.2"/>
    <s v="Completed"/>
    <s v="Hyderabad"/>
    <x v="3"/>
    <s v="SMB"/>
    <n v="40"/>
    <x v="2"/>
  </r>
  <r>
    <s v="ORD-01397"/>
    <x v="25"/>
    <s v="CUST-0016"/>
    <s v="PROD-035"/>
    <x v="26"/>
    <n v="4"/>
    <n v="1090"/>
    <n v="18.5"/>
    <n v="3553.4"/>
    <s v="Refunded"/>
    <s v="Delhi"/>
    <x v="3"/>
    <s v="SMB"/>
    <n v="26"/>
    <x v="3"/>
  </r>
  <r>
    <s v="ORD-01398"/>
    <x v="218"/>
    <s v="CUST-0296"/>
    <s v="PROD-047"/>
    <x v="14"/>
    <n v="10"/>
    <n v="3450"/>
    <n v="26.5"/>
    <n v="25357.5"/>
    <s v="Refunded"/>
    <s v="Delhi"/>
    <x v="5"/>
    <s v="Corporate"/>
    <n v="47"/>
    <x v="2"/>
  </r>
  <r>
    <s v="ORD-01399"/>
    <x v="64"/>
    <s v="CUST-0031"/>
    <s v="PROD-052"/>
    <x v="18"/>
    <n v="9"/>
    <n v="5410"/>
    <n v="11.5"/>
    <n v="43090.65"/>
    <s v="Completed"/>
    <s v="Hyderabad"/>
    <x v="1"/>
    <s v="Retail"/>
    <n v="53"/>
    <x v="1"/>
  </r>
  <r>
    <s v="ORD-01400"/>
    <x v="338"/>
    <s v="CUST-0207"/>
    <s v="PROD-011"/>
    <x v="14"/>
    <n v="9"/>
    <n v="3450"/>
    <n v="0.3"/>
    <n v="30956.85"/>
    <s v="Refunded"/>
    <s v="Hyderabad"/>
    <x v="0"/>
    <s v="SMB"/>
    <n v="34"/>
    <x v="2"/>
  </r>
  <r>
    <s v="ORD-01401"/>
    <x v="105"/>
    <s v="CUST-0165"/>
    <s v="PROD-012"/>
    <x v="5"/>
    <n v="10"/>
    <n v="3160"/>
    <n v="13.6"/>
    <n v="27302.400000000001"/>
    <s v="Completed"/>
    <s v="Pune"/>
    <x v="0"/>
    <s v="Retail"/>
    <n v="29"/>
    <x v="2"/>
  </r>
  <r>
    <s v="ORD-01402"/>
    <x v="301"/>
    <s v="CUST-0281"/>
    <s v="PROD-041"/>
    <x v="17"/>
    <n v="3"/>
    <n v="1540"/>
    <n v="21.2"/>
    <n v="3640.56"/>
    <s v="Completed"/>
    <s v="Bengaluru"/>
    <x v="5"/>
    <s v="Corporate"/>
    <n v="57"/>
    <x v="2"/>
  </r>
  <r>
    <s v="ORD-01403"/>
    <x v="73"/>
    <s v="CUST-0018"/>
    <s v="PROD-013"/>
    <x v="24"/>
    <n v="5"/>
    <n v="3640"/>
    <n v="17.5"/>
    <n v="15015"/>
    <s v="Completed"/>
    <s v="Pune"/>
    <x v="0"/>
    <s v="SMB"/>
    <n v="54"/>
    <x v="3"/>
  </r>
  <r>
    <s v="ORD-01404"/>
    <x v="272"/>
    <s v="CUST-0204"/>
    <s v="PROD-059"/>
    <x v="25"/>
    <n v="4"/>
    <n v="3780"/>
    <n v="9"/>
    <n v="13759.2"/>
    <s v="Pending"/>
    <s v="Hyderabad"/>
    <x v="1"/>
    <s v="Retail"/>
    <n v="60"/>
    <x v="0"/>
  </r>
  <r>
    <s v="ORD-01405"/>
    <x v="357"/>
    <s v="CUST-0028"/>
    <s v="PROD-015"/>
    <x v="5"/>
    <n v="9"/>
    <n v="2720"/>
    <n v="8.9"/>
    <n v="22301.279999999999"/>
    <s v="Completed"/>
    <s v="Bengaluru"/>
    <x v="0"/>
    <s v="Retail"/>
    <n v="59"/>
    <x v="2"/>
  </r>
  <r>
    <s v="ORD-01406"/>
    <x v="83"/>
    <s v="CUST-0144"/>
    <s v="PROD-014"/>
    <x v="10"/>
    <n v="4"/>
    <n v="3620"/>
    <n v="8"/>
    <n v="13321.6"/>
    <s v="Pending"/>
    <s v="Chennai"/>
    <x v="0"/>
    <s v="Retail"/>
    <n v="49"/>
    <x v="0"/>
  </r>
  <r>
    <s v="ORD-01407"/>
    <x v="354"/>
    <s v="CUST-0043"/>
    <s v="PROD-011"/>
    <x v="10"/>
    <n v="1"/>
    <n v="3450"/>
    <n v="0.2"/>
    <n v="3443.1"/>
    <s v="Completed"/>
    <s v="Hyderabad"/>
    <x v="0"/>
    <s v="Retail"/>
    <n v="61"/>
    <x v="0"/>
  </r>
  <r>
    <s v="ORD-01408"/>
    <x v="93"/>
    <s v="CUST-0246"/>
    <s v="PROD-013"/>
    <x v="2"/>
    <n v="7"/>
    <n v="3640"/>
    <n v="4.5999999999999996"/>
    <n v="24307.919999999998"/>
    <s v="Completed"/>
    <s v="Delhi"/>
    <x v="0"/>
    <s v="SMB"/>
    <n v="29"/>
    <x v="1"/>
  </r>
  <r>
    <s v="ORD-01409"/>
    <x v="318"/>
    <s v="CUST-0156"/>
    <s v="PROD-016"/>
    <x v="12"/>
    <n v="9"/>
    <n v="620"/>
    <n v="8.5"/>
    <n v="5105.7"/>
    <s v="Completed"/>
    <s v="Mumbai"/>
    <x v="0"/>
    <s v="Retail"/>
    <n v="33"/>
    <x v="3"/>
  </r>
  <r>
    <s v="ORD-01410"/>
    <x v="318"/>
    <s v="CUST-0066"/>
    <s v="PROD-059"/>
    <x v="29"/>
    <n v="10"/>
    <n v="3780"/>
    <n v="5.8"/>
    <n v="35607.599999999999"/>
    <s v="Completed"/>
    <s v="Delhi"/>
    <x v="1"/>
    <s v="Retail"/>
    <n v="24"/>
    <x v="1"/>
  </r>
  <r>
    <s v="ORD-01411"/>
    <x v="79"/>
    <s v="CUST-0121"/>
    <s v="PROD-003"/>
    <x v="18"/>
    <n v="7"/>
    <n v="3570"/>
    <n v="26.1"/>
    <n v="18467.61"/>
    <s v="Completed"/>
    <s v="Delhi"/>
    <x v="4"/>
    <s v="SMB"/>
    <n v="55"/>
    <x v="1"/>
  </r>
  <r>
    <s v="ORD-01412"/>
    <x v="141"/>
    <s v="CUST-0066"/>
    <s v="PROD-044"/>
    <x v="25"/>
    <n v="2"/>
    <n v="1650"/>
    <n v="3.8"/>
    <n v="3174.6"/>
    <s v="Completed"/>
    <s v="Delhi"/>
    <x v="5"/>
    <s v="Retail"/>
    <n v="24"/>
    <x v="0"/>
  </r>
  <r>
    <s v="ORD-01413"/>
    <x v="63"/>
    <s v="CUST-0099"/>
    <s v="PROD-049"/>
    <x v="27"/>
    <n v="2"/>
    <n v="960"/>
    <n v="6.8"/>
    <n v="1789.44"/>
    <s v="Completed"/>
    <s v="Bengaluru"/>
    <x v="5"/>
    <s v="SMB"/>
    <n v="54"/>
    <x v="1"/>
  </r>
  <r>
    <s v="ORD-01414"/>
    <x v="351"/>
    <s v="CUST-0054"/>
    <s v="PROD-005"/>
    <x v="3"/>
    <n v="2"/>
    <n v="300"/>
    <n v="2.8"/>
    <n v="583.20000000000005"/>
    <s v="Completed"/>
    <s v="Mumbai"/>
    <x v="4"/>
    <s v="Corporate"/>
    <n v="62"/>
    <x v="0"/>
  </r>
  <r>
    <s v="ORD-01415"/>
    <x v="230"/>
    <s v="CUST-0124"/>
    <s v="PROD-025"/>
    <x v="28"/>
    <n v="10"/>
    <n v="4060"/>
    <n v="15.1"/>
    <n v="34469.4"/>
    <s v="Completed"/>
    <s v="Pune"/>
    <x v="2"/>
    <s v="Retail"/>
    <n v="57"/>
    <x v="2"/>
  </r>
  <r>
    <s v="ORD-01416"/>
    <x v="153"/>
    <s v="CUST-0211"/>
    <s v="PROD-001"/>
    <x v="24"/>
    <n v="6"/>
    <n v="5330"/>
    <n v="2"/>
    <n v="31340.400000000001"/>
    <s v="Completed"/>
    <s v="Bengaluru"/>
    <x v="4"/>
    <s v="Retail"/>
    <n v="36"/>
    <x v="3"/>
  </r>
  <r>
    <s v="ORD-01417"/>
    <x v="160"/>
    <s v="CUST-0298"/>
    <s v="PROD-031"/>
    <x v="13"/>
    <n v="9"/>
    <n v="3730"/>
    <n v="24.5"/>
    <n v="25345.35"/>
    <s v="Refunded"/>
    <s v="Delhi"/>
    <x v="3"/>
    <s v="Retail"/>
    <n v="44"/>
    <x v="3"/>
  </r>
  <r>
    <s v="ORD-01418"/>
    <x v="4"/>
    <s v="CUST-0164"/>
    <s v="PROD-050"/>
    <x v="14"/>
    <n v="1"/>
    <n v="6080"/>
    <n v="4.4000000000000004"/>
    <n v="5812.48"/>
    <s v="Cancelled"/>
    <s v="Chennai"/>
    <x v="5"/>
    <s v="Retail"/>
    <n v="60"/>
    <x v="2"/>
  </r>
  <r>
    <s v="ORD-01419"/>
    <x v="111"/>
    <s v="CUST-0003"/>
    <s v="PROD-015"/>
    <x v="5"/>
    <n v="5"/>
    <n v="2720"/>
    <n v="9.1999999999999993"/>
    <n v="12348.8"/>
    <s v="Completed"/>
    <s v="Mumbai"/>
    <x v="0"/>
    <s v="Retail"/>
    <n v="33"/>
    <x v="2"/>
  </r>
  <r>
    <s v="ORD-01420"/>
    <x v="334"/>
    <s v="CUST-0239"/>
    <s v="PROD-011"/>
    <x v="12"/>
    <n v="1"/>
    <n v="3450"/>
    <n v="15.6"/>
    <n v="2911.8"/>
    <s v="Completed"/>
    <s v="Mumbai"/>
    <x v="0"/>
    <s v="Retail"/>
    <n v="61"/>
    <x v="3"/>
  </r>
  <r>
    <s v="ORD-01421"/>
    <x v="285"/>
    <s v="CUST-0116"/>
    <s v="PROD-035"/>
    <x v="24"/>
    <n v="2"/>
    <n v="1090"/>
    <n v="0.4"/>
    <n v="2171.2800000000002"/>
    <s v="Refunded"/>
    <s v="Bengaluru"/>
    <x v="3"/>
    <s v="Retail"/>
    <n v="53"/>
    <x v="3"/>
  </r>
  <r>
    <s v="ORD-01422"/>
    <x v="175"/>
    <s v="CUST-0232"/>
    <s v="PROD-003"/>
    <x v="21"/>
    <n v="2"/>
    <n v="3570"/>
    <n v="9"/>
    <n v="6497.4"/>
    <s v="Completed"/>
    <s v="Hyderabad"/>
    <x v="4"/>
    <s v="Retail"/>
    <n v="38"/>
    <x v="3"/>
  </r>
  <r>
    <s v="ORD-01423"/>
    <x v="352"/>
    <s v="CUST-0121"/>
    <s v="PROD-019"/>
    <x v="2"/>
    <n v="9"/>
    <n v="2480"/>
    <n v="3.6"/>
    <n v="21516.48"/>
    <s v="Pending"/>
    <s v="Delhi"/>
    <x v="0"/>
    <s v="SMB"/>
    <n v="55"/>
    <x v="1"/>
  </r>
  <r>
    <s v="ORD-01424"/>
    <x v="291"/>
    <s v="CUST-0178"/>
    <s v="PROD-027"/>
    <x v="24"/>
    <n v="9"/>
    <n v="3780"/>
    <n v="4.5"/>
    <n v="32489.1"/>
    <s v="Completed"/>
    <s v="Hyderabad"/>
    <x v="2"/>
    <s v="Retail"/>
    <n v="25"/>
    <x v="3"/>
  </r>
  <r>
    <s v="ORD-01425"/>
    <x v="252"/>
    <s v="CUST-0131"/>
    <s v="PROD-025"/>
    <x v="9"/>
    <n v="5"/>
    <n v="4060"/>
    <n v="2.7"/>
    <n v="19751.900000000001"/>
    <s v="Completed"/>
    <s v="Delhi"/>
    <x v="2"/>
    <s v="SMB"/>
    <n v="28"/>
    <x v="1"/>
  </r>
  <r>
    <s v="ORD-01426"/>
    <x v="148"/>
    <s v="CUST-0155"/>
    <s v="PROD-005"/>
    <x v="25"/>
    <n v="8"/>
    <n v="300"/>
    <n v="19.8"/>
    <n v="1924.8"/>
    <s v="Cancelled"/>
    <s v="Pune"/>
    <x v="4"/>
    <s v="Corporate"/>
    <n v="40"/>
    <x v="0"/>
  </r>
  <r>
    <s v="ORD-01427"/>
    <x v="253"/>
    <s v="CUST-0170"/>
    <s v="PROD-036"/>
    <x v="25"/>
    <n v="10"/>
    <n v="3250"/>
    <n v="21.3"/>
    <n v="25577.5"/>
    <s v="Cancelled"/>
    <s v="Mumbai"/>
    <x v="3"/>
    <s v="SMB"/>
    <n v="22"/>
    <x v="0"/>
  </r>
  <r>
    <s v="ORD-01428"/>
    <x v="48"/>
    <s v="CUST-0180"/>
    <s v="PROD-055"/>
    <x v="18"/>
    <n v="2"/>
    <n v="2860"/>
    <n v="13.7"/>
    <n v="4936.3599999999997"/>
    <s v="Completed"/>
    <s v="Chennai"/>
    <x v="1"/>
    <s v="Retail"/>
    <n v="36"/>
    <x v="1"/>
  </r>
  <r>
    <s v="ORD-01429"/>
    <x v="271"/>
    <s v="CUST-0066"/>
    <s v="PROD-009"/>
    <x v="21"/>
    <n v="10"/>
    <n v="1220"/>
    <n v="15.4"/>
    <n v="10321.200000000001"/>
    <s v="Completed"/>
    <s v="Delhi"/>
    <x v="4"/>
    <s v="Retail"/>
    <n v="24"/>
    <x v="3"/>
  </r>
  <r>
    <s v="ORD-01430"/>
    <x v="96"/>
    <s v="CUST-0267"/>
    <s v="PROD-027"/>
    <x v="9"/>
    <n v="3"/>
    <n v="3780"/>
    <n v="1.9"/>
    <n v="11124.54"/>
    <s v="Completed"/>
    <s v="Hyderabad"/>
    <x v="2"/>
    <s v="Retail"/>
    <n v="27"/>
    <x v="1"/>
  </r>
  <r>
    <s v="ORD-01431"/>
    <x v="133"/>
    <s v="CUST-0034"/>
    <s v="PROD-038"/>
    <x v="26"/>
    <n v="6"/>
    <n v="5490"/>
    <n v="0.5"/>
    <n v="32775.300000000003"/>
    <s v="Pending"/>
    <s v="Delhi"/>
    <x v="3"/>
    <s v="Retail"/>
    <n v="47"/>
    <x v="3"/>
  </r>
  <r>
    <s v="ORD-01432"/>
    <x v="185"/>
    <s v="CUST-0029"/>
    <s v="PROD-022"/>
    <x v="20"/>
    <n v="6"/>
    <n v="2270"/>
    <n v="21.5"/>
    <n v="10691.7"/>
    <s v="Completed"/>
    <s v="Chennai"/>
    <x v="2"/>
    <s v="Corporate"/>
    <n v="54"/>
    <x v="2"/>
  </r>
  <r>
    <s v="ORD-01433"/>
    <x v="77"/>
    <s v="CUST-0224"/>
    <s v="PROD-029"/>
    <x v="12"/>
    <n v="7"/>
    <n v="2210"/>
    <n v="10.3"/>
    <n v="13876.59"/>
    <s v="Completed"/>
    <s v="Chennai"/>
    <x v="2"/>
    <s v="Corporate"/>
    <n v="24"/>
    <x v="3"/>
  </r>
  <r>
    <s v="ORD-01434"/>
    <x v="150"/>
    <s v="CUST-9889"/>
    <s v="PROD-035"/>
    <x v="18"/>
    <n v="8"/>
    <n v="1090"/>
    <n v="21.7"/>
    <n v="6827.76"/>
    <s v="Completed"/>
    <s v="Pune"/>
    <x v="3"/>
    <e v="#N/A"/>
    <e v="#N/A"/>
    <x v="1"/>
  </r>
  <r>
    <s v="ORD-01435"/>
    <x v="311"/>
    <s v="CUST-0130"/>
    <s v="PROD-018"/>
    <x v="25"/>
    <n v="5"/>
    <n v="3560"/>
    <n v="19.399999999999999"/>
    <n v="14346.8"/>
    <s v="Pending"/>
    <s v="Bengaluru"/>
    <x v="0"/>
    <s v="Corporate"/>
    <n v="41"/>
    <x v="0"/>
  </r>
  <r>
    <s v="ORD-01436"/>
    <x v="358"/>
    <s v="CUST-0060"/>
    <s v="PROD-054"/>
    <x v="8"/>
    <n v="7"/>
    <n v="1010"/>
    <n v="28.2"/>
    <n v="5076.26"/>
    <s v="Completed"/>
    <s v="Pune"/>
    <x v="1"/>
    <s v="Retail"/>
    <n v="39"/>
    <x v="2"/>
  </r>
  <r>
    <s v="ORD-01437"/>
    <x v="19"/>
    <s v="CUST-0299"/>
    <s v="PROD-033"/>
    <x v="15"/>
    <n v="2"/>
    <n v="2030"/>
    <n v="27.3"/>
    <n v="2951.62"/>
    <s v="Refunded"/>
    <s v="Mumbai"/>
    <x v="3"/>
    <s v="Corporate"/>
    <n v="51"/>
    <x v="1"/>
  </r>
  <r>
    <s v="ORD-01438"/>
    <x v="154"/>
    <s v="CUST-0013"/>
    <s v="PROD-001"/>
    <x v="27"/>
    <n v="6"/>
    <n v="5330"/>
    <n v="0.6"/>
    <n v="31788.12"/>
    <s v="Completed"/>
    <s v="Delhi"/>
    <x v="4"/>
    <s v="Retail"/>
    <n v="41"/>
    <x v="1"/>
  </r>
  <r>
    <s v="ORD-01439"/>
    <x v="282"/>
    <s v="CUST-0193"/>
    <s v="PROD-010"/>
    <x v="0"/>
    <n v="2"/>
    <n v="2640"/>
    <n v="26"/>
    <n v="3907.2"/>
    <s v="Pending"/>
    <s v="Bengaluru"/>
    <x v="4"/>
    <s v="Retail"/>
    <n v="42"/>
    <x v="0"/>
  </r>
  <r>
    <s v="ORD-01440"/>
    <x v="130"/>
    <s v="CUST-0170"/>
    <s v="PROD-008"/>
    <x v="27"/>
    <n v="8"/>
    <n v="2660"/>
    <n v="2.9"/>
    <n v="20662.88"/>
    <s v="Completed"/>
    <s v="Mumbai"/>
    <x v="4"/>
    <s v="SMB"/>
    <n v="22"/>
    <x v="1"/>
  </r>
  <r>
    <s v="ORD-01441"/>
    <x v="69"/>
    <s v="CUST-0063"/>
    <s v="PROD-036"/>
    <x v="12"/>
    <n v="6"/>
    <n v="3250"/>
    <n v="11.1"/>
    <n v="17335.5"/>
    <s v="Completed"/>
    <s v="Mumbai"/>
    <x v="3"/>
    <s v="SMB"/>
    <n v="53"/>
    <x v="3"/>
  </r>
  <r>
    <s v="ORD-01442"/>
    <x v="246"/>
    <s v="CUST-0168"/>
    <s v="PROD-029"/>
    <x v="10"/>
    <n v="1"/>
    <n v="2210"/>
    <n v="3.5"/>
    <n v="2132.65"/>
    <s v="Completed"/>
    <s v="Pune"/>
    <x v="2"/>
    <s v="Retail"/>
    <n v="25"/>
    <x v="0"/>
  </r>
  <r>
    <s v="ORD-01443"/>
    <x v="39"/>
    <s v="CUST-0124"/>
    <s v="PROD-032"/>
    <x v="7"/>
    <n v="9"/>
    <n v="370"/>
    <n v="12.4"/>
    <n v="2917.08"/>
    <s v="Completed"/>
    <s v="Pune"/>
    <x v="3"/>
    <s v="Retail"/>
    <n v="57"/>
    <x v="3"/>
  </r>
  <r>
    <s v="ORD-01444"/>
    <x v="99"/>
    <s v="CUST-0138"/>
    <s v="PROD-059"/>
    <x v="24"/>
    <n v="3"/>
    <n v="3780"/>
    <n v="8.5"/>
    <n v="10376.1"/>
    <s v="Pending"/>
    <s v="Chennai"/>
    <x v="1"/>
    <s v="Retail"/>
    <n v="24"/>
    <x v="3"/>
  </r>
  <r>
    <s v="ORD-01445"/>
    <x v="245"/>
    <s v="CUST-0146"/>
    <s v="PROD-054"/>
    <x v="25"/>
    <n v="2"/>
    <n v="1010"/>
    <n v="2.7"/>
    <n v="1965.46"/>
    <s v="Completed"/>
    <s v="Hyderabad"/>
    <x v="1"/>
    <s v="Retail"/>
    <n v="22"/>
    <x v="0"/>
  </r>
  <r>
    <s v="ORD-01446"/>
    <x v="167"/>
    <s v="CUST-0244"/>
    <s v="PROD-020"/>
    <x v="27"/>
    <n v="2"/>
    <n v="820"/>
    <n v="13.2"/>
    <n v="1423.52"/>
    <s v="Pending"/>
    <s v="Bengaluru"/>
    <x v="0"/>
    <s v="Retail"/>
    <n v="61"/>
    <x v="1"/>
  </r>
  <r>
    <s v="ORD-01447"/>
    <x v="337"/>
    <s v="CUST-0291"/>
    <s v="PROD-028"/>
    <x v="27"/>
    <n v="1"/>
    <n v="3660"/>
    <n v="14"/>
    <n v="3147.6"/>
    <s v="Refunded"/>
    <s v="Pune"/>
    <x v="2"/>
    <s v="SMB"/>
    <n v="29"/>
    <x v="1"/>
  </r>
  <r>
    <s v="ORD-01448"/>
    <x v="130"/>
    <s v="CUST-0222"/>
    <s v="PROD-022"/>
    <x v="21"/>
    <n v="6"/>
    <n v="2270"/>
    <n v="16"/>
    <n v="11440.8"/>
    <s v="Completed"/>
    <s v="Chennai"/>
    <x v="2"/>
    <s v="Retail"/>
    <n v="37"/>
    <x v="3"/>
  </r>
  <r>
    <s v="ORD-01449"/>
    <x v="311"/>
    <s v="CUST-0137"/>
    <s v="PROD-049"/>
    <x v="7"/>
    <n v="7"/>
    <n v="960"/>
    <n v="28.8"/>
    <n v="4784.6400000000003"/>
    <s v="Refunded"/>
    <s v="Mumbai"/>
    <x v="5"/>
    <s v="Retail"/>
    <n v="41"/>
    <x v="3"/>
  </r>
  <r>
    <s v="ORD-01450"/>
    <x v="218"/>
    <s v="CUST-0150"/>
    <s v="PROD-033"/>
    <x v="5"/>
    <n v="9"/>
    <n v="2030"/>
    <n v="3.4"/>
    <n v="17648.82"/>
    <s v="Completed"/>
    <s v="Pune"/>
    <x v="3"/>
    <s v="SMB"/>
    <n v="53"/>
    <x v="2"/>
  </r>
  <r>
    <s v="ORD-01451"/>
    <x v="193"/>
    <s v="CUST-0058"/>
    <s v="PROD-023"/>
    <x v="1"/>
    <n v="6"/>
    <n v="2380"/>
    <n v="13.2"/>
    <n v="12395.04"/>
    <s v="Completed"/>
    <s v="Bengaluru"/>
    <x v="2"/>
    <s v="SMB"/>
    <n v="49"/>
    <x v="0"/>
  </r>
  <r>
    <s v="ORD-01452"/>
    <x v="231"/>
    <s v="CUST-0187"/>
    <s v="PROD-047"/>
    <x v="18"/>
    <n v="10"/>
    <n v="3450"/>
    <n v="8.6999999999999993"/>
    <n v="31498.5"/>
    <s v="Completed"/>
    <s v="Chennai"/>
    <x v="5"/>
    <s v="SMB"/>
    <n v="51"/>
    <x v="1"/>
  </r>
  <r>
    <s v="ORD-01453"/>
    <x v="173"/>
    <s v="CUST-0116"/>
    <s v="PROD-049"/>
    <x v="13"/>
    <n v="6"/>
    <n v="960"/>
    <n v="20.6"/>
    <n v="4573.4399999999996"/>
    <s v="Pending"/>
    <s v="Bengaluru"/>
    <x v="5"/>
    <s v="Retail"/>
    <n v="53"/>
    <x v="3"/>
  </r>
  <r>
    <s v="ORD-01454"/>
    <x v="123"/>
    <s v="CUST-0290"/>
    <s v="PROD-018"/>
    <x v="22"/>
    <n v="10"/>
    <n v="3560"/>
    <n v="1.4"/>
    <n v="35101.599999999999"/>
    <s v="Pending"/>
    <s v="Delhi"/>
    <x v="0"/>
    <s v="Retail"/>
    <n v="63"/>
    <x v="1"/>
  </r>
  <r>
    <s v="ORD-01455"/>
    <x v="20"/>
    <s v="CUST-0053"/>
    <s v="PROD-015"/>
    <x v="2"/>
    <n v="4"/>
    <n v="2720"/>
    <n v="19.399999999999999"/>
    <n v="8769.2800000000007"/>
    <s v="Refunded"/>
    <s v="Delhi"/>
    <x v="0"/>
    <s v="Retail"/>
    <n v="53"/>
    <x v="1"/>
  </r>
  <r>
    <s v="ORD-01456"/>
    <x v="86"/>
    <s v="CUST-0044"/>
    <s v="PROD-009"/>
    <x v="20"/>
    <n v="5"/>
    <n v="1220"/>
    <n v="15.6"/>
    <n v="5148.3999999999996"/>
    <s v="Completed"/>
    <s v="Hyderabad"/>
    <x v="4"/>
    <s v="SMB"/>
    <n v="29"/>
    <x v="2"/>
  </r>
  <r>
    <s v="ORD-01457"/>
    <x v="234"/>
    <s v="CUST-0267"/>
    <s v="PROD-035"/>
    <x v="17"/>
    <n v="5"/>
    <n v="1090"/>
    <n v="15"/>
    <n v="4632.5"/>
    <s v="Completed"/>
    <s v="Hyderabad"/>
    <x v="3"/>
    <s v="Retail"/>
    <n v="27"/>
    <x v="2"/>
  </r>
  <r>
    <s v="ORD-01458"/>
    <x v="221"/>
    <s v="CUST-0179"/>
    <s v="PROD-032"/>
    <x v="20"/>
    <n v="9"/>
    <n v="370"/>
    <n v="25.4"/>
    <n v="2484.1799999999998"/>
    <s v="Completed"/>
    <s v="Mumbai"/>
    <x v="3"/>
    <s v="SMB"/>
    <n v="54"/>
    <x v="2"/>
  </r>
  <r>
    <s v="ORD-01459"/>
    <x v="145"/>
    <s v="CUST-0089"/>
    <s v="PROD-055"/>
    <x v="0"/>
    <n v="7"/>
    <n v="2860"/>
    <n v="14"/>
    <n v="17217.2"/>
    <s v="Completed"/>
    <s v="Mumbai"/>
    <x v="1"/>
    <s v="SMB"/>
    <n v="43"/>
    <x v="0"/>
  </r>
  <r>
    <s v="ORD-01460"/>
    <x v="156"/>
    <s v="CUST-0090"/>
    <s v="PROD-029"/>
    <x v="17"/>
    <n v="1"/>
    <n v="2210"/>
    <n v="1.7"/>
    <n v="2172.4299999999998"/>
    <s v="Completed"/>
    <s v="Bengaluru"/>
    <x v="2"/>
    <s v="Corporate"/>
    <n v="26"/>
    <x v="2"/>
  </r>
  <r>
    <s v="ORD-01461"/>
    <x v="241"/>
    <s v="CUST-0135"/>
    <s v="PROD-030"/>
    <x v="5"/>
    <n v="3"/>
    <n v="970"/>
    <n v="20.3"/>
    <n v="2319.27"/>
    <s v="Pending"/>
    <s v="Pune"/>
    <x v="2"/>
    <s v="SMB"/>
    <n v="24"/>
    <x v="2"/>
  </r>
  <r>
    <s v="ORD-01462"/>
    <x v="233"/>
    <s v="CUST-0252"/>
    <s v="PROD-018"/>
    <x v="13"/>
    <n v="5"/>
    <n v="3560"/>
    <n v="17.100000000000001"/>
    <n v="14756.2"/>
    <s v="Completed"/>
    <s v="Bengaluru"/>
    <x v="0"/>
    <s v="Retail"/>
    <n v="27"/>
    <x v="3"/>
  </r>
  <r>
    <s v="ORD-01463"/>
    <x v="244"/>
    <s v="CUST-0086"/>
    <s v="PROD-040"/>
    <x v="12"/>
    <n v="10"/>
    <n v="1080"/>
    <n v="12.8"/>
    <n v="9417.6"/>
    <s v="Completed"/>
    <s v="Hyderabad"/>
    <x v="3"/>
    <s v="Corporate"/>
    <n v="56"/>
    <x v="3"/>
  </r>
  <r>
    <s v="ORD-01464"/>
    <x v="258"/>
    <s v="CUST-0264"/>
    <s v="PROD-009"/>
    <x v="23"/>
    <n v="3"/>
    <n v="1220"/>
    <n v="1.9"/>
    <n v="3590.46"/>
    <s v="Completed"/>
    <s v="Pune"/>
    <x v="4"/>
    <s v="Retail"/>
    <n v="59"/>
    <x v="1"/>
  </r>
  <r>
    <s v="ORD-01465"/>
    <x v="319"/>
    <s v="CUST-9851"/>
    <s v="PROD-031"/>
    <x v="18"/>
    <n v="1"/>
    <n v="3730"/>
    <n v="14.7"/>
    <n v="3181.69"/>
    <s v="Pending"/>
    <s v="Pune"/>
    <x v="3"/>
    <e v="#N/A"/>
    <e v="#N/A"/>
    <x v="1"/>
  </r>
  <r>
    <s v="ORD-01466"/>
    <x v="108"/>
    <s v="CUST-0143"/>
    <s v="PROD-007"/>
    <x v="19"/>
    <n v="3"/>
    <n v="1430"/>
    <n v="13.2"/>
    <n v="3723.72"/>
    <s v="Completed"/>
    <s v="Chennai"/>
    <x v="4"/>
    <s v="SMB"/>
    <n v="52"/>
    <x v="0"/>
  </r>
  <r>
    <s v="ORD-01467"/>
    <x v="3"/>
    <s v="CUST-0086"/>
    <s v="PROD-050"/>
    <x v="26"/>
    <n v="2"/>
    <n v="6080"/>
    <n v="21.8"/>
    <n v="9509.1200000000008"/>
    <s v="Cancelled"/>
    <s v="Hyderabad"/>
    <x v="5"/>
    <s v="Corporate"/>
    <n v="56"/>
    <x v="3"/>
  </r>
  <r>
    <s v="ORD-01468"/>
    <x v="30"/>
    <s v="CUST-0196"/>
    <s v="PROD-048"/>
    <x v="15"/>
    <n v="9"/>
    <n v="5100"/>
    <n v="29.3"/>
    <n v="32451.3"/>
    <s v="Completed"/>
    <s v="Chennai"/>
    <x v="5"/>
    <s v="Retail"/>
    <n v="26"/>
    <x v="1"/>
  </r>
  <r>
    <s v="ORD-01469"/>
    <x v="75"/>
    <s v="CUST-0089"/>
    <s v="PROD-011"/>
    <x v="2"/>
    <n v="5"/>
    <n v="3450"/>
    <n v="5.3"/>
    <n v="16335.75"/>
    <s v="Completed"/>
    <s v="Mumbai"/>
    <x v="0"/>
    <s v="SMB"/>
    <n v="43"/>
    <x v="1"/>
  </r>
  <r>
    <s v="ORD-01470"/>
    <x v="215"/>
    <s v="CUST-0149"/>
    <s v="PROD-003"/>
    <x v="25"/>
    <n v="6"/>
    <n v="3570"/>
    <n v="17.3"/>
    <n v="17714.34"/>
    <s v="Completed"/>
    <s v="Hyderabad"/>
    <x v="4"/>
    <s v="Retail"/>
    <n v="44"/>
    <x v="0"/>
  </r>
  <r>
    <s v="ORD-01471"/>
    <x v="328"/>
    <s v="CUST-0161"/>
    <s v="PROD-031"/>
    <x v="26"/>
    <n v="6"/>
    <n v="3730"/>
    <n v="1"/>
    <n v="22156.2"/>
    <s v="Completed"/>
    <s v="Chennai"/>
    <x v="3"/>
    <s v="Retail"/>
    <n v="38"/>
    <x v="3"/>
  </r>
  <r>
    <s v="ORD-01472"/>
    <x v="182"/>
    <s v="CUST-0022"/>
    <s v="PROD-059"/>
    <x v="7"/>
    <n v="4"/>
    <n v="3780"/>
    <n v="13.1"/>
    <n v="13139.28"/>
    <s v="Completed"/>
    <s v="Bengaluru"/>
    <x v="1"/>
    <s v="Corporate"/>
    <n v="55"/>
    <x v="3"/>
  </r>
  <r>
    <s v="ORD-01473"/>
    <x v="187"/>
    <s v="CUST-0169"/>
    <s v="PROD-017"/>
    <x v="23"/>
    <n v="1"/>
    <n v="2510"/>
    <n v="27.8"/>
    <n v="1812.22"/>
    <s v="Cancelled"/>
    <s v="Bengaluru"/>
    <x v="0"/>
    <s v="SMB"/>
    <n v="42"/>
    <x v="1"/>
  </r>
  <r>
    <s v="ORD-01474"/>
    <x v="251"/>
    <s v="CUST-0290"/>
    <s v="PROD-037"/>
    <x v="0"/>
    <n v="9"/>
    <n v="660"/>
    <n v="29.3"/>
    <n v="4199.58"/>
    <s v="Completed"/>
    <s v="Delhi"/>
    <x v="3"/>
    <s v="Retail"/>
    <n v="63"/>
    <x v="0"/>
  </r>
  <r>
    <s v="ORD-01475"/>
    <x v="11"/>
    <s v="CUST-0156"/>
    <s v="PROD-013"/>
    <x v="14"/>
    <n v="7"/>
    <n v="3640"/>
    <n v="11.6"/>
    <n v="22524.32"/>
    <s v="Completed"/>
    <s v="Mumbai"/>
    <x v="0"/>
    <s v="Retail"/>
    <n v="33"/>
    <x v="2"/>
  </r>
  <r>
    <s v="ORD-01476"/>
    <x v="209"/>
    <s v="CUST-0005"/>
    <s v="PROD-052"/>
    <x v="7"/>
    <n v="8"/>
    <n v="5410"/>
    <n v="25.6"/>
    <n v="32200.32"/>
    <s v="Completed"/>
    <s v="Chennai"/>
    <x v="1"/>
    <s v="Corporate"/>
    <n v="52"/>
    <x v="3"/>
  </r>
  <r>
    <s v="ORD-01477"/>
    <x v="305"/>
    <s v="CUST-0206"/>
    <s v="PROD-058"/>
    <x v="4"/>
    <n v="4"/>
    <n v="2400"/>
    <n v="10.4"/>
    <n v="8601.6"/>
    <s v="Completed"/>
    <s v="Mumbai"/>
    <x v="1"/>
    <s v="Retail"/>
    <n v="40"/>
    <x v="0"/>
  </r>
  <r>
    <s v="ORD-01478"/>
    <x v="144"/>
    <s v="CUST-0240"/>
    <s v="PROD-038"/>
    <x v="8"/>
    <n v="2"/>
    <n v="5490"/>
    <n v="5.4"/>
    <n v="10387.08"/>
    <s v="Completed"/>
    <s v="Chennai"/>
    <x v="3"/>
    <s v="Corporate"/>
    <n v="35"/>
    <x v="2"/>
  </r>
  <r>
    <s v="ORD-01479"/>
    <x v="340"/>
    <s v="CUST-0109"/>
    <s v="PROD-041"/>
    <x v="29"/>
    <n v="6"/>
    <n v="1540"/>
    <n v="0.6"/>
    <n v="9184.56"/>
    <s v="Completed"/>
    <s v="Pune"/>
    <x v="5"/>
    <s v="Retail"/>
    <n v="42"/>
    <x v="1"/>
  </r>
  <r>
    <s v="ORD-01480"/>
    <x v="30"/>
    <s v="CUST-0201"/>
    <s v="PROD-001"/>
    <x v="19"/>
    <n v="3"/>
    <n v="5330"/>
    <n v="1"/>
    <n v="15830.1"/>
    <s v="Pending"/>
    <s v="Hyderabad"/>
    <x v="4"/>
    <s v="Retail"/>
    <n v="31"/>
    <x v="0"/>
  </r>
  <r>
    <s v="ORD-01481"/>
    <x v="190"/>
    <s v="CUST-0100"/>
    <s v="PROD-055"/>
    <x v="27"/>
    <n v="6"/>
    <n v="2860"/>
    <n v="13.3"/>
    <n v="14877.72"/>
    <s v="Completed"/>
    <s v="Hyderabad"/>
    <x v="1"/>
    <s v="Corporate"/>
    <n v="60"/>
    <x v="1"/>
  </r>
  <r>
    <s v="ORD-01482"/>
    <x v="359"/>
    <s v="CUST-0262"/>
    <s v="PROD-046"/>
    <x v="3"/>
    <n v="3"/>
    <n v="4880"/>
    <n v="12.1"/>
    <n v="12868.56"/>
    <s v="Completed"/>
    <s v="Mumbai"/>
    <x v="5"/>
    <s v="Retail"/>
    <n v="52"/>
    <x v="0"/>
  </r>
  <r>
    <s v="ORD-01483"/>
    <x v="177"/>
    <s v="CUST-0067"/>
    <s v="PROD-017"/>
    <x v="1"/>
    <n v="5"/>
    <n v="2510"/>
    <n v="2.9"/>
    <n v="12186.05"/>
    <s v="Pending"/>
    <s v="Delhi"/>
    <x v="0"/>
    <s v="SMB"/>
    <n v="59"/>
    <x v="0"/>
  </r>
  <r>
    <s v="ORD-01484"/>
    <x v="283"/>
    <s v="CUST-9844"/>
    <s v="PROD-006"/>
    <x v="16"/>
    <n v="9"/>
    <n v="3970"/>
    <n v="28"/>
    <n v="25725.599999999999"/>
    <s v="Completed"/>
    <s v="Pune"/>
    <x v="4"/>
    <e v="#N/A"/>
    <e v="#N/A"/>
    <x v="3"/>
  </r>
  <r>
    <s v="ORD-01485"/>
    <x v="106"/>
    <s v="CUST-0122"/>
    <s v="PROD-053"/>
    <x v="28"/>
    <n v="4"/>
    <n v="470"/>
    <n v="19.100000000000001"/>
    <n v="1520.92"/>
    <s v="Pending"/>
    <s v="Mumbai"/>
    <x v="1"/>
    <s v="Retail"/>
    <n v="44"/>
    <x v="2"/>
  </r>
  <r>
    <s v="ORD-01486"/>
    <x v="269"/>
    <s v="CUST-0129"/>
    <s v="PROD-001"/>
    <x v="5"/>
    <n v="7"/>
    <n v="5330"/>
    <n v="17.2"/>
    <n v="30892.68"/>
    <s v="Cancelled"/>
    <s v="Hyderabad"/>
    <x v="4"/>
    <s v="Retail"/>
    <n v="29"/>
    <x v="2"/>
  </r>
  <r>
    <s v="ORD-01487"/>
    <x v="187"/>
    <s v="CUST-0056"/>
    <s v="PROD-035"/>
    <x v="27"/>
    <n v="4"/>
    <n v="1090"/>
    <n v="4.9000000000000004"/>
    <n v="4146.3599999999997"/>
    <s v="Cancelled"/>
    <s v="Bengaluru"/>
    <x v="3"/>
    <s v="SMB"/>
    <n v="46"/>
    <x v="1"/>
  </r>
  <r>
    <s v="ORD-01488"/>
    <x v="145"/>
    <s v="CUST-0080"/>
    <s v="PROD-054"/>
    <x v="18"/>
    <n v="2"/>
    <n v="1010"/>
    <n v="14"/>
    <n v="1737.2"/>
    <s v="Completed"/>
    <s v="Pune"/>
    <x v="1"/>
    <s v="SMB"/>
    <n v="30"/>
    <x v="1"/>
  </r>
  <r>
    <s v="ORD-01489"/>
    <x v="30"/>
    <s v="CUST-0155"/>
    <s v="PROD-004"/>
    <x v="29"/>
    <n v="9"/>
    <n v="3870"/>
    <n v="8.1999999999999993"/>
    <n v="31973.94"/>
    <s v="Completed"/>
    <s v="Pune"/>
    <x v="4"/>
    <s v="Corporate"/>
    <n v="40"/>
    <x v="1"/>
  </r>
  <r>
    <s v="ORD-01490"/>
    <x v="304"/>
    <s v="CUST-0278"/>
    <s v="PROD-008"/>
    <x v="22"/>
    <n v="7"/>
    <n v="2660"/>
    <n v="15.9"/>
    <n v="15659.42"/>
    <s v="Completed"/>
    <s v="Hyderabad"/>
    <x v="4"/>
    <s v="Retail"/>
    <n v="41"/>
    <x v="1"/>
  </r>
  <r>
    <s v="ORD-01491"/>
    <x v="204"/>
    <s v="CUST-0075"/>
    <s v="PROD-007"/>
    <x v="7"/>
    <n v="4"/>
    <n v="1430"/>
    <n v="25.6"/>
    <n v="4255.68"/>
    <s v="Completed"/>
    <s v="Mumbai"/>
    <x v="4"/>
    <s v="Corporate"/>
    <n v="55"/>
    <x v="3"/>
  </r>
  <r>
    <s v="ORD-01492"/>
    <x v="163"/>
    <s v="CUST-0274"/>
    <s v="PROD-046"/>
    <x v="12"/>
    <n v="4"/>
    <n v="4880"/>
    <n v="19.399999999999999"/>
    <n v="15733.12"/>
    <s v="Cancelled"/>
    <s v="Bengaluru"/>
    <x v="5"/>
    <s v="Corporate"/>
    <n v="36"/>
    <x v="3"/>
  </r>
  <r>
    <s v="ORD-01493"/>
    <x v="286"/>
    <s v="CUST-0197"/>
    <s v="PROD-060"/>
    <x v="19"/>
    <n v="2"/>
    <n v="190"/>
    <n v="9"/>
    <n v="345.8"/>
    <s v="Completed"/>
    <s v="Bengaluru"/>
    <x v="1"/>
    <s v="Retail"/>
    <n v="55"/>
    <x v="0"/>
  </r>
  <r>
    <s v="ORD-01494"/>
    <x v="209"/>
    <s v="CUST-0294"/>
    <s v="PROD-045"/>
    <x v="7"/>
    <n v="1"/>
    <n v="3020"/>
    <n v="3.6"/>
    <n v="2911.28"/>
    <s v="Refunded"/>
    <s v="Delhi"/>
    <x v="5"/>
    <s v="Corporate"/>
    <n v="31"/>
    <x v="3"/>
  </r>
  <r>
    <s v="ORD-01495"/>
    <x v="131"/>
    <s v="CUST-0281"/>
    <s v="PROD-046"/>
    <x v="7"/>
    <n v="2"/>
    <n v="4880"/>
    <n v="2"/>
    <n v="9564.7999999999993"/>
    <s v="Cancelled"/>
    <s v="Bengaluru"/>
    <x v="5"/>
    <s v="Corporate"/>
    <n v="57"/>
    <x v="3"/>
  </r>
  <r>
    <s v="ORD-01496"/>
    <x v="158"/>
    <s v="CUST-0130"/>
    <s v="PROD-058"/>
    <x v="28"/>
    <n v="4"/>
    <n v="2400"/>
    <n v="11.5"/>
    <n v="8496"/>
    <s v="Completed"/>
    <s v="Bengaluru"/>
    <x v="1"/>
    <s v="Corporate"/>
    <n v="41"/>
    <x v="2"/>
  </r>
  <r>
    <s v="ORD-01497"/>
    <x v="298"/>
    <s v="CUST-0097"/>
    <s v="PROD-050"/>
    <x v="25"/>
    <n v="2"/>
    <n v="6080"/>
    <n v="0.5"/>
    <n v="12099.2"/>
    <s v="Cancelled"/>
    <s v="Mumbai"/>
    <x v="5"/>
    <s v="Retail"/>
    <n v="65"/>
    <x v="0"/>
  </r>
  <r>
    <s v="ORD-01498"/>
    <x v="360"/>
    <s v="CUST-0148"/>
    <s v="PROD-023"/>
    <x v="12"/>
    <n v="7"/>
    <n v="2380"/>
    <n v="12.3"/>
    <n v="14610.82"/>
    <s v="Completed"/>
    <s v="Chennai"/>
    <x v="2"/>
    <s v="Retail"/>
    <n v="32"/>
    <x v="3"/>
  </r>
  <r>
    <s v="ORD-01499"/>
    <x v="89"/>
    <s v="CUST-0102"/>
    <s v="PROD-041"/>
    <x v="19"/>
    <n v="10"/>
    <n v="1540"/>
    <n v="20.6"/>
    <n v="12227.6"/>
    <s v="Completed"/>
    <s v="Chennai"/>
    <x v="5"/>
    <s v="SMB"/>
    <n v="62"/>
    <x v="0"/>
  </r>
  <r>
    <s v="ORD-01500"/>
    <x v="226"/>
    <s v="CUST-0265"/>
    <s v="PROD-004"/>
    <x v="8"/>
    <n v="7"/>
    <n v="3870"/>
    <n v="6.1"/>
    <n v="25437.51"/>
    <s v="Completed"/>
    <s v="Chennai"/>
    <x v="4"/>
    <s v="Retail"/>
    <n v="49"/>
    <x v="2"/>
  </r>
  <r>
    <s v="ORD-01501"/>
    <x v="266"/>
    <s v="CUST-0073"/>
    <s v="PROD-032"/>
    <x v="13"/>
    <n v="3"/>
    <n v="370"/>
    <n v="13.7"/>
    <n v="957.93"/>
    <s v="Completed"/>
    <s v="Pune"/>
    <x v="3"/>
    <s v="Corporate"/>
    <n v="40"/>
    <x v="3"/>
  </r>
  <r>
    <s v="ORD-01502"/>
    <x v="60"/>
    <s v="CUST-0070"/>
    <s v="PROD-060"/>
    <x v="28"/>
    <n v="8"/>
    <n v="190"/>
    <n v="0.2"/>
    <n v="1516.96"/>
    <s v="Completed"/>
    <s v="Mumbai"/>
    <x v="1"/>
    <s v="Retail"/>
    <n v="42"/>
    <x v="2"/>
  </r>
  <r>
    <s v="ORD-01503"/>
    <x v="350"/>
    <s v="CUST-0202"/>
    <s v="PROD-007"/>
    <x v="23"/>
    <n v="6"/>
    <n v="1430"/>
    <n v="0.1"/>
    <n v="8571.42"/>
    <s v="Completed"/>
    <s v="Chennai"/>
    <x v="4"/>
    <s v="Retail"/>
    <n v="39"/>
    <x v="1"/>
  </r>
  <r>
    <s v="ORD-01504"/>
    <x v="63"/>
    <s v="CUST-0240"/>
    <s v="PROD-053"/>
    <x v="16"/>
    <n v="4"/>
    <n v="470"/>
    <n v="3"/>
    <n v="1823.6"/>
    <s v="Completed"/>
    <s v="Chennai"/>
    <x v="1"/>
    <s v="Corporate"/>
    <n v="35"/>
    <x v="3"/>
  </r>
  <r>
    <s v="ORD-01505"/>
    <x v="225"/>
    <s v="CUST-0163"/>
    <s v="PROD-018"/>
    <x v="10"/>
    <n v="4"/>
    <n v="3560"/>
    <n v="1.1000000000000001"/>
    <n v="14083.36"/>
    <s v="Completed"/>
    <s v="Pune"/>
    <x v="0"/>
    <s v="Retail"/>
    <n v="49"/>
    <x v="0"/>
  </r>
  <r>
    <s v="ORD-01506"/>
    <x v="126"/>
    <s v="CUST-0238"/>
    <s v="PROD-046"/>
    <x v="27"/>
    <n v="5"/>
    <n v="4880"/>
    <n v="17"/>
    <n v="20252"/>
    <s v="Completed"/>
    <s v="Delhi"/>
    <x v="5"/>
    <s v="Retail"/>
    <n v="49"/>
    <x v="1"/>
  </r>
  <r>
    <s v="ORD-01507"/>
    <x v="64"/>
    <s v="CUST-0196"/>
    <s v="PROD-003"/>
    <x v="18"/>
    <n v="9"/>
    <n v="3570"/>
    <n v="12"/>
    <n v="28274.400000000001"/>
    <s v="Completed"/>
    <s v="Chennai"/>
    <x v="4"/>
    <s v="Retail"/>
    <n v="26"/>
    <x v="1"/>
  </r>
  <r>
    <s v="ORD-01508"/>
    <x v="43"/>
    <s v="CUST-0220"/>
    <s v="PROD-051"/>
    <x v="5"/>
    <n v="6"/>
    <n v="3450"/>
    <n v="22.7"/>
    <n v="16001.1"/>
    <s v="Cancelled"/>
    <s v="Chennai"/>
    <x v="1"/>
    <s v="Retail"/>
    <n v="34"/>
    <x v="2"/>
  </r>
  <r>
    <s v="ORD-01509"/>
    <x v="145"/>
    <s v="CUST-0142"/>
    <s v="PROD-040"/>
    <x v="25"/>
    <n v="10"/>
    <n v="1080"/>
    <n v="27.4"/>
    <n v="7840.8"/>
    <s v="Completed"/>
    <s v="Chennai"/>
    <x v="3"/>
    <s v="Corporate"/>
    <n v="55"/>
    <x v="0"/>
  </r>
  <r>
    <s v="ORD-01510"/>
    <x v="150"/>
    <s v="CUST-0217"/>
    <s v="PROD-041"/>
    <x v="5"/>
    <n v="6"/>
    <n v="1540"/>
    <n v="17.100000000000001"/>
    <n v="7659.96"/>
    <s v="Completed"/>
    <s v="Pune"/>
    <x v="5"/>
    <s v="SMB"/>
    <n v="59"/>
    <x v="2"/>
  </r>
  <r>
    <s v="ORD-01511"/>
    <x v="361"/>
    <s v="CUST-9582"/>
    <s v="PROD-015"/>
    <x v="22"/>
    <n v="6"/>
    <n v="2720"/>
    <n v="28.1"/>
    <n v="11734.08"/>
    <s v="Completed"/>
    <s v="Mumbai"/>
    <x v="0"/>
    <e v="#N/A"/>
    <e v="#N/A"/>
    <x v="1"/>
  </r>
  <r>
    <s v="ORD-01512"/>
    <x v="28"/>
    <s v="CUST-0267"/>
    <s v="PROD-034"/>
    <x v="1"/>
    <n v="2"/>
    <n v="5080"/>
    <n v="11.1"/>
    <n v="9032.24"/>
    <s v="Completed"/>
    <s v="Hyderabad"/>
    <x v="3"/>
    <s v="Retail"/>
    <n v="27"/>
    <x v="0"/>
  </r>
  <r>
    <s v="ORD-01513"/>
    <x v="90"/>
    <s v="CUST-9565"/>
    <s v="PROD-016"/>
    <x v="4"/>
    <n v="5"/>
    <n v="620"/>
    <n v="10.9"/>
    <n v="2762.1"/>
    <s v="Pending"/>
    <s v="Chennai"/>
    <x v="0"/>
    <e v="#N/A"/>
    <e v="#N/A"/>
    <x v="0"/>
  </r>
  <r>
    <s v="ORD-01514"/>
    <x v="312"/>
    <s v="CUST-0051"/>
    <s v="PROD-019"/>
    <x v="11"/>
    <n v="3"/>
    <n v="2480"/>
    <n v="5"/>
    <n v="7068"/>
    <s v="Completed"/>
    <s v="Pune"/>
    <x v="0"/>
    <s v="SMB"/>
    <n v="54"/>
    <x v="0"/>
  </r>
  <r>
    <s v="ORD-01515"/>
    <x v="205"/>
    <s v="CUST-0075"/>
    <s v="PROD-054"/>
    <x v="1"/>
    <n v="9"/>
    <n v="1010"/>
    <n v="21.9"/>
    <n v="7099.29"/>
    <s v="Completed"/>
    <s v="Mumbai"/>
    <x v="1"/>
    <s v="Corporate"/>
    <n v="55"/>
    <x v="0"/>
  </r>
  <r>
    <s v="ORD-01516"/>
    <x v="269"/>
    <s v="CUST-0106"/>
    <s v="PROD-040"/>
    <x v="10"/>
    <n v="2"/>
    <n v="1080"/>
    <n v="8.5"/>
    <n v="1976.4"/>
    <s v="Completed"/>
    <s v="Pune"/>
    <x v="3"/>
    <s v="Retail"/>
    <n v="22"/>
    <x v="0"/>
  </r>
  <r>
    <s v="ORD-01517"/>
    <x v="354"/>
    <s v="CUST-0053"/>
    <s v="PROD-053"/>
    <x v="5"/>
    <n v="5"/>
    <n v="470"/>
    <n v="8"/>
    <n v="2162"/>
    <s v="Completed"/>
    <s v="Delhi"/>
    <x v="1"/>
    <s v="Retail"/>
    <n v="53"/>
    <x v="2"/>
  </r>
  <r>
    <s v="ORD-01518"/>
    <x v="67"/>
    <s v="CUST-0042"/>
    <s v="PROD-006"/>
    <x v="16"/>
    <n v="9"/>
    <n v="3970"/>
    <n v="18.5"/>
    <n v="29119.95"/>
    <s v="Completed"/>
    <s v="Pune"/>
    <x v="4"/>
    <s v="Retail"/>
    <n v="25"/>
    <x v="3"/>
  </r>
  <r>
    <s v="ORD-01519"/>
    <x v="105"/>
    <s v="CUST-0120"/>
    <s v="PROD-044"/>
    <x v="9"/>
    <n v="9"/>
    <n v="1650"/>
    <n v="19.5"/>
    <n v="11954.25"/>
    <s v="Completed"/>
    <s v="Mumbai"/>
    <x v="5"/>
    <s v="Retail"/>
    <n v="29"/>
    <x v="1"/>
  </r>
  <r>
    <s v="ORD-01520"/>
    <x v="234"/>
    <s v="CUST-0166"/>
    <s v="PROD-043"/>
    <x v="3"/>
    <n v="9"/>
    <n v="3350"/>
    <n v="4.0999999999999996"/>
    <n v="28913.85"/>
    <s v="Completed"/>
    <s v="Hyderabad"/>
    <x v="5"/>
    <s v="Retail"/>
    <n v="31"/>
    <x v="0"/>
  </r>
  <r>
    <s v="ORD-01521"/>
    <x v="305"/>
    <s v="CUST-0175"/>
    <s v="PROD-006"/>
    <x v="12"/>
    <n v="7"/>
    <n v="3970"/>
    <n v="15.6"/>
    <n v="23454.76"/>
    <s v="Completed"/>
    <s v="Delhi"/>
    <x v="4"/>
    <s v="Corporate"/>
    <n v="55"/>
    <x v="3"/>
  </r>
  <r>
    <s v="ORD-01522"/>
    <x v="253"/>
    <s v="CUST-0001"/>
    <s v="PROD-027"/>
    <x v="26"/>
    <n v="7"/>
    <n v="3780"/>
    <n v="18.7"/>
    <n v="21511.98"/>
    <s v="Completed"/>
    <s v="Pune"/>
    <x v="2"/>
    <s v="Retail"/>
    <n v="36"/>
    <x v="3"/>
  </r>
  <r>
    <s v="ORD-01523"/>
    <x v="327"/>
    <s v="CUST-0238"/>
    <s v="PROD-020"/>
    <x v="22"/>
    <n v="4"/>
    <n v="820"/>
    <n v="18.8"/>
    <n v="2663.36"/>
    <s v="Cancelled"/>
    <s v="Delhi"/>
    <x v="0"/>
    <s v="Retail"/>
    <n v="49"/>
    <x v="1"/>
  </r>
  <r>
    <s v="ORD-01524"/>
    <x v="77"/>
    <s v="CUST-0279"/>
    <s v="PROD-044"/>
    <x v="24"/>
    <n v="1"/>
    <n v="1650"/>
    <n v="18.8"/>
    <n v="1339.8"/>
    <s v="Cancelled"/>
    <s v="Mumbai"/>
    <x v="5"/>
    <s v="Retail"/>
    <n v="56"/>
    <x v="3"/>
  </r>
  <r>
    <s v="ORD-01525"/>
    <x v="245"/>
    <s v="CUST-0042"/>
    <s v="PROD-027"/>
    <x v="13"/>
    <n v="2"/>
    <n v="3780"/>
    <n v="1"/>
    <n v="7484.4"/>
    <s v="Refunded"/>
    <s v="Pune"/>
    <x v="2"/>
    <s v="Retail"/>
    <n v="25"/>
    <x v="3"/>
  </r>
  <r>
    <s v="ORD-01526"/>
    <x v="53"/>
    <s v="CUST-0137"/>
    <s v="PROD-029"/>
    <x v="28"/>
    <n v="5"/>
    <n v="2210"/>
    <n v="16.600000000000001"/>
    <n v="9215.7000000000007"/>
    <s v="Completed"/>
    <s v="Mumbai"/>
    <x v="2"/>
    <s v="Retail"/>
    <n v="41"/>
    <x v="2"/>
  </r>
  <r>
    <s v="ORD-01527"/>
    <x v="173"/>
    <s v="CUST-0160"/>
    <s v="PROD-056"/>
    <x v="9"/>
    <n v="10"/>
    <n v="6940"/>
    <n v="10.6"/>
    <n v="62043.6"/>
    <s v="Completed"/>
    <s v="Hyderabad"/>
    <x v="1"/>
    <s v="Retail"/>
    <n v="27"/>
    <x v="1"/>
  </r>
  <r>
    <s v="ORD-01528"/>
    <x v="253"/>
    <s v="CUST-0102"/>
    <s v="PROD-042"/>
    <x v="1"/>
    <n v="8"/>
    <n v="2290"/>
    <n v="12.2"/>
    <n v="16084.96"/>
    <s v="Completed"/>
    <s v="Chennai"/>
    <x v="5"/>
    <s v="SMB"/>
    <n v="62"/>
    <x v="0"/>
  </r>
  <r>
    <s v="ORD-01529"/>
    <x v="201"/>
    <s v="CUST-0133"/>
    <s v="PROD-033"/>
    <x v="5"/>
    <n v="5"/>
    <n v="2030"/>
    <n v="23.8"/>
    <n v="7734.3"/>
    <s v="Cancelled"/>
    <s v="Chennai"/>
    <x v="3"/>
    <s v="Retail"/>
    <n v="26"/>
    <x v="2"/>
  </r>
  <r>
    <s v="ORD-01530"/>
    <x v="14"/>
    <s v="CUST-0080"/>
    <s v="PROD-006"/>
    <x v="20"/>
    <n v="3"/>
    <n v="3970"/>
    <n v="7.7"/>
    <n v="10992.93"/>
    <s v="Completed"/>
    <s v="Pune"/>
    <x v="4"/>
    <s v="SMB"/>
    <n v="30"/>
    <x v="2"/>
  </r>
  <r>
    <s v="ORD-01821"/>
    <x v="214"/>
    <s v="CUST-0299"/>
    <s v="PROD-020"/>
    <x v="29"/>
    <n v="1"/>
    <n v="820"/>
    <n v="5.4"/>
    <n v="775.72"/>
    <s v="Completed"/>
    <s v="Mumbai"/>
    <x v="0"/>
    <s v="Corporate"/>
    <n v="51"/>
    <x v="1"/>
  </r>
  <r>
    <s v="ORD-01532"/>
    <x v="22"/>
    <s v="CUST-0078"/>
    <s v="PROD-004"/>
    <x v="5"/>
    <n v="3"/>
    <n v="3870"/>
    <n v="1.9"/>
    <n v="11389.41"/>
    <s v="Completed"/>
    <s v="Delhi"/>
    <x v="4"/>
    <s v="Retail"/>
    <n v="31"/>
    <x v="2"/>
  </r>
  <r>
    <s v="ORD-01533"/>
    <x v="197"/>
    <s v="CUST-0251"/>
    <s v="PROD-030"/>
    <x v="24"/>
    <n v="6"/>
    <n v="970"/>
    <n v="27.1"/>
    <n v="4242.78"/>
    <s v="Completed"/>
    <s v="Mumbai"/>
    <x v="2"/>
    <s v="Retail"/>
    <n v="44"/>
    <x v="3"/>
  </r>
  <r>
    <s v="ORD-01534"/>
    <x v="237"/>
    <s v="CUST-0191"/>
    <s v="PROD-046"/>
    <x v="5"/>
    <n v="1"/>
    <n v="4880"/>
    <n v="26.8"/>
    <n v="3572.16"/>
    <s v="Completed"/>
    <s v="Hyderabad"/>
    <x v="5"/>
    <s v="SMB"/>
    <n v="43"/>
    <x v="2"/>
  </r>
  <r>
    <s v="ORD-01535"/>
    <x v="186"/>
    <s v="CUST-0130"/>
    <s v="PROD-022"/>
    <x v="12"/>
    <n v="1"/>
    <n v="2270"/>
    <n v="22.2"/>
    <n v="1766.06"/>
    <s v="Completed"/>
    <s v="Bengaluru"/>
    <x v="2"/>
    <s v="Corporate"/>
    <n v="41"/>
    <x v="3"/>
  </r>
  <r>
    <s v="ORD-01536"/>
    <x v="351"/>
    <s v="CUST-0056"/>
    <s v="PROD-047"/>
    <x v="17"/>
    <n v="10"/>
    <n v="3450"/>
    <n v="21.9"/>
    <n v="26944.5"/>
    <s v="Completed"/>
    <s v="Bengaluru"/>
    <x v="5"/>
    <s v="SMB"/>
    <n v="46"/>
    <x v="2"/>
  </r>
  <r>
    <s v="ORD-01537"/>
    <x v="48"/>
    <s v="CUST-0185"/>
    <s v="PROD-022"/>
    <x v="23"/>
    <n v="3"/>
    <n v="2270"/>
    <n v="19.100000000000001"/>
    <n v="5509.29"/>
    <s v="Cancelled"/>
    <s v="Hyderabad"/>
    <x v="2"/>
    <s v="SMB"/>
    <n v="43"/>
    <x v="1"/>
  </r>
  <r>
    <s v="ORD-01538"/>
    <x v="107"/>
    <s v="CUST-0195"/>
    <s v="PROD-029"/>
    <x v="14"/>
    <n v="10"/>
    <n v="2210"/>
    <n v="22.3"/>
    <n v="17171.7"/>
    <s v="Completed"/>
    <s v="Bengaluru"/>
    <x v="2"/>
    <s v="Retail"/>
    <n v="28"/>
    <x v="2"/>
  </r>
  <r>
    <s v="ORD-01539"/>
    <x v="57"/>
    <s v="CUST-0067"/>
    <s v="PROD-033"/>
    <x v="23"/>
    <n v="9"/>
    <n v="2030"/>
    <n v="24.8"/>
    <n v="13739.04"/>
    <s v="Completed"/>
    <s v="Delhi"/>
    <x v="3"/>
    <s v="SMB"/>
    <n v="59"/>
    <x v="1"/>
  </r>
  <r>
    <s v="ORD-01540"/>
    <x v="82"/>
    <s v="CUST-0149"/>
    <s v="PROD-043"/>
    <x v="12"/>
    <n v="5"/>
    <n v="3350"/>
    <n v="18.2"/>
    <n v="13701.5"/>
    <s v="Completed"/>
    <s v="Hyderabad"/>
    <x v="5"/>
    <s v="Retail"/>
    <n v="44"/>
    <x v="3"/>
  </r>
  <r>
    <s v="ORD-01541"/>
    <x v="243"/>
    <s v="CUST-0268"/>
    <s v="PROD-013"/>
    <x v="4"/>
    <n v="7"/>
    <n v="3640"/>
    <n v="14.4"/>
    <n v="21810.880000000001"/>
    <s v="Completed"/>
    <s v="Chennai"/>
    <x v="0"/>
    <s v="Retail"/>
    <n v="35"/>
    <x v="0"/>
  </r>
  <r>
    <s v="ORD-01542"/>
    <x v="217"/>
    <s v="CUST-0126"/>
    <s v="PROD-051"/>
    <x v="26"/>
    <n v="9"/>
    <n v="3450"/>
    <n v="20.100000000000001"/>
    <n v="24808.95"/>
    <s v="Completed"/>
    <s v="Mumbai"/>
    <x v="1"/>
    <s v="Retail"/>
    <n v="37"/>
    <x v="3"/>
  </r>
  <r>
    <s v="ORD-01543"/>
    <x v="68"/>
    <s v="CUST-0017"/>
    <s v="PROD-047"/>
    <x v="11"/>
    <n v="6"/>
    <n v="3450"/>
    <n v="19.899999999999999"/>
    <n v="16580.7"/>
    <s v="Pending"/>
    <s v="Delhi"/>
    <x v="5"/>
    <s v="SMB"/>
    <n v="38"/>
    <x v="0"/>
  </r>
  <r>
    <s v="ORD-01544"/>
    <x v="37"/>
    <s v="CUST-0250"/>
    <s v="PROD-042"/>
    <x v="24"/>
    <n v="4"/>
    <n v="2290"/>
    <n v="4.8"/>
    <n v="8720.32"/>
    <s v="Pending"/>
    <s v="Delhi"/>
    <x v="5"/>
    <s v="Retail"/>
    <n v="31"/>
    <x v="3"/>
  </r>
  <r>
    <s v="ORD-01545"/>
    <x v="319"/>
    <s v="CUST-0245"/>
    <s v="PROD-057"/>
    <x v="9"/>
    <n v="9"/>
    <n v="960"/>
    <n v="2.4"/>
    <n v="8432.64"/>
    <s v="Completed"/>
    <s v="Hyderabad"/>
    <x v="1"/>
    <s v="Retail"/>
    <n v="65"/>
    <x v="1"/>
  </r>
  <r>
    <s v="ORD-01546"/>
    <x v="135"/>
    <s v="CUST-0016"/>
    <s v="PROD-039"/>
    <x v="5"/>
    <n v="9"/>
    <n v="4610"/>
    <n v="21.3"/>
    <n v="32652.63"/>
    <s v="Completed"/>
    <s v="Delhi"/>
    <x v="3"/>
    <s v="SMB"/>
    <n v="26"/>
    <x v="2"/>
  </r>
  <r>
    <s v="ORD-01547"/>
    <x v="282"/>
    <s v="CUST-0063"/>
    <s v="PROD-028"/>
    <x v="11"/>
    <n v="1"/>
    <n v="3660"/>
    <n v="15.6"/>
    <n v="3089.04"/>
    <s v="Completed"/>
    <s v="Mumbai"/>
    <x v="2"/>
    <s v="SMB"/>
    <n v="53"/>
    <x v="0"/>
  </r>
  <r>
    <s v="ORD-01548"/>
    <x v="168"/>
    <s v="CUST-0200"/>
    <s v="PROD-008"/>
    <x v="27"/>
    <n v="5"/>
    <n v="2660"/>
    <n v="20.399999999999999"/>
    <n v="10586.8"/>
    <s v="Completed"/>
    <s v="Hyderabad"/>
    <x v="4"/>
    <s v="Corporate"/>
    <n v="46"/>
    <x v="1"/>
  </r>
  <r>
    <s v="ORD-01549"/>
    <x v="24"/>
    <s v="CUST-0017"/>
    <s v="PROD-041"/>
    <x v="17"/>
    <n v="8"/>
    <n v="1540"/>
    <n v="0.5"/>
    <n v="12258.4"/>
    <s v="Completed"/>
    <s v="Delhi"/>
    <x v="5"/>
    <s v="SMB"/>
    <n v="38"/>
    <x v="2"/>
  </r>
  <r>
    <s v="ORD-01550"/>
    <x v="356"/>
    <s v="CUST-0264"/>
    <s v="PROD-006"/>
    <x v="10"/>
    <n v="4"/>
    <n v="3970"/>
    <n v="22.5"/>
    <n v="12307"/>
    <s v="Completed"/>
    <s v="Pune"/>
    <x v="4"/>
    <s v="Retail"/>
    <n v="59"/>
    <x v="0"/>
  </r>
  <r>
    <s v="ORD-01551"/>
    <x v="213"/>
    <s v="CUST-0102"/>
    <s v="PROD-059"/>
    <x v="0"/>
    <n v="8"/>
    <n v="3780"/>
    <n v="3.8"/>
    <n v="29090.880000000001"/>
    <s v="Completed"/>
    <s v="Chennai"/>
    <x v="1"/>
    <s v="SMB"/>
    <n v="62"/>
    <x v="0"/>
  </r>
  <r>
    <s v="ORD-01552"/>
    <x v="269"/>
    <s v="CUST-0092"/>
    <s v="PROD-022"/>
    <x v="10"/>
    <n v="4"/>
    <n v="2270"/>
    <n v="3.8"/>
    <n v="8734.9599999999991"/>
    <s v="Cancelled"/>
    <s v="Bengaluru"/>
    <x v="2"/>
    <s v="SMB"/>
    <n v="28"/>
    <x v="0"/>
  </r>
  <r>
    <s v="ORD-01553"/>
    <x v="300"/>
    <s v="CUST-0139"/>
    <s v="PROD-009"/>
    <x v="18"/>
    <n v="10"/>
    <n v="1220"/>
    <n v="19.5"/>
    <n v="9821"/>
    <s v="Completed"/>
    <s v="Hyderabad"/>
    <x v="4"/>
    <s v="SMB"/>
    <n v="65"/>
    <x v="1"/>
  </r>
  <r>
    <s v="ORD-01554"/>
    <x v="188"/>
    <s v="CUST-0129"/>
    <s v="PROD-043"/>
    <x v="15"/>
    <n v="10"/>
    <n v="3350"/>
    <n v="7.8"/>
    <n v="30887"/>
    <s v="Completed"/>
    <s v="Hyderabad"/>
    <x v="5"/>
    <s v="Retail"/>
    <n v="29"/>
    <x v="1"/>
  </r>
  <r>
    <s v="ORD-01555"/>
    <x v="243"/>
    <s v="CUST-9841"/>
    <s v="PROD-043"/>
    <x v="14"/>
    <n v="7"/>
    <n v="3350"/>
    <n v="14.5"/>
    <n v="20049.75"/>
    <s v="Completed"/>
    <s v="Bengaluru"/>
    <x v="5"/>
    <e v="#N/A"/>
    <e v="#N/A"/>
    <x v="2"/>
  </r>
  <r>
    <s v="ORD-01556"/>
    <x v="242"/>
    <s v="CUST-0069"/>
    <s v="PROD-038"/>
    <x v="2"/>
    <n v="6"/>
    <n v="5490"/>
    <n v="8"/>
    <n v="30304.799999999999"/>
    <s v="Completed"/>
    <s v="Chennai"/>
    <x v="3"/>
    <s v="Retail"/>
    <n v="51"/>
    <x v="1"/>
  </r>
  <r>
    <s v="ORD-01557"/>
    <x v="221"/>
    <s v="CUST-0140"/>
    <s v="PROD-055"/>
    <x v="26"/>
    <n v="3"/>
    <n v="2860"/>
    <n v="19.899999999999999"/>
    <n v="6872.58"/>
    <s v="Completed"/>
    <s v="Hyderabad"/>
    <x v="1"/>
    <s v="SMB"/>
    <n v="39"/>
    <x v="3"/>
  </r>
  <r>
    <s v="ORD-01558"/>
    <x v="146"/>
    <s v="CUST-0138"/>
    <s v="PROD-010"/>
    <x v="6"/>
    <n v="3"/>
    <n v="2640"/>
    <n v="29.3"/>
    <n v="5599.44"/>
    <s v="Completed"/>
    <s v="Chennai"/>
    <x v="4"/>
    <s v="Retail"/>
    <n v="24"/>
    <x v="2"/>
  </r>
  <r>
    <s v="ORD-01559"/>
    <x v="360"/>
    <s v="CUST-0277"/>
    <s v="PROD-011"/>
    <x v="20"/>
    <n v="8"/>
    <n v="3450"/>
    <n v="15.2"/>
    <n v="23404.799999999999"/>
    <s v="Cancelled"/>
    <s v="Chennai"/>
    <x v="0"/>
    <s v="Corporate"/>
    <n v="34"/>
    <x v="2"/>
  </r>
  <r>
    <s v="ORD-01560"/>
    <x v="134"/>
    <s v="CUST-0017"/>
    <s v="PROD-032"/>
    <x v="5"/>
    <n v="6"/>
    <n v="370"/>
    <n v="7"/>
    <n v="2064.6"/>
    <s v="Completed"/>
    <s v="Delhi"/>
    <x v="3"/>
    <s v="SMB"/>
    <n v="38"/>
    <x v="2"/>
  </r>
  <r>
    <s v="ORD-01561"/>
    <x v="96"/>
    <s v="CUST-0170"/>
    <s v="PROD-025"/>
    <x v="20"/>
    <n v="10"/>
    <n v="4060"/>
    <n v="4.7"/>
    <n v="38691.800000000003"/>
    <s v="Cancelled"/>
    <s v="Mumbai"/>
    <x v="2"/>
    <s v="SMB"/>
    <n v="22"/>
    <x v="2"/>
  </r>
  <r>
    <s v="ORD-01562"/>
    <x v="87"/>
    <s v="CUST-0022"/>
    <s v="PROD-004"/>
    <x v="6"/>
    <n v="1"/>
    <n v="3870"/>
    <n v="18.2"/>
    <n v="3165.66"/>
    <s v="Pending"/>
    <s v="Bengaluru"/>
    <x v="4"/>
    <s v="Corporate"/>
    <n v="55"/>
    <x v="2"/>
  </r>
  <r>
    <s v="ORD-01563"/>
    <x v="217"/>
    <s v="CUST-0158"/>
    <s v="PROD-001"/>
    <x v="3"/>
    <n v="1"/>
    <n v="5330"/>
    <n v="3.9"/>
    <n v="5122.13"/>
    <s v="Refunded"/>
    <s v="Pune"/>
    <x v="4"/>
    <s v="Corporate"/>
    <n v="42"/>
    <x v="0"/>
  </r>
  <r>
    <s v="ORD-01564"/>
    <x v="42"/>
    <s v="CUST-0160"/>
    <s v="PROD-032"/>
    <x v="16"/>
    <n v="8"/>
    <n v="370"/>
    <n v="1.3"/>
    <n v="2921.52"/>
    <s v="Completed"/>
    <s v="Hyderabad"/>
    <x v="3"/>
    <s v="Retail"/>
    <n v="27"/>
    <x v="3"/>
  </r>
  <r>
    <s v="ORD-01565"/>
    <x v="81"/>
    <s v="CUST-0009"/>
    <s v="PROD-005"/>
    <x v="16"/>
    <n v="7"/>
    <n v="300"/>
    <n v="7.1"/>
    <n v="1950.9"/>
    <s v="Completed"/>
    <s v="Mumbai"/>
    <x v="4"/>
    <s v="Retail"/>
    <n v="61"/>
    <x v="3"/>
  </r>
  <r>
    <s v="ORD-01566"/>
    <x v="118"/>
    <s v="CUST-0151"/>
    <s v="PROD-043"/>
    <x v="27"/>
    <n v="8"/>
    <n v="3350"/>
    <n v="11.2"/>
    <n v="23798.400000000001"/>
    <s v="Completed"/>
    <s v="Mumbai"/>
    <x v="5"/>
    <s v="Retail"/>
    <n v="53"/>
    <x v="1"/>
  </r>
  <r>
    <s v="ORD-01567"/>
    <x v="72"/>
    <s v="CUST-0105"/>
    <s v="PROD-056"/>
    <x v="18"/>
    <n v="6"/>
    <n v="6940"/>
    <n v="0.3"/>
    <n v="41515.08"/>
    <s v="Completed"/>
    <s v="Chennai"/>
    <x v="1"/>
    <s v="SMB"/>
    <n v="51"/>
    <x v="1"/>
  </r>
  <r>
    <s v="ORD-01568"/>
    <x v="64"/>
    <s v="CUST-0292"/>
    <s v="PROD-049"/>
    <x v="4"/>
    <n v="10"/>
    <n v="960"/>
    <n v="9.3000000000000007"/>
    <n v="8707.2000000000007"/>
    <s v="Cancelled"/>
    <s v="Bengaluru"/>
    <x v="5"/>
    <s v="Retail"/>
    <n v="32"/>
    <x v="0"/>
  </r>
  <r>
    <s v="ORD-01569"/>
    <x v="327"/>
    <s v="CUST-0076"/>
    <s v="PROD-021"/>
    <x v="13"/>
    <n v="10"/>
    <n v="2760"/>
    <n v="17.2"/>
    <n v="22852.799999999999"/>
    <s v="Completed"/>
    <s v="Mumbai"/>
    <x v="2"/>
    <s v="Retail"/>
    <n v="38"/>
    <x v="3"/>
  </r>
  <r>
    <s v="ORD-01570"/>
    <x v="243"/>
    <s v="CUST-0152"/>
    <s v="PROD-024"/>
    <x v="17"/>
    <n v="4"/>
    <n v="2270"/>
    <n v="26.8"/>
    <n v="6646.56"/>
    <s v="Completed"/>
    <s v="Bengaluru"/>
    <x v="2"/>
    <s v="SMB"/>
    <n v="64"/>
    <x v="2"/>
  </r>
  <r>
    <s v="ORD-01571"/>
    <x v="305"/>
    <s v="CUST-0146"/>
    <s v="PROD-002"/>
    <x v="13"/>
    <n v="2"/>
    <n v="2600"/>
    <n v="27"/>
    <n v="3796"/>
    <s v="Completed"/>
    <s v="Hyderabad"/>
    <x v="4"/>
    <s v="Retail"/>
    <n v="22"/>
    <x v="3"/>
  </r>
  <r>
    <s v="ORD-01572"/>
    <x v="300"/>
    <s v="CUST-0127"/>
    <s v="PROD-003"/>
    <x v="6"/>
    <n v="4"/>
    <n v="3570"/>
    <n v="12.3"/>
    <n v="12523.56"/>
    <s v="Completed"/>
    <s v="Bengaluru"/>
    <x v="4"/>
    <s v="SMB"/>
    <n v="36"/>
    <x v="2"/>
  </r>
  <r>
    <s v="ORD-01573"/>
    <x v="309"/>
    <s v="CUST-0173"/>
    <s v="PROD-034"/>
    <x v="29"/>
    <n v="5"/>
    <n v="5080"/>
    <n v="1.3"/>
    <n v="25069.8"/>
    <s v="Completed"/>
    <s v="Mumbai"/>
    <x v="3"/>
    <s v="Retail"/>
    <n v="65"/>
    <x v="1"/>
  </r>
  <r>
    <s v="ORD-01574"/>
    <x v="1"/>
    <s v="CUST-0206"/>
    <s v="PROD-049"/>
    <x v="29"/>
    <n v="5"/>
    <n v="960"/>
    <n v="25.2"/>
    <n v="3590.4"/>
    <s v="Completed"/>
    <s v="Mumbai"/>
    <x v="5"/>
    <s v="Retail"/>
    <n v="40"/>
    <x v="1"/>
  </r>
  <r>
    <s v="ORD-01575"/>
    <x v="117"/>
    <s v="CUST-0072"/>
    <s v="PROD-053"/>
    <x v="9"/>
    <n v="7"/>
    <n v="470"/>
    <n v="21.6"/>
    <n v="2579.36"/>
    <s v="Completed"/>
    <s v="Mumbai"/>
    <x v="1"/>
    <s v="Corporate"/>
    <n v="62"/>
    <x v="1"/>
  </r>
  <r>
    <s v="ORD-01576"/>
    <x v="327"/>
    <s v="CUST-0004"/>
    <s v="PROD-009"/>
    <x v="28"/>
    <n v="4"/>
    <n v="1220"/>
    <n v="12.6"/>
    <n v="4265.12"/>
    <s v="Completed"/>
    <s v="Delhi"/>
    <x v="4"/>
    <s v="Retail"/>
    <n v="53"/>
    <x v="2"/>
  </r>
  <r>
    <s v="ORD-01577"/>
    <x v="174"/>
    <s v="CUST-0249"/>
    <s v="PROD-054"/>
    <x v="4"/>
    <n v="4"/>
    <n v="1010"/>
    <n v="11.3"/>
    <n v="3583.48"/>
    <s v="Completed"/>
    <s v="Mumbai"/>
    <x v="1"/>
    <s v="Retail"/>
    <n v="44"/>
    <x v="0"/>
  </r>
  <r>
    <s v="ORD-01578"/>
    <x v="253"/>
    <s v="CUST-0139"/>
    <s v="PROD-028"/>
    <x v="1"/>
    <n v="4"/>
    <n v="3660"/>
    <n v="7.2"/>
    <n v="13585.92"/>
    <s v="Completed"/>
    <s v="Hyderabad"/>
    <x v="2"/>
    <s v="SMB"/>
    <n v="65"/>
    <x v="0"/>
  </r>
  <r>
    <s v="ORD-01579"/>
    <x v="138"/>
    <s v="CUST-0019"/>
    <s v="PROD-038"/>
    <x v="9"/>
    <n v="4"/>
    <n v="5490"/>
    <n v="8"/>
    <n v="20203.2"/>
    <s v="Completed"/>
    <s v="Chennai"/>
    <x v="3"/>
    <s v="Retail"/>
    <n v="22"/>
    <x v="1"/>
  </r>
  <r>
    <s v="ORD-01580"/>
    <x v="218"/>
    <s v="CUST-0210"/>
    <s v="PROD-022"/>
    <x v="11"/>
    <n v="6"/>
    <n v="2270"/>
    <n v="17.100000000000001"/>
    <n v="11290.98"/>
    <s v="Completed"/>
    <s v="Pune"/>
    <x v="2"/>
    <s v="Corporate"/>
    <n v="48"/>
    <x v="0"/>
  </r>
  <r>
    <s v="ORD-01581"/>
    <x v="276"/>
    <s v="CUST-0168"/>
    <s v="PROD-022"/>
    <x v="15"/>
    <n v="8"/>
    <n v="2270"/>
    <n v="11.9"/>
    <n v="15998.96"/>
    <s v="Pending"/>
    <s v="Pune"/>
    <x v="2"/>
    <s v="Retail"/>
    <n v="25"/>
    <x v="1"/>
  </r>
  <r>
    <s v="ORD-01582"/>
    <x v="95"/>
    <s v="CUST-0094"/>
    <s v="PROD-002"/>
    <x v="26"/>
    <n v="6"/>
    <n v="2600"/>
    <n v="5.0999999999999996"/>
    <n v="14804.4"/>
    <s v="Completed"/>
    <s v="Pune"/>
    <x v="4"/>
    <s v="SMB"/>
    <n v="60"/>
    <x v="3"/>
  </r>
  <r>
    <s v="ORD-01583"/>
    <x v="210"/>
    <s v="CUST-0259"/>
    <s v="PROD-004"/>
    <x v="28"/>
    <n v="9"/>
    <n v="3870"/>
    <n v="1.8"/>
    <n v="34203.06"/>
    <s v="Cancelled"/>
    <s v="Mumbai"/>
    <x v="4"/>
    <s v="Retail"/>
    <n v="34"/>
    <x v="2"/>
  </r>
  <r>
    <s v="ORD-01584"/>
    <x v="61"/>
    <s v="CUST-0150"/>
    <s v="PROD-006"/>
    <x v="3"/>
    <n v="3"/>
    <n v="3970"/>
    <n v="8.1999999999999993"/>
    <n v="10933.38"/>
    <s v="Completed"/>
    <s v="Pune"/>
    <x v="4"/>
    <s v="SMB"/>
    <n v="53"/>
    <x v="0"/>
  </r>
  <r>
    <s v="ORD-01585"/>
    <x v="334"/>
    <s v="CUST-0040"/>
    <s v="PROD-049"/>
    <x v="8"/>
    <n v="9"/>
    <n v="960"/>
    <n v="21.7"/>
    <n v="6765.12"/>
    <s v="Cancelled"/>
    <s v="Chennai"/>
    <x v="5"/>
    <s v="Retail"/>
    <n v="28"/>
    <x v="2"/>
  </r>
  <r>
    <s v="ORD-01586"/>
    <x v="215"/>
    <s v="CUST-0290"/>
    <s v="PROD-052"/>
    <x v="5"/>
    <n v="3"/>
    <n v="5410"/>
    <n v="20.3"/>
    <n v="12935.31"/>
    <s v="Completed"/>
    <s v="Delhi"/>
    <x v="1"/>
    <s v="Retail"/>
    <n v="63"/>
    <x v="2"/>
  </r>
  <r>
    <s v="ORD-01587"/>
    <x v="133"/>
    <s v="CUST-0123"/>
    <s v="PROD-011"/>
    <x v="1"/>
    <n v="3"/>
    <n v="3450"/>
    <n v="11.6"/>
    <n v="9149.4"/>
    <s v="Completed"/>
    <s v="Chennai"/>
    <x v="0"/>
    <s v="Corporate"/>
    <n v="44"/>
    <x v="0"/>
  </r>
  <r>
    <s v="ORD-01588"/>
    <x v="40"/>
    <s v="CUST-0053"/>
    <s v="PROD-045"/>
    <x v="4"/>
    <n v="2"/>
    <n v="3020"/>
    <n v="20.8"/>
    <n v="4783.68"/>
    <s v="Pending"/>
    <s v="Delhi"/>
    <x v="5"/>
    <s v="Retail"/>
    <n v="53"/>
    <x v="0"/>
  </r>
  <r>
    <s v="ORD-01589"/>
    <x v="232"/>
    <s v="CUST-0179"/>
    <s v="PROD-060"/>
    <x v="25"/>
    <n v="3"/>
    <n v="190"/>
    <n v="10.7"/>
    <n v="509.01"/>
    <s v="Completed"/>
    <s v="Mumbai"/>
    <x v="1"/>
    <s v="SMB"/>
    <n v="54"/>
    <x v="0"/>
  </r>
  <r>
    <s v="ORD-01590"/>
    <x v="137"/>
    <s v="CUST-0006"/>
    <s v="PROD-031"/>
    <x v="27"/>
    <n v="4"/>
    <n v="3730"/>
    <n v="6.9"/>
    <n v="13890.52"/>
    <s v="Completed"/>
    <s v="Pune"/>
    <x v="3"/>
    <s v="SMB"/>
    <n v="44"/>
    <x v="1"/>
  </r>
  <r>
    <s v="ORD-01591"/>
    <x v="240"/>
    <s v="CUST-0272"/>
    <s v="PROD-051"/>
    <x v="5"/>
    <n v="9"/>
    <n v="3450"/>
    <n v="22.2"/>
    <n v="24156.9"/>
    <s v="Cancelled"/>
    <s v="Mumbai"/>
    <x v="1"/>
    <s v="SMB"/>
    <n v="47"/>
    <x v="2"/>
  </r>
  <r>
    <s v="ORD-01592"/>
    <x v="260"/>
    <s v="CUST-0274"/>
    <s v="PROD-006"/>
    <x v="25"/>
    <n v="3"/>
    <n v="3970"/>
    <n v="6.8"/>
    <n v="11100.12"/>
    <s v="Completed"/>
    <s v="Bengaluru"/>
    <x v="4"/>
    <s v="Corporate"/>
    <n v="36"/>
    <x v="0"/>
  </r>
  <r>
    <s v="ORD-01593"/>
    <x v="32"/>
    <s v="CUST-0262"/>
    <s v="PROD-035"/>
    <x v="24"/>
    <n v="3"/>
    <n v="1090"/>
    <n v="23.7"/>
    <n v="2495.0100000000002"/>
    <s v="Completed"/>
    <s v="Mumbai"/>
    <x v="3"/>
    <s v="Retail"/>
    <n v="52"/>
    <x v="3"/>
  </r>
  <r>
    <s v="ORD-01594"/>
    <x v="212"/>
    <s v="CUST-0087"/>
    <s v="PROD-033"/>
    <x v="12"/>
    <n v="3"/>
    <n v="2030"/>
    <n v="18.8"/>
    <n v="4945.08"/>
    <s v="Completed"/>
    <s v="Pune"/>
    <x v="3"/>
    <s v="SMB"/>
    <n v="49"/>
    <x v="3"/>
  </r>
  <r>
    <s v="ORD-01595"/>
    <x v="27"/>
    <s v="CUST-0198"/>
    <s v="PROD-026"/>
    <x v="4"/>
    <n v="2"/>
    <n v="4070"/>
    <n v="14.3"/>
    <n v="6975.98"/>
    <s v="Completed"/>
    <s v="Chennai"/>
    <x v="2"/>
    <s v="Corporate"/>
    <n v="22"/>
    <x v="0"/>
  </r>
  <r>
    <s v="ORD-01596"/>
    <x v="306"/>
    <s v="CUST-0065"/>
    <s v="PROD-014"/>
    <x v="8"/>
    <n v="3"/>
    <n v="3620"/>
    <n v="13.5"/>
    <n v="9393.9"/>
    <s v="Completed"/>
    <s v="Chennai"/>
    <x v="0"/>
    <s v="Corporate"/>
    <n v="49"/>
    <x v="2"/>
  </r>
  <r>
    <s v="ORD-01597"/>
    <x v="235"/>
    <s v="CUST-0209"/>
    <s v="PROD-054"/>
    <x v="19"/>
    <n v="4"/>
    <n v="1010"/>
    <n v="3.3"/>
    <n v="3906.68"/>
    <s v="Completed"/>
    <s v="Pune"/>
    <x v="1"/>
    <s v="Retail"/>
    <n v="31"/>
    <x v="0"/>
  </r>
  <r>
    <s v="ORD-01598"/>
    <x v="304"/>
    <s v="CUST-0181"/>
    <s v="PROD-030"/>
    <x v="1"/>
    <n v="7"/>
    <n v="970"/>
    <n v="0.1"/>
    <n v="6783.21"/>
    <s v="Completed"/>
    <s v="Delhi"/>
    <x v="2"/>
    <s v="SMB"/>
    <n v="38"/>
    <x v="0"/>
  </r>
  <r>
    <s v="ORD-01599"/>
    <x v="297"/>
    <s v="CUST-0007"/>
    <s v="PROD-053"/>
    <x v="28"/>
    <n v="5"/>
    <n v="470"/>
    <n v="18.3"/>
    <n v="1919.95"/>
    <s v="Refunded"/>
    <s v="Bengaluru"/>
    <x v="1"/>
    <s v="Retail"/>
    <n v="47"/>
    <x v="2"/>
  </r>
  <r>
    <s v="ORD-01600"/>
    <x v="274"/>
    <s v="CUST-0050"/>
    <s v="PROD-011"/>
    <x v="9"/>
    <n v="8"/>
    <n v="3450"/>
    <n v="5.0999999999999996"/>
    <n v="26192.400000000001"/>
    <s v="Refunded"/>
    <s v="Mumbai"/>
    <x v="0"/>
    <s v="Retail"/>
    <n v="37"/>
    <x v="1"/>
  </r>
  <r>
    <s v="ORD-01601"/>
    <x v="57"/>
    <s v="CUST-0155"/>
    <s v="PROD-010"/>
    <x v="24"/>
    <n v="1"/>
    <n v="2640"/>
    <n v="5.9"/>
    <n v="2484.2399999999998"/>
    <s v="Completed"/>
    <s v="Pune"/>
    <x v="4"/>
    <s v="Corporate"/>
    <n v="40"/>
    <x v="3"/>
  </r>
  <r>
    <s v="ORD-01602"/>
    <x v="20"/>
    <s v="CUST-0085"/>
    <s v="PROD-003"/>
    <x v="16"/>
    <n v="10"/>
    <n v="3570"/>
    <n v="21.5"/>
    <n v="28024.5"/>
    <s v="Completed"/>
    <s v="Chennai"/>
    <x v="4"/>
    <s v="Retail"/>
    <n v="26"/>
    <x v="3"/>
  </r>
  <r>
    <s v="ORD-01603"/>
    <x v="248"/>
    <s v="CUST-0285"/>
    <s v="PROD-007"/>
    <x v="29"/>
    <n v="10"/>
    <n v="1430"/>
    <n v="11.4"/>
    <n v="12669.8"/>
    <s v="Cancelled"/>
    <s v="Hyderabad"/>
    <x v="4"/>
    <s v="Retail"/>
    <n v="22"/>
    <x v="1"/>
  </r>
  <r>
    <s v="ORD-01604"/>
    <x v="175"/>
    <s v="CUST-0148"/>
    <s v="PROD-057"/>
    <x v="22"/>
    <n v="7"/>
    <n v="960"/>
    <n v="22.9"/>
    <n v="5181.12"/>
    <s v="Completed"/>
    <s v="Chennai"/>
    <x v="1"/>
    <s v="Retail"/>
    <n v="32"/>
    <x v="1"/>
  </r>
  <r>
    <s v="ORD-01605"/>
    <x v="38"/>
    <s v="CUST-0252"/>
    <s v="PROD-036"/>
    <x v="9"/>
    <n v="8"/>
    <n v="3250"/>
    <n v="1.9"/>
    <n v="25506"/>
    <s v="Completed"/>
    <s v="Bengaluru"/>
    <x v="3"/>
    <s v="Retail"/>
    <n v="27"/>
    <x v="1"/>
  </r>
  <r>
    <s v="ORD-01606"/>
    <x v="320"/>
    <s v="CUST-0141"/>
    <s v="PROD-051"/>
    <x v="26"/>
    <n v="9"/>
    <n v="3450"/>
    <n v="18"/>
    <n v="25461"/>
    <s v="Completed"/>
    <s v="Hyderabad"/>
    <x v="1"/>
    <s v="Corporate"/>
    <n v="22"/>
    <x v="3"/>
  </r>
  <r>
    <s v="ORD-01607"/>
    <x v="30"/>
    <s v="CUST-0101"/>
    <s v="PROD-024"/>
    <x v="29"/>
    <n v="5"/>
    <n v="2270"/>
    <n v="11.5"/>
    <n v="10044.75"/>
    <s v="Completed"/>
    <s v="Hyderabad"/>
    <x v="2"/>
    <s v="SMB"/>
    <n v="40"/>
    <x v="1"/>
  </r>
  <r>
    <s v="ORD-01608"/>
    <x v="121"/>
    <s v="CUST-0223"/>
    <s v="PROD-045"/>
    <x v="7"/>
    <n v="6"/>
    <n v="3020"/>
    <n v="12.6"/>
    <n v="15836.88"/>
    <s v="Completed"/>
    <s v="Bengaluru"/>
    <x v="5"/>
    <s v="Retail"/>
    <n v="46"/>
    <x v="3"/>
  </r>
  <r>
    <s v="ORD-01609"/>
    <x v="58"/>
    <s v="CUST-0197"/>
    <s v="PROD-010"/>
    <x v="4"/>
    <n v="8"/>
    <n v="2640"/>
    <n v="14.5"/>
    <n v="18057.599999999999"/>
    <s v="Refunded"/>
    <s v="Bengaluru"/>
    <x v="4"/>
    <s v="Retail"/>
    <n v="55"/>
    <x v="0"/>
  </r>
  <r>
    <s v="ORD-01610"/>
    <x v="230"/>
    <s v="CUST-0260"/>
    <s v="PROD-024"/>
    <x v="28"/>
    <n v="2"/>
    <n v="2270"/>
    <n v="27"/>
    <n v="3314.2"/>
    <s v="Completed"/>
    <s v="Bengaluru"/>
    <x v="2"/>
    <s v="Retail"/>
    <n v="42"/>
    <x v="2"/>
  </r>
  <r>
    <s v="ORD-01611"/>
    <x v="184"/>
    <s v="CUST-0180"/>
    <s v="PROD-021"/>
    <x v="28"/>
    <n v="8"/>
    <n v="2760"/>
    <n v="18"/>
    <n v="18105.599999999999"/>
    <s v="Cancelled"/>
    <s v="Chennai"/>
    <x v="2"/>
    <s v="Retail"/>
    <n v="36"/>
    <x v="2"/>
  </r>
  <r>
    <s v="ORD-01612"/>
    <x v="62"/>
    <s v="CUST-0166"/>
    <s v="PROD-014"/>
    <x v="12"/>
    <n v="8"/>
    <n v="3620"/>
    <n v="7.1"/>
    <n v="26903.84"/>
    <s v="Completed"/>
    <s v="Hyderabad"/>
    <x v="0"/>
    <s v="Retail"/>
    <n v="31"/>
    <x v="3"/>
  </r>
  <r>
    <s v="ORD-01613"/>
    <x v="302"/>
    <s v="CUST-0062"/>
    <s v="PROD-042"/>
    <x v="13"/>
    <n v="8"/>
    <n v="2290"/>
    <n v="16.399999999999999"/>
    <n v="15315.52"/>
    <s v="Completed"/>
    <s v="Pune"/>
    <x v="5"/>
    <s v="Retail"/>
    <n v="54"/>
    <x v="3"/>
  </r>
  <r>
    <s v="ORD-01614"/>
    <x v="32"/>
    <s v="CUST-0130"/>
    <s v="PROD-044"/>
    <x v="7"/>
    <n v="3"/>
    <n v="1650"/>
    <n v="1.8"/>
    <n v="4860.8999999999996"/>
    <s v="Cancelled"/>
    <s v="Bengaluru"/>
    <x v="5"/>
    <s v="Corporate"/>
    <n v="41"/>
    <x v="3"/>
  </r>
  <r>
    <s v="ORD-01615"/>
    <x v="362"/>
    <s v="CUST-0162"/>
    <s v="PROD-001"/>
    <x v="26"/>
    <n v="3"/>
    <n v="5330"/>
    <n v="22.2"/>
    <n v="12440.22"/>
    <s v="Completed"/>
    <s v="Mumbai"/>
    <x v="4"/>
    <s v="Corporate"/>
    <n v="35"/>
    <x v="3"/>
  </r>
  <r>
    <s v="ORD-01616"/>
    <x v="166"/>
    <s v="CUST-0153"/>
    <s v="PROD-040"/>
    <x v="24"/>
    <n v="7"/>
    <n v="1080"/>
    <n v="17.899999999999999"/>
    <n v="6206.76"/>
    <s v="Completed"/>
    <s v="Mumbai"/>
    <x v="3"/>
    <s v="Retail"/>
    <n v="35"/>
    <x v="3"/>
  </r>
  <r>
    <s v="ORD-01617"/>
    <x v="151"/>
    <s v="CUST-0071"/>
    <s v="PROD-009"/>
    <x v="24"/>
    <n v="10"/>
    <n v="1220"/>
    <n v="5.7"/>
    <n v="11504.6"/>
    <s v="Completed"/>
    <s v="Delhi"/>
    <x v="4"/>
    <s v="Corporate"/>
    <n v="46"/>
    <x v="3"/>
  </r>
  <r>
    <s v="ORD-01618"/>
    <x v="83"/>
    <s v="CUST-0200"/>
    <s v="PROD-037"/>
    <x v="14"/>
    <n v="10"/>
    <n v="660"/>
    <n v="7.5"/>
    <n v="6105"/>
    <s v="Completed"/>
    <s v="Hyderabad"/>
    <x v="3"/>
    <s v="Corporate"/>
    <n v="46"/>
    <x v="2"/>
  </r>
  <r>
    <s v="ORD-01619"/>
    <x v="88"/>
    <s v="CUST-0266"/>
    <s v="PROD-040"/>
    <x v="16"/>
    <n v="6"/>
    <n v="1080"/>
    <n v="28.9"/>
    <n v="4607.28"/>
    <s v="Completed"/>
    <s v="Pune"/>
    <x v="3"/>
    <s v="Retail"/>
    <n v="65"/>
    <x v="3"/>
  </r>
  <r>
    <s v="ORD-01620"/>
    <x v="241"/>
    <s v="CUST-0171"/>
    <s v="PROD-022"/>
    <x v="16"/>
    <n v="7"/>
    <n v="2270"/>
    <n v="1.4"/>
    <n v="15667.54"/>
    <s v="Completed"/>
    <s v="Chennai"/>
    <x v="2"/>
    <s v="Corporate"/>
    <n v="30"/>
    <x v="3"/>
  </r>
  <r>
    <s v="ORD-01621"/>
    <x v="206"/>
    <s v="CUST-0221"/>
    <s v="PROD-032"/>
    <x v="8"/>
    <n v="3"/>
    <n v="370"/>
    <n v="9.6"/>
    <n v="1003.44"/>
    <s v="Refunded"/>
    <s v="Delhi"/>
    <x v="3"/>
    <s v="SMB"/>
    <n v="29"/>
    <x v="2"/>
  </r>
  <r>
    <s v="ORD-01622"/>
    <x v="13"/>
    <s v="CUST-0038"/>
    <s v="PROD-030"/>
    <x v="18"/>
    <n v="9"/>
    <n v="970"/>
    <n v="29.7"/>
    <n v="6137.19"/>
    <s v="Completed"/>
    <s v="Mumbai"/>
    <x v="2"/>
    <s v="Retail"/>
    <n v="57"/>
    <x v="1"/>
  </r>
  <r>
    <s v="ORD-00613"/>
    <x v="171"/>
    <s v="CUST-0174"/>
    <s v="PROD-016"/>
    <x v="11"/>
    <n v="1"/>
    <n v="620"/>
    <n v="10.4"/>
    <n v="555.52"/>
    <s v="Cancelled"/>
    <s v="Pune"/>
    <x v="0"/>
    <s v="Retail"/>
    <n v="54"/>
    <x v="0"/>
  </r>
  <r>
    <s v="ORD-01624"/>
    <x v="80"/>
    <s v="CUST-0054"/>
    <s v="PROD-028"/>
    <x v="20"/>
    <n v="5"/>
    <n v="3660"/>
    <n v="8"/>
    <n v="16836"/>
    <s v="Completed"/>
    <s v="Mumbai"/>
    <x v="2"/>
    <s v="Corporate"/>
    <n v="62"/>
    <x v="2"/>
  </r>
  <r>
    <s v="ORD-01625"/>
    <x v="108"/>
    <s v="CUST-0071"/>
    <s v="PROD-029"/>
    <x v="6"/>
    <n v="7"/>
    <n v="2210"/>
    <n v="13.7"/>
    <n v="13350.61"/>
    <s v="Refunded"/>
    <s v="Delhi"/>
    <x v="2"/>
    <s v="Corporate"/>
    <n v="46"/>
    <x v="2"/>
  </r>
  <r>
    <s v="ORD-01626"/>
    <x v="252"/>
    <s v="CUST-0004"/>
    <s v="PROD-059"/>
    <x v="8"/>
    <n v="1"/>
    <n v="3780"/>
    <n v="11.5"/>
    <n v="3345.3"/>
    <s v="Completed"/>
    <s v="Delhi"/>
    <x v="1"/>
    <s v="Retail"/>
    <n v="53"/>
    <x v="2"/>
  </r>
  <r>
    <s v="ORD-01627"/>
    <x v="131"/>
    <s v="CUST-0033"/>
    <s v="PROD-002"/>
    <x v="1"/>
    <n v="10"/>
    <n v="2600"/>
    <n v="29.4"/>
    <n v="18356"/>
    <s v="Completed"/>
    <s v="Delhi"/>
    <x v="4"/>
    <s v="Retail"/>
    <n v="35"/>
    <x v="0"/>
  </r>
  <r>
    <s v="ORD-01628"/>
    <x v="13"/>
    <s v="CUST-0079"/>
    <s v="PROD-027"/>
    <x v="21"/>
    <n v="3"/>
    <n v="3780"/>
    <n v="14.4"/>
    <n v="9707.0400000000009"/>
    <s v="Completed"/>
    <s v="Mumbai"/>
    <x v="2"/>
    <s v="Corporate"/>
    <n v="60"/>
    <x v="3"/>
  </r>
  <r>
    <s v="ORD-01629"/>
    <x v="292"/>
    <s v="CUST-0176"/>
    <s v="PROD-010"/>
    <x v="11"/>
    <n v="10"/>
    <n v="2640"/>
    <n v="26.8"/>
    <n v="19324.8"/>
    <s v="Pending"/>
    <s v="Bengaluru"/>
    <x v="4"/>
    <s v="SMB"/>
    <n v="34"/>
    <x v="0"/>
  </r>
  <r>
    <s v="ORD-01630"/>
    <x v="324"/>
    <s v="CUST-0254"/>
    <s v="PROD-035"/>
    <x v="22"/>
    <n v="3"/>
    <n v="1090"/>
    <n v="9.1"/>
    <n v="2972.43"/>
    <s v="Completed"/>
    <s v="Bengaluru"/>
    <x v="3"/>
    <s v="Retail"/>
    <n v="35"/>
    <x v="1"/>
  </r>
  <r>
    <s v="ORD-01631"/>
    <x v="308"/>
    <s v="CUST-0212"/>
    <s v="PROD-011"/>
    <x v="6"/>
    <n v="3"/>
    <n v="3450"/>
    <n v="23"/>
    <n v="7969.5"/>
    <s v="Pending"/>
    <s v="Chennai"/>
    <x v="0"/>
    <s v="SMB"/>
    <n v="46"/>
    <x v="2"/>
  </r>
  <r>
    <s v="ORD-01632"/>
    <x v="13"/>
    <s v="CUST-0109"/>
    <s v="PROD-049"/>
    <x v="15"/>
    <n v="1"/>
    <n v="960"/>
    <n v="1.1000000000000001"/>
    <n v="949.44"/>
    <s v="Completed"/>
    <s v="Pune"/>
    <x v="5"/>
    <s v="Retail"/>
    <n v="42"/>
    <x v="1"/>
  </r>
  <r>
    <s v="ORD-01633"/>
    <x v="251"/>
    <s v="CUST-0087"/>
    <s v="PROD-028"/>
    <x v="14"/>
    <n v="9"/>
    <n v="3660"/>
    <n v="9"/>
    <n v="29975.4"/>
    <s v="Completed"/>
    <s v="Pune"/>
    <x v="2"/>
    <s v="SMB"/>
    <n v="49"/>
    <x v="2"/>
  </r>
  <r>
    <s v="ORD-01634"/>
    <x v="103"/>
    <s v="CUST-0167"/>
    <s v="PROD-031"/>
    <x v="4"/>
    <n v="3"/>
    <n v="3730"/>
    <n v="15.8"/>
    <n v="9421.98"/>
    <s v="Completed"/>
    <s v="Delhi"/>
    <x v="3"/>
    <s v="Retail"/>
    <n v="43"/>
    <x v="0"/>
  </r>
  <r>
    <s v="ORD-01635"/>
    <x v="324"/>
    <s v="CUST-0079"/>
    <s v="PROD-026"/>
    <x v="10"/>
    <n v="6"/>
    <n v="4070"/>
    <n v="6.2"/>
    <n v="22905.96"/>
    <s v="Completed"/>
    <s v="Mumbai"/>
    <x v="2"/>
    <s v="Corporate"/>
    <n v="60"/>
    <x v="0"/>
  </r>
  <r>
    <s v="ORD-01636"/>
    <x v="90"/>
    <s v="CUST-0115"/>
    <s v="PROD-008"/>
    <x v="24"/>
    <n v="1"/>
    <n v="2660"/>
    <n v="14.6"/>
    <n v="2271.64"/>
    <s v="Completed"/>
    <s v="Mumbai"/>
    <x v="4"/>
    <s v="SMB"/>
    <n v="65"/>
    <x v="3"/>
  </r>
  <r>
    <s v="ORD-01637"/>
    <x v="239"/>
    <s v="CUST-0184"/>
    <s v="PROD-033"/>
    <x v="11"/>
    <n v="3"/>
    <n v="2030"/>
    <n v="13.3"/>
    <n v="5280.03"/>
    <s v="Cancelled"/>
    <s v="Pune"/>
    <x v="3"/>
    <s v="Retail"/>
    <n v="63"/>
    <x v="0"/>
  </r>
  <r>
    <s v="ORD-01638"/>
    <x v="274"/>
    <s v="CUST-0084"/>
    <s v="PROD-028"/>
    <x v="19"/>
    <n v="4"/>
    <n v="3660"/>
    <n v="2.2000000000000002"/>
    <n v="14317.92"/>
    <s v="Completed"/>
    <s v="Chennai"/>
    <x v="2"/>
    <s v="Retail"/>
    <n v="28"/>
    <x v="0"/>
  </r>
  <r>
    <s v="ORD-01639"/>
    <x v="234"/>
    <s v="CUST-0186"/>
    <s v="PROD-008"/>
    <x v="3"/>
    <n v="2"/>
    <n v="2660"/>
    <n v="7.2"/>
    <n v="4936.96"/>
    <s v="Cancelled"/>
    <s v="Bengaluru"/>
    <x v="4"/>
    <s v="Retail"/>
    <n v="42"/>
    <x v="0"/>
  </r>
  <r>
    <s v="ORD-01640"/>
    <x v="207"/>
    <s v="CUST-0077"/>
    <s v="PROD-046"/>
    <x v="22"/>
    <n v="2"/>
    <n v="4880"/>
    <n v="23.8"/>
    <n v="7437.12"/>
    <s v="Completed"/>
    <s v="Hyderabad"/>
    <x v="5"/>
    <s v="SMB"/>
    <n v="48"/>
    <x v="1"/>
  </r>
  <r>
    <s v="ORD-01641"/>
    <x v="91"/>
    <s v="CUST-0093"/>
    <s v="PROD-011"/>
    <x v="23"/>
    <n v="1"/>
    <n v="3450"/>
    <n v="1.7"/>
    <n v="3391.35"/>
    <s v="Completed"/>
    <s v="Pune"/>
    <x v="0"/>
    <s v="Retail"/>
    <n v="36"/>
    <x v="1"/>
  </r>
  <r>
    <s v="ORD-01642"/>
    <x v="269"/>
    <s v="CUST-0018"/>
    <s v="PROD-045"/>
    <x v="12"/>
    <n v="4"/>
    <n v="3020"/>
    <n v="17.8"/>
    <n v="9929.76"/>
    <s v="Completed"/>
    <s v="Pune"/>
    <x v="5"/>
    <s v="SMB"/>
    <n v="54"/>
    <x v="3"/>
  </r>
  <r>
    <s v="ORD-01643"/>
    <x v="15"/>
    <s v="CUST-0034"/>
    <s v="PROD-056"/>
    <x v="13"/>
    <n v="6"/>
    <n v="6940"/>
    <n v="8.9"/>
    <n v="37934.04"/>
    <s v="Completed"/>
    <s v="Delhi"/>
    <x v="1"/>
    <s v="Retail"/>
    <n v="47"/>
    <x v="3"/>
  </r>
  <r>
    <s v="ORD-01644"/>
    <x v="271"/>
    <s v="CUST-0111"/>
    <s v="PROD-021"/>
    <x v="12"/>
    <n v="10"/>
    <n v="2760"/>
    <n v="8.9"/>
    <n v="25143.599999999999"/>
    <s v="Completed"/>
    <s v="Chennai"/>
    <x v="2"/>
    <s v="SMB"/>
    <n v="64"/>
    <x v="3"/>
  </r>
  <r>
    <s v="ORD-01645"/>
    <x v="202"/>
    <s v="CUST-0210"/>
    <s v="PROD-049"/>
    <x v="16"/>
    <n v="8"/>
    <n v="960"/>
    <n v="20.9"/>
    <n v="6074.88"/>
    <s v="Completed"/>
    <s v="Pune"/>
    <x v="5"/>
    <s v="Corporate"/>
    <n v="48"/>
    <x v="3"/>
  </r>
  <r>
    <s v="ORD-01646"/>
    <x v="71"/>
    <s v="CUST-0037"/>
    <s v="PROD-049"/>
    <x v="27"/>
    <n v="4"/>
    <n v="960"/>
    <n v="29.1"/>
    <n v="2722.56"/>
    <s v="Completed"/>
    <s v="Bengaluru"/>
    <x v="5"/>
    <s v="Retail"/>
    <n v="52"/>
    <x v="1"/>
  </r>
  <r>
    <s v="ORD-01647"/>
    <x v="306"/>
    <s v="CUST-0192"/>
    <s v="PROD-030"/>
    <x v="13"/>
    <n v="1"/>
    <n v="970"/>
    <n v="8.4"/>
    <n v="888.52"/>
    <s v="Cancelled"/>
    <s v="Bengaluru"/>
    <x v="2"/>
    <s v="Retail"/>
    <n v="55"/>
    <x v="3"/>
  </r>
  <r>
    <s v="ORD-01648"/>
    <x v="169"/>
    <s v="CUST-0038"/>
    <s v="PROD-050"/>
    <x v="12"/>
    <n v="5"/>
    <n v="6080"/>
    <n v="17.600000000000001"/>
    <n v="25049.599999999999"/>
    <s v="Completed"/>
    <s v="Mumbai"/>
    <x v="5"/>
    <s v="Retail"/>
    <n v="57"/>
    <x v="3"/>
  </r>
  <r>
    <s v="ORD-01649"/>
    <x v="283"/>
    <s v="CUST-0034"/>
    <s v="PROD-028"/>
    <x v="22"/>
    <n v="4"/>
    <n v="3660"/>
    <n v="21.8"/>
    <n v="11448.48"/>
    <s v="Pending"/>
    <s v="Delhi"/>
    <x v="2"/>
    <s v="Retail"/>
    <n v="47"/>
    <x v="1"/>
  </r>
  <r>
    <s v="ORD-01650"/>
    <x v="32"/>
    <s v="CUST-0248"/>
    <s v="PROD-031"/>
    <x v="4"/>
    <n v="6"/>
    <n v="3730"/>
    <n v="13.3"/>
    <n v="19403.46"/>
    <s v="Cancelled"/>
    <s v="Chennai"/>
    <x v="3"/>
    <s v="SMB"/>
    <n v="57"/>
    <x v="0"/>
  </r>
  <r>
    <s v="ORD-01651"/>
    <x v="327"/>
    <s v="CUST-0194"/>
    <s v="PROD-004"/>
    <x v="20"/>
    <n v="8"/>
    <n v="3870"/>
    <n v="21.2"/>
    <n v="24396.48"/>
    <s v="Pending"/>
    <s v="Delhi"/>
    <x v="4"/>
    <s v="SMB"/>
    <n v="55"/>
    <x v="2"/>
  </r>
  <r>
    <s v="ORD-01652"/>
    <x v="69"/>
    <s v="CUST-0114"/>
    <s v="PROD-021"/>
    <x v="29"/>
    <n v="4"/>
    <n v="2760"/>
    <n v="14"/>
    <n v="9494.4"/>
    <s v="Completed"/>
    <s v="Bengaluru"/>
    <x v="2"/>
    <s v="Corporate"/>
    <n v="42"/>
    <x v="1"/>
  </r>
  <r>
    <s v="ORD-01653"/>
    <x v="100"/>
    <s v="CUST-0118"/>
    <s v="PROD-023"/>
    <x v="16"/>
    <n v="5"/>
    <n v="2380"/>
    <n v="16.399999999999999"/>
    <n v="9948.4"/>
    <s v="Completed"/>
    <s v="Hyderabad"/>
    <x v="2"/>
    <s v="Retail"/>
    <n v="26"/>
    <x v="3"/>
  </r>
  <r>
    <s v="ORD-01654"/>
    <x v="246"/>
    <s v="CUST-9719"/>
    <s v="PROD-050"/>
    <x v="15"/>
    <n v="2"/>
    <n v="6080"/>
    <n v="20.100000000000001"/>
    <n v="9715.84"/>
    <s v="Cancelled"/>
    <s v="Mumbai"/>
    <x v="5"/>
    <e v="#N/A"/>
    <e v="#N/A"/>
    <x v="1"/>
  </r>
  <r>
    <s v="ORD-01655"/>
    <x v="296"/>
    <s v="CUST-0232"/>
    <s v="PROD-016"/>
    <x v="29"/>
    <n v="2"/>
    <n v="620"/>
    <n v="4.3"/>
    <n v="1186.68"/>
    <s v="Completed"/>
    <s v="Hyderabad"/>
    <x v="0"/>
    <s v="Retail"/>
    <n v="38"/>
    <x v="1"/>
  </r>
  <r>
    <s v="ORD-01656"/>
    <x v="16"/>
    <s v="CUST-0240"/>
    <s v="PROD-004"/>
    <x v="27"/>
    <n v="7"/>
    <n v="3870"/>
    <n v="5.9"/>
    <n v="25491.69"/>
    <s v="Completed"/>
    <s v="Chennai"/>
    <x v="4"/>
    <s v="Corporate"/>
    <n v="35"/>
    <x v="1"/>
  </r>
  <r>
    <s v="ORD-01657"/>
    <x v="249"/>
    <s v="CUST-0227"/>
    <s v="PROD-003"/>
    <x v="16"/>
    <n v="8"/>
    <n v="3570"/>
    <n v="24.6"/>
    <n v="21534.240000000002"/>
    <s v="Completed"/>
    <s v="Bengaluru"/>
    <x v="4"/>
    <s v="SMB"/>
    <n v="44"/>
    <x v="3"/>
  </r>
  <r>
    <s v="ORD-01658"/>
    <x v="168"/>
    <s v="CUST-0234"/>
    <s v="PROD-026"/>
    <x v="9"/>
    <n v="1"/>
    <n v="4070"/>
    <n v="29.1"/>
    <n v="2885.63"/>
    <s v="Pending"/>
    <s v="Bengaluru"/>
    <x v="2"/>
    <s v="Retail"/>
    <n v="34"/>
    <x v="1"/>
  </r>
  <r>
    <s v="ORD-01659"/>
    <x v="296"/>
    <s v="CUST-0041"/>
    <s v="PROD-020"/>
    <x v="21"/>
    <n v="1"/>
    <n v="820"/>
    <n v="17.899999999999999"/>
    <n v="673.22"/>
    <s v="Completed"/>
    <s v="Bengaluru"/>
    <x v="0"/>
    <s v="SMB"/>
    <n v="26"/>
    <x v="3"/>
  </r>
  <r>
    <s v="ORD-01660"/>
    <x v="175"/>
    <s v="CUST-0129"/>
    <s v="PROD-045"/>
    <x v="20"/>
    <n v="5"/>
    <n v="3020"/>
    <n v="26.2"/>
    <n v="11143.8"/>
    <s v="Completed"/>
    <s v="Hyderabad"/>
    <x v="5"/>
    <s v="Retail"/>
    <n v="29"/>
    <x v="2"/>
  </r>
  <r>
    <s v="ORD-01661"/>
    <x v="91"/>
    <s v="CUST-0141"/>
    <s v="PROD-018"/>
    <x v="24"/>
    <n v="10"/>
    <n v="3560"/>
    <n v="15.4"/>
    <n v="30117.599999999999"/>
    <s v="Refunded"/>
    <s v="Hyderabad"/>
    <x v="0"/>
    <s v="Corporate"/>
    <n v="22"/>
    <x v="3"/>
  </r>
  <r>
    <s v="ORD-01662"/>
    <x v="299"/>
    <s v="CUST-0282"/>
    <s v="PROD-043"/>
    <x v="19"/>
    <n v="3"/>
    <n v="3350"/>
    <n v="8.1"/>
    <n v="9235.9500000000007"/>
    <s v="Completed"/>
    <s v="Hyderabad"/>
    <x v="5"/>
    <s v="Corporate"/>
    <n v="29"/>
    <x v="0"/>
  </r>
  <r>
    <s v="ORD-01663"/>
    <x v="176"/>
    <s v="CUST-0269"/>
    <s v="PROD-042"/>
    <x v="5"/>
    <n v="10"/>
    <n v="2290"/>
    <n v="7"/>
    <n v="21297"/>
    <s v="Completed"/>
    <s v="Pune"/>
    <x v="5"/>
    <s v="Retail"/>
    <n v="48"/>
    <x v="2"/>
  </r>
  <r>
    <s v="ORD-01664"/>
    <x v="64"/>
    <s v="CUST-0239"/>
    <s v="PROD-028"/>
    <x v="11"/>
    <n v="6"/>
    <n v="3660"/>
    <n v="29.9"/>
    <n v="15393.96"/>
    <s v="Completed"/>
    <s v="Mumbai"/>
    <x v="2"/>
    <s v="Retail"/>
    <n v="61"/>
    <x v="0"/>
  </r>
  <r>
    <s v="ORD-01665"/>
    <x v="87"/>
    <s v="CUST-0075"/>
    <s v="PROD-010"/>
    <x v="22"/>
    <n v="8"/>
    <n v="2640"/>
    <n v="4.2"/>
    <n v="20232.96"/>
    <s v="Refunded"/>
    <s v="Mumbai"/>
    <x v="4"/>
    <s v="Corporate"/>
    <n v="55"/>
    <x v="1"/>
  </r>
  <r>
    <s v="ORD-01666"/>
    <x v="194"/>
    <s v="CUST-0184"/>
    <s v="PROD-032"/>
    <x v="3"/>
    <n v="5"/>
    <n v="370"/>
    <n v="6"/>
    <n v="1739"/>
    <s v="Completed"/>
    <s v="Pune"/>
    <x v="3"/>
    <s v="Retail"/>
    <n v="63"/>
    <x v="0"/>
  </r>
  <r>
    <s v="ORD-01667"/>
    <x v="312"/>
    <s v="CUST-0144"/>
    <s v="PROD-024"/>
    <x v="0"/>
    <n v="9"/>
    <n v="2270"/>
    <n v="4.7"/>
    <n v="19469.79"/>
    <s v="Completed"/>
    <s v="Chennai"/>
    <x v="2"/>
    <s v="Retail"/>
    <n v="49"/>
    <x v="0"/>
  </r>
  <r>
    <s v="ORD-01668"/>
    <x v="85"/>
    <s v="CUST-0039"/>
    <s v="PROD-037"/>
    <x v="23"/>
    <n v="5"/>
    <n v="660"/>
    <n v="21"/>
    <n v="2607"/>
    <s v="Completed"/>
    <s v="Bengaluru"/>
    <x v="3"/>
    <s v="Retail"/>
    <n v="37"/>
    <x v="1"/>
  </r>
  <r>
    <s v="ORD-01669"/>
    <x v="192"/>
    <s v="CUST-9765"/>
    <s v="PROD-057"/>
    <x v="11"/>
    <n v="2"/>
    <n v="960"/>
    <n v="7.3"/>
    <n v="1779.84"/>
    <s v="Completed"/>
    <s v="Bengaluru"/>
    <x v="1"/>
    <e v="#N/A"/>
    <e v="#N/A"/>
    <x v="0"/>
  </r>
  <r>
    <s v="ORD-01670"/>
    <x v="89"/>
    <s v="CUST-0159"/>
    <s v="PROD-048"/>
    <x v="18"/>
    <n v="3"/>
    <n v="5100"/>
    <n v="21"/>
    <n v="12087"/>
    <s v="Completed"/>
    <s v="Hyderabad"/>
    <x v="5"/>
    <s v="Retail"/>
    <n v="32"/>
    <x v="1"/>
  </r>
  <r>
    <s v="ORD-01671"/>
    <x v="286"/>
    <s v="CUST-0168"/>
    <s v="PROD-012"/>
    <x v="10"/>
    <n v="3"/>
    <n v="3160"/>
    <n v="13.5"/>
    <n v="8200.2000000000007"/>
    <s v="Completed"/>
    <s v="Pune"/>
    <x v="0"/>
    <s v="Retail"/>
    <n v="25"/>
    <x v="0"/>
  </r>
  <r>
    <s v="ORD-01672"/>
    <x v="111"/>
    <s v="CUST-9552"/>
    <s v="PROD-041"/>
    <x v="1"/>
    <n v="9"/>
    <n v="1540"/>
    <n v="18.2"/>
    <n v="11337.48"/>
    <s v="Cancelled"/>
    <s v="Bengaluru"/>
    <x v="5"/>
    <e v="#N/A"/>
    <e v="#N/A"/>
    <x v="0"/>
  </r>
  <r>
    <s v="ORD-01673"/>
    <x v="313"/>
    <s v="CUST-0056"/>
    <s v="PROD-047"/>
    <x v="6"/>
    <n v="4"/>
    <n v="3450"/>
    <n v="26.4"/>
    <n v="10156.799999999999"/>
    <s v="Pending"/>
    <s v="Bengaluru"/>
    <x v="5"/>
    <s v="SMB"/>
    <n v="46"/>
    <x v="2"/>
  </r>
  <r>
    <s v="ORD-01674"/>
    <x v="311"/>
    <s v="CUST-0239"/>
    <s v="PROD-023"/>
    <x v="17"/>
    <n v="4"/>
    <n v="2380"/>
    <n v="6.9"/>
    <n v="8863.1200000000008"/>
    <s v="Completed"/>
    <s v="Mumbai"/>
    <x v="2"/>
    <s v="Retail"/>
    <n v="61"/>
    <x v="2"/>
  </r>
  <r>
    <s v="ORD-01675"/>
    <x v="140"/>
    <s v="CUST-0168"/>
    <s v="PROD-031"/>
    <x v="11"/>
    <n v="2"/>
    <n v="3730"/>
    <n v="22.9"/>
    <n v="5751.66"/>
    <s v="Completed"/>
    <s v="Pune"/>
    <x v="3"/>
    <s v="Retail"/>
    <n v="25"/>
    <x v="0"/>
  </r>
  <r>
    <s v="ORD-01676"/>
    <x v="0"/>
    <s v="CUST-0012"/>
    <s v="PROD-036"/>
    <x v="25"/>
    <n v="7"/>
    <n v="3250"/>
    <n v="6"/>
    <n v="21385"/>
    <s v="Completed"/>
    <s v="Pune"/>
    <x v="3"/>
    <s v="Retail"/>
    <n v="43"/>
    <x v="0"/>
  </r>
  <r>
    <s v="ORD-01677"/>
    <x v="281"/>
    <s v="CUST-0057"/>
    <s v="PROD-053"/>
    <x v="16"/>
    <n v="9"/>
    <n v="470"/>
    <n v="11.6"/>
    <n v="3739.32"/>
    <s v="Completed"/>
    <s v="Pune"/>
    <x v="1"/>
    <s v="Retail"/>
    <n v="35"/>
    <x v="3"/>
  </r>
  <r>
    <s v="ORD-01678"/>
    <x v="308"/>
    <s v="CUST-0030"/>
    <s v="PROD-042"/>
    <x v="17"/>
    <n v="5"/>
    <n v="2290"/>
    <n v="27.6"/>
    <n v="8289.7999999999993"/>
    <s v="Completed"/>
    <s v="Bengaluru"/>
    <x v="5"/>
    <s v="Corporate"/>
    <n v="43"/>
    <x v="2"/>
  </r>
  <r>
    <s v="ORD-01679"/>
    <x v="32"/>
    <s v="CUST-0166"/>
    <s v="PROD-007"/>
    <x v="20"/>
    <n v="6"/>
    <n v="1430"/>
    <n v="18.399999999999999"/>
    <n v="7001.28"/>
    <s v="Pending"/>
    <s v="Hyderabad"/>
    <x v="4"/>
    <s v="Retail"/>
    <n v="31"/>
    <x v="2"/>
  </r>
  <r>
    <s v="ORD-01680"/>
    <x v="260"/>
    <s v="CUST-0188"/>
    <s v="PROD-055"/>
    <x v="25"/>
    <n v="7"/>
    <n v="2860"/>
    <n v="19.5"/>
    <n v="16116.1"/>
    <s v="Completed"/>
    <s v="Bengaluru"/>
    <x v="1"/>
    <s v="Retail"/>
    <n v="54"/>
    <x v="0"/>
  </r>
  <r>
    <s v="ORD-01681"/>
    <x v="96"/>
    <s v="CUST-0097"/>
    <s v="PROD-047"/>
    <x v="16"/>
    <n v="8"/>
    <n v="3450"/>
    <n v="25.5"/>
    <n v="20562"/>
    <s v="Pending"/>
    <s v="Mumbai"/>
    <x v="5"/>
    <s v="Retail"/>
    <n v="65"/>
    <x v="3"/>
  </r>
  <r>
    <s v="ORD-01682"/>
    <x v="344"/>
    <s v="CUST-0026"/>
    <s v="PROD-052"/>
    <x v="7"/>
    <n v="7"/>
    <n v="5410"/>
    <n v="15.2"/>
    <n v="32113.759999999998"/>
    <s v="Cancelled"/>
    <s v="Pune"/>
    <x v="1"/>
    <s v="Retail"/>
    <n v="62"/>
    <x v="3"/>
  </r>
  <r>
    <s v="ORD-01683"/>
    <x v="276"/>
    <s v="CUST-0026"/>
    <s v="PROD-040"/>
    <x v="5"/>
    <n v="3"/>
    <n v="1080"/>
    <n v="26"/>
    <n v="2397.6"/>
    <s v="Completed"/>
    <s v="Pune"/>
    <x v="3"/>
    <s v="Retail"/>
    <n v="62"/>
    <x v="2"/>
  </r>
  <r>
    <s v="ORD-01684"/>
    <x v="20"/>
    <s v="CUST-0020"/>
    <s v="PROD-055"/>
    <x v="7"/>
    <n v="8"/>
    <n v="2860"/>
    <n v="14.8"/>
    <n v="19493.759999999998"/>
    <s v="Completed"/>
    <s v="Hyderabad"/>
    <x v="1"/>
    <s v="Retail"/>
    <n v="46"/>
    <x v="3"/>
  </r>
  <r>
    <s v="ORD-01685"/>
    <x v="10"/>
    <s v="CUST-9740"/>
    <s v="PROD-045"/>
    <x v="22"/>
    <n v="4"/>
    <n v="3020"/>
    <n v="8.1"/>
    <n v="11101.52"/>
    <s v="Completed"/>
    <s v="Hyderabad"/>
    <x v="5"/>
    <e v="#N/A"/>
    <e v="#N/A"/>
    <x v="1"/>
  </r>
  <r>
    <s v="ORD-01686"/>
    <x v="51"/>
    <s v="CUST-0095"/>
    <s v="PROD-057"/>
    <x v="5"/>
    <n v="4"/>
    <n v="960"/>
    <n v="6.4"/>
    <n v="3594.24"/>
    <s v="Cancelled"/>
    <s v="Mumbai"/>
    <x v="1"/>
    <s v="SMB"/>
    <n v="54"/>
    <x v="2"/>
  </r>
  <r>
    <s v="ORD-01687"/>
    <x v="102"/>
    <s v="CUST-0079"/>
    <s v="PROD-004"/>
    <x v="20"/>
    <n v="4"/>
    <n v="3870"/>
    <n v="15.9"/>
    <n v="13018.68"/>
    <s v="Completed"/>
    <s v="Mumbai"/>
    <x v="4"/>
    <s v="Corporate"/>
    <n v="60"/>
    <x v="2"/>
  </r>
  <r>
    <s v="ORD-01688"/>
    <x v="239"/>
    <s v="CUST-0060"/>
    <s v="PROD-012"/>
    <x v="16"/>
    <n v="5"/>
    <n v="3160"/>
    <n v="29.8"/>
    <n v="11091.6"/>
    <s v="Completed"/>
    <s v="Pune"/>
    <x v="0"/>
    <s v="Retail"/>
    <n v="39"/>
    <x v="3"/>
  </r>
  <r>
    <s v="ORD-01689"/>
    <x v="210"/>
    <s v="CUST-0080"/>
    <s v="PROD-047"/>
    <x v="28"/>
    <n v="5"/>
    <n v="3450"/>
    <n v="29.4"/>
    <n v="12178.5"/>
    <s v="Completed"/>
    <s v="Pune"/>
    <x v="5"/>
    <s v="SMB"/>
    <n v="30"/>
    <x v="2"/>
  </r>
  <r>
    <s v="ORD-01690"/>
    <x v="275"/>
    <s v="CUST-0136"/>
    <s v="PROD-049"/>
    <x v="26"/>
    <n v="10"/>
    <n v="960"/>
    <n v="27"/>
    <n v="7008"/>
    <s v="Cancelled"/>
    <s v="Chennai"/>
    <x v="5"/>
    <s v="SMB"/>
    <n v="26"/>
    <x v="3"/>
  </r>
  <r>
    <s v="ORD-01691"/>
    <x v="335"/>
    <s v="CUST-0074"/>
    <s v="PROD-056"/>
    <x v="26"/>
    <n v="10"/>
    <n v="6940"/>
    <n v="20.100000000000001"/>
    <n v="55450.6"/>
    <s v="Completed"/>
    <s v="Bengaluru"/>
    <x v="1"/>
    <s v="Retail"/>
    <n v="27"/>
    <x v="3"/>
  </r>
  <r>
    <s v="ORD-01692"/>
    <x v="295"/>
    <s v="CUST-0090"/>
    <s v="PROD-058"/>
    <x v="18"/>
    <n v="9"/>
    <n v="2400"/>
    <n v="7.8"/>
    <n v="19915.2"/>
    <s v="Completed"/>
    <s v="Bengaluru"/>
    <x v="1"/>
    <s v="Corporate"/>
    <n v="26"/>
    <x v="1"/>
  </r>
  <r>
    <s v="ORD-01693"/>
    <x v="245"/>
    <s v="CUST-0300"/>
    <s v="PROD-052"/>
    <x v="21"/>
    <n v="1"/>
    <n v="5410"/>
    <n v="22.8"/>
    <n v="4176.5200000000004"/>
    <s v="Completed"/>
    <s v="Mumbai"/>
    <x v="1"/>
    <s v="Retail"/>
    <n v="38"/>
    <x v="3"/>
  </r>
  <r>
    <s v="ORD-01694"/>
    <x v="98"/>
    <s v="CUST-0188"/>
    <s v="PROD-009"/>
    <x v="10"/>
    <n v="7"/>
    <n v="1220"/>
    <n v="18.8"/>
    <n v="6934.48"/>
    <s v="Pending"/>
    <s v="Bengaluru"/>
    <x v="4"/>
    <s v="Retail"/>
    <n v="54"/>
    <x v="0"/>
  </r>
  <r>
    <s v="ORD-01695"/>
    <x v="127"/>
    <s v="CUST-0250"/>
    <s v="PROD-035"/>
    <x v="7"/>
    <n v="1"/>
    <n v="1090"/>
    <n v="23.5"/>
    <n v="833.85"/>
    <s v="Completed"/>
    <s v="Delhi"/>
    <x v="3"/>
    <s v="Retail"/>
    <n v="31"/>
    <x v="3"/>
  </r>
  <r>
    <s v="ORD-01696"/>
    <x v="101"/>
    <s v="CUST-0195"/>
    <s v="PROD-021"/>
    <x v="12"/>
    <n v="2"/>
    <n v="2760"/>
    <n v="2.2999999999999998"/>
    <n v="5393.04"/>
    <s v="Completed"/>
    <s v="Bengaluru"/>
    <x v="2"/>
    <s v="Retail"/>
    <n v="28"/>
    <x v="3"/>
  </r>
  <r>
    <s v="ORD-01697"/>
    <x v="17"/>
    <s v="CUST-0185"/>
    <s v="PROD-003"/>
    <x v="17"/>
    <n v="3"/>
    <n v="3570"/>
    <n v="18.399999999999999"/>
    <n v="8739.36"/>
    <s v="Refunded"/>
    <s v="Hyderabad"/>
    <x v="4"/>
    <s v="SMB"/>
    <n v="43"/>
    <x v="2"/>
  </r>
  <r>
    <s v="ORD-01698"/>
    <x v="349"/>
    <s v="CUST-0256"/>
    <s v="PROD-009"/>
    <x v="10"/>
    <n v="7"/>
    <n v="1220"/>
    <n v="25.8"/>
    <n v="6336.68"/>
    <s v="Refunded"/>
    <s v="Hyderabad"/>
    <x v="4"/>
    <s v="Retail"/>
    <n v="28"/>
    <x v="0"/>
  </r>
  <r>
    <s v="ORD-01699"/>
    <x v="350"/>
    <s v="CUST-0060"/>
    <s v="PROD-051"/>
    <x v="20"/>
    <n v="6"/>
    <n v="3450"/>
    <n v="13.1"/>
    <n v="17988.3"/>
    <s v="Completed"/>
    <s v="Pune"/>
    <x v="1"/>
    <s v="Retail"/>
    <n v="39"/>
    <x v="2"/>
  </r>
  <r>
    <s v="ORD-01700"/>
    <x v="347"/>
    <s v="CUST-0275"/>
    <s v="PROD-029"/>
    <x v="10"/>
    <n v="10"/>
    <n v="2210"/>
    <n v="16.600000000000001"/>
    <n v="18431.400000000001"/>
    <s v="Completed"/>
    <s v="Mumbai"/>
    <x v="2"/>
    <s v="Retail"/>
    <n v="36"/>
    <x v="0"/>
  </r>
  <r>
    <s v="ORD-01701"/>
    <x v="146"/>
    <s v="CUST-0114"/>
    <s v="PROD-019"/>
    <x v="28"/>
    <n v="10"/>
    <n v="2480"/>
    <n v="17.5"/>
    <n v="20460"/>
    <s v="Completed"/>
    <s v="Bengaluru"/>
    <x v="0"/>
    <s v="Corporate"/>
    <n v="42"/>
    <x v="2"/>
  </r>
  <r>
    <s v="ORD-01702"/>
    <x v="286"/>
    <s v="CUST-0060"/>
    <s v="PROD-036"/>
    <x v="7"/>
    <n v="9"/>
    <n v="3250"/>
    <n v="25.9"/>
    <n v="21674.25"/>
    <s v="Completed"/>
    <s v="Pune"/>
    <x v="3"/>
    <s v="Retail"/>
    <n v="39"/>
    <x v="3"/>
  </r>
  <r>
    <s v="ORD-01703"/>
    <x v="267"/>
    <s v="CUST-0039"/>
    <s v="PROD-058"/>
    <x v="4"/>
    <n v="3"/>
    <n v="2400"/>
    <n v="17.5"/>
    <n v="5940"/>
    <s v="Completed"/>
    <s v="Bengaluru"/>
    <x v="1"/>
    <s v="Retail"/>
    <n v="37"/>
    <x v="0"/>
  </r>
  <r>
    <s v="ORD-01704"/>
    <x v="332"/>
    <s v="CUST-0033"/>
    <s v="PROD-052"/>
    <x v="3"/>
    <n v="8"/>
    <n v="5410"/>
    <n v="8.3000000000000007"/>
    <n v="39687.760000000002"/>
    <s v="Completed"/>
    <s v="Delhi"/>
    <x v="1"/>
    <s v="Retail"/>
    <n v="35"/>
    <x v="0"/>
  </r>
  <r>
    <s v="ORD-01705"/>
    <x v="81"/>
    <s v="CUST-0037"/>
    <s v="PROD-002"/>
    <x v="26"/>
    <n v="1"/>
    <n v="2600"/>
    <n v="5.9"/>
    <n v="2446.6"/>
    <s v="Completed"/>
    <s v="Bengaluru"/>
    <x v="4"/>
    <s v="Retail"/>
    <n v="52"/>
    <x v="3"/>
  </r>
  <r>
    <s v="ORD-01706"/>
    <x v="348"/>
    <s v="CUST-0081"/>
    <s v="PROD-025"/>
    <x v="11"/>
    <n v="10"/>
    <n v="4060"/>
    <n v="2.2999999999999998"/>
    <n v="39666.199999999997"/>
    <s v="Completed"/>
    <s v="Mumbai"/>
    <x v="2"/>
    <s v="Retail"/>
    <n v="25"/>
    <x v="0"/>
  </r>
  <r>
    <s v="ORD-01707"/>
    <x v="279"/>
    <s v="CUST-0279"/>
    <s v="PROD-001"/>
    <x v="16"/>
    <n v="9"/>
    <n v="5330"/>
    <n v="23.5"/>
    <n v="36697.050000000003"/>
    <s v="Completed"/>
    <s v="Mumbai"/>
    <x v="4"/>
    <s v="Retail"/>
    <n v="56"/>
    <x v="3"/>
  </r>
  <r>
    <s v="ORD-01708"/>
    <x v="77"/>
    <s v="CUST-0129"/>
    <s v="PROD-043"/>
    <x v="5"/>
    <n v="7"/>
    <n v="3350"/>
    <n v="13.4"/>
    <n v="20307.7"/>
    <s v="Pending"/>
    <s v="Hyderabad"/>
    <x v="5"/>
    <s v="Retail"/>
    <n v="29"/>
    <x v="2"/>
  </r>
  <r>
    <s v="ORD-01709"/>
    <x v="252"/>
    <s v="CUST-0010"/>
    <s v="PROD-017"/>
    <x v="2"/>
    <n v="4"/>
    <n v="2510"/>
    <n v="26.6"/>
    <n v="7369.36"/>
    <s v="Completed"/>
    <s v="Mumbai"/>
    <x v="0"/>
    <s v="SMB"/>
    <n v="61"/>
    <x v="1"/>
  </r>
  <r>
    <s v="ORD-01710"/>
    <x v="145"/>
    <s v="CUST-0006"/>
    <s v="PROD-045"/>
    <x v="13"/>
    <n v="1"/>
    <n v="3020"/>
    <n v="15.2"/>
    <n v="2560.96"/>
    <s v="Cancelled"/>
    <s v="Pune"/>
    <x v="5"/>
    <s v="SMB"/>
    <n v="44"/>
    <x v="3"/>
  </r>
  <r>
    <s v="ORD-01711"/>
    <x v="149"/>
    <s v="CUST-0206"/>
    <s v="PROD-020"/>
    <x v="20"/>
    <n v="1"/>
    <n v="820"/>
    <n v="6.3"/>
    <n v="768.34"/>
    <s v="Completed"/>
    <s v="Mumbai"/>
    <x v="0"/>
    <s v="Retail"/>
    <n v="40"/>
    <x v="2"/>
  </r>
  <r>
    <s v="ORD-01712"/>
    <x v="56"/>
    <s v="CUST-0034"/>
    <s v="PROD-012"/>
    <x v="28"/>
    <n v="4"/>
    <n v="3160"/>
    <n v="3.6"/>
    <n v="12184.96"/>
    <s v="Pending"/>
    <s v="Delhi"/>
    <x v="0"/>
    <s v="Retail"/>
    <n v="47"/>
    <x v="2"/>
  </r>
  <r>
    <s v="ORD-01713"/>
    <x v="43"/>
    <s v="CUST-0121"/>
    <s v="PROD-028"/>
    <x v="27"/>
    <n v="1"/>
    <n v="3660"/>
    <n v="28.2"/>
    <n v="2627.88"/>
    <s v="Pending"/>
    <s v="Delhi"/>
    <x v="2"/>
    <s v="SMB"/>
    <n v="55"/>
    <x v="1"/>
  </r>
  <r>
    <s v="ORD-01714"/>
    <x v="18"/>
    <s v="CUST-0098"/>
    <s v="PROD-020"/>
    <x v="17"/>
    <n v="2"/>
    <n v="820"/>
    <n v="7"/>
    <n v="1525.2"/>
    <s v="Completed"/>
    <s v="Delhi"/>
    <x v="0"/>
    <s v="Retail"/>
    <n v="52"/>
    <x v="2"/>
  </r>
  <r>
    <s v="ORD-01715"/>
    <x v="225"/>
    <s v="CUST-0031"/>
    <s v="PROD-023"/>
    <x v="24"/>
    <n v="5"/>
    <n v="2380"/>
    <n v="23"/>
    <n v="9163"/>
    <s v="Completed"/>
    <s v="Hyderabad"/>
    <x v="2"/>
    <s v="Retail"/>
    <n v="53"/>
    <x v="3"/>
  </r>
  <r>
    <s v="ORD-01716"/>
    <x v="109"/>
    <s v="CUST-0185"/>
    <s v="PROD-004"/>
    <x v="22"/>
    <n v="1"/>
    <n v="3870"/>
    <n v="27.3"/>
    <n v="2813.49"/>
    <s v="Completed"/>
    <s v="Hyderabad"/>
    <x v="4"/>
    <s v="SMB"/>
    <n v="43"/>
    <x v="1"/>
  </r>
  <r>
    <s v="ORD-01717"/>
    <x v="114"/>
    <s v="CUST-0011"/>
    <s v="PROD-005"/>
    <x v="0"/>
    <n v="10"/>
    <n v="300"/>
    <n v="14.1"/>
    <n v="2577"/>
    <s v="Cancelled"/>
    <s v="Chennai"/>
    <x v="4"/>
    <s v="Corporate"/>
    <n v="41"/>
    <x v="0"/>
  </r>
  <r>
    <s v="ORD-01718"/>
    <x v="262"/>
    <s v="CUST-0223"/>
    <s v="PROD-048"/>
    <x v="28"/>
    <n v="10"/>
    <n v="5100"/>
    <n v="12.7"/>
    <n v="44523"/>
    <s v="Completed"/>
    <s v="Bengaluru"/>
    <x v="5"/>
    <s v="Retail"/>
    <n v="46"/>
    <x v="2"/>
  </r>
  <r>
    <s v="ORD-01719"/>
    <x v="55"/>
    <s v="CUST-0126"/>
    <s v="PROD-021"/>
    <x v="22"/>
    <n v="1"/>
    <n v="2760"/>
    <n v="17.8"/>
    <n v="2268.7199999999998"/>
    <s v="Refunded"/>
    <s v="Mumbai"/>
    <x v="2"/>
    <s v="Retail"/>
    <n v="37"/>
    <x v="1"/>
  </r>
  <r>
    <s v="ORD-01720"/>
    <x v="143"/>
    <s v="CUST-0284"/>
    <s v="PROD-001"/>
    <x v="25"/>
    <n v="8"/>
    <n v="5330"/>
    <n v="16.399999999999999"/>
    <n v="35647.040000000001"/>
    <s v="Completed"/>
    <s v="Hyderabad"/>
    <x v="4"/>
    <s v="SMB"/>
    <n v="65"/>
    <x v="0"/>
  </r>
  <r>
    <s v="ORD-01721"/>
    <x v="136"/>
    <s v="CUST-0011"/>
    <s v="PROD-054"/>
    <x v="29"/>
    <n v="1"/>
    <n v="1010"/>
    <n v="20.399999999999999"/>
    <n v="803.96"/>
    <s v="Cancelled"/>
    <s v="Chennai"/>
    <x v="1"/>
    <s v="Corporate"/>
    <n v="41"/>
    <x v="1"/>
  </r>
  <r>
    <s v="ORD-01722"/>
    <x v="351"/>
    <s v="CUST-0275"/>
    <s v="PROD-008"/>
    <x v="7"/>
    <n v="10"/>
    <n v="2660"/>
    <n v="29.3"/>
    <n v="18806.2"/>
    <s v="Completed"/>
    <s v="Mumbai"/>
    <x v="4"/>
    <s v="Retail"/>
    <n v="36"/>
    <x v="3"/>
  </r>
  <r>
    <s v="ORD-01723"/>
    <x v="47"/>
    <s v="CUST-0259"/>
    <s v="PROD-006"/>
    <x v="23"/>
    <n v="9"/>
    <n v="3970"/>
    <n v="10.4"/>
    <n v="32014.080000000002"/>
    <s v="Pending"/>
    <s v="Mumbai"/>
    <x v="4"/>
    <s v="Retail"/>
    <n v="34"/>
    <x v="1"/>
  </r>
  <r>
    <s v="ORD-01724"/>
    <x v="22"/>
    <s v="CUST-0089"/>
    <s v="PROD-014"/>
    <x v="4"/>
    <n v="3"/>
    <n v="3620"/>
    <n v="22"/>
    <n v="8470.7999999999993"/>
    <s v="Completed"/>
    <s v="Mumbai"/>
    <x v="0"/>
    <s v="SMB"/>
    <n v="43"/>
    <x v="0"/>
  </r>
  <r>
    <s v="ORD-01725"/>
    <x v="266"/>
    <s v="CUST-0232"/>
    <s v="PROD-022"/>
    <x v="26"/>
    <n v="6"/>
    <n v="2270"/>
    <n v="11.1"/>
    <n v="12108.18"/>
    <s v="Cancelled"/>
    <s v="Hyderabad"/>
    <x v="2"/>
    <s v="Retail"/>
    <n v="38"/>
    <x v="3"/>
  </r>
  <r>
    <s v="ORD-01726"/>
    <x v="363"/>
    <s v="CUST-0220"/>
    <s v="PROD-022"/>
    <x v="2"/>
    <n v="4"/>
    <n v="2270"/>
    <n v="27.2"/>
    <n v="6610.24"/>
    <s v="Pending"/>
    <s v="Chennai"/>
    <x v="2"/>
    <s v="Retail"/>
    <n v="34"/>
    <x v="1"/>
  </r>
  <r>
    <s v="ORD-01727"/>
    <x v="31"/>
    <s v="CUST-0137"/>
    <s v="PROD-039"/>
    <x v="27"/>
    <n v="8"/>
    <n v="4610"/>
    <n v="24.5"/>
    <n v="27844.400000000001"/>
    <s v="Completed"/>
    <s v="Mumbai"/>
    <x v="3"/>
    <s v="Retail"/>
    <n v="41"/>
    <x v="1"/>
  </r>
  <r>
    <s v="ORD-01728"/>
    <x v="250"/>
    <s v="CUST-0132"/>
    <s v="PROD-060"/>
    <x v="16"/>
    <n v="6"/>
    <n v="190"/>
    <n v="8.6999999999999993"/>
    <n v="1040.82"/>
    <s v="Cancelled"/>
    <s v="Delhi"/>
    <x v="1"/>
    <s v="Retail"/>
    <n v="41"/>
    <x v="3"/>
  </r>
  <r>
    <s v="ORD-01729"/>
    <x v="7"/>
    <s v="CUST-0226"/>
    <s v="PROD-033"/>
    <x v="17"/>
    <n v="5"/>
    <n v="2030"/>
    <n v="0.9"/>
    <n v="10058.65"/>
    <s v="Cancelled"/>
    <s v="Chennai"/>
    <x v="3"/>
    <s v="Corporate"/>
    <n v="52"/>
    <x v="2"/>
  </r>
  <r>
    <s v="ORD-01730"/>
    <x v="105"/>
    <s v="CUST-0080"/>
    <s v="PROD-026"/>
    <x v="16"/>
    <n v="1"/>
    <n v="4070"/>
    <n v="9.3000000000000007"/>
    <n v="3691.49"/>
    <s v="Refunded"/>
    <s v="Pune"/>
    <x v="2"/>
    <s v="SMB"/>
    <n v="30"/>
    <x v="3"/>
  </r>
  <r>
    <s v="ORD-01731"/>
    <x v="151"/>
    <s v="CUST-0068"/>
    <s v="PROD-042"/>
    <x v="19"/>
    <n v="3"/>
    <n v="2290"/>
    <n v="12.1"/>
    <n v="6038.73"/>
    <s v="Completed"/>
    <s v="Delhi"/>
    <x v="5"/>
    <s v="SMB"/>
    <n v="48"/>
    <x v="0"/>
  </r>
  <r>
    <s v="ORD-01732"/>
    <x v="282"/>
    <s v="CUST-0146"/>
    <s v="PROD-031"/>
    <x v="16"/>
    <n v="7"/>
    <n v="3730"/>
    <n v="4.5"/>
    <n v="24935.05"/>
    <s v="Completed"/>
    <s v="Hyderabad"/>
    <x v="3"/>
    <s v="Retail"/>
    <n v="22"/>
    <x v="3"/>
  </r>
  <r>
    <s v="ORD-01733"/>
    <x v="141"/>
    <s v="CUST-0106"/>
    <s v="PROD-016"/>
    <x v="1"/>
    <n v="5"/>
    <n v="620"/>
    <n v="7.5"/>
    <n v="2867.5"/>
    <s v="Completed"/>
    <s v="Pune"/>
    <x v="0"/>
    <s v="Retail"/>
    <n v="22"/>
    <x v="0"/>
  </r>
  <r>
    <s v="ORD-01734"/>
    <x v="6"/>
    <s v="CUST-0096"/>
    <s v="PROD-010"/>
    <x v="9"/>
    <n v="8"/>
    <n v="2640"/>
    <n v="16.399999999999999"/>
    <n v="17656.32"/>
    <s v="Completed"/>
    <s v="Delhi"/>
    <x v="4"/>
    <s v="Corporate"/>
    <n v="27"/>
    <x v="1"/>
  </r>
  <r>
    <s v="ORD-01735"/>
    <x v="148"/>
    <s v="CUST-0248"/>
    <s v="PROD-028"/>
    <x v="10"/>
    <n v="6"/>
    <n v="3660"/>
    <n v="6.2"/>
    <n v="20598.48"/>
    <s v="Completed"/>
    <s v="Chennai"/>
    <x v="2"/>
    <s v="SMB"/>
    <n v="57"/>
    <x v="0"/>
  </r>
  <r>
    <s v="ORD-01736"/>
    <x v="11"/>
    <s v="CUST-0297"/>
    <s v="PROD-020"/>
    <x v="16"/>
    <n v="2"/>
    <n v="820"/>
    <n v="25.4"/>
    <n v="1223.44"/>
    <s v="Completed"/>
    <s v="Hyderabad"/>
    <x v="0"/>
    <s v="Retail"/>
    <n v="50"/>
    <x v="3"/>
  </r>
  <r>
    <s v="ORD-01737"/>
    <x v="102"/>
    <s v="CUST-0120"/>
    <s v="PROD-019"/>
    <x v="13"/>
    <n v="3"/>
    <n v="2480"/>
    <n v="28.7"/>
    <n v="5304.72"/>
    <s v="Pending"/>
    <s v="Mumbai"/>
    <x v="0"/>
    <s v="Retail"/>
    <n v="29"/>
    <x v="3"/>
  </r>
  <r>
    <s v="ORD-01738"/>
    <x v="166"/>
    <s v="CUST-0148"/>
    <s v="PROD-050"/>
    <x v="8"/>
    <n v="10"/>
    <n v="6080"/>
    <n v="18.899999999999999"/>
    <n v="49308.800000000003"/>
    <s v="Completed"/>
    <s v="Chennai"/>
    <x v="5"/>
    <s v="Retail"/>
    <n v="32"/>
    <x v="2"/>
  </r>
  <r>
    <s v="ORD-01739"/>
    <x v="260"/>
    <s v="CUST-0008"/>
    <s v="PROD-060"/>
    <x v="24"/>
    <n v="1"/>
    <n v="190"/>
    <n v="5.7"/>
    <n v="179.17"/>
    <s v="Completed"/>
    <s v="Pune"/>
    <x v="1"/>
    <s v="SMB"/>
    <n v="39"/>
    <x v="3"/>
  </r>
  <r>
    <s v="ORD-01740"/>
    <x v="113"/>
    <s v="CUST-0013"/>
    <s v="PROD-059"/>
    <x v="17"/>
    <n v="2"/>
    <n v="3780"/>
    <n v="11.8"/>
    <n v="6667.92"/>
    <s v="Completed"/>
    <s v="Delhi"/>
    <x v="1"/>
    <s v="Retail"/>
    <n v="41"/>
    <x v="2"/>
  </r>
  <r>
    <s v="ORD-01741"/>
    <x v="341"/>
    <s v="CUST-0234"/>
    <s v="PROD-036"/>
    <x v="19"/>
    <n v="5"/>
    <n v="3250"/>
    <n v="19.899999999999999"/>
    <n v="13016.25"/>
    <s v="Completed"/>
    <s v="Bengaluru"/>
    <x v="3"/>
    <s v="Retail"/>
    <n v="34"/>
    <x v="0"/>
  </r>
  <r>
    <s v="ORD-01742"/>
    <x v="13"/>
    <s v="CUST-0207"/>
    <s v="PROD-033"/>
    <x v="4"/>
    <n v="7"/>
    <n v="2030"/>
    <n v="4.0999999999999996"/>
    <n v="13627.39"/>
    <s v="Completed"/>
    <s v="Hyderabad"/>
    <x v="3"/>
    <s v="SMB"/>
    <n v="34"/>
    <x v="0"/>
  </r>
  <r>
    <s v="ORD-01743"/>
    <x v="330"/>
    <s v="CUST-0245"/>
    <s v="PROD-046"/>
    <x v="27"/>
    <n v="5"/>
    <n v="4880"/>
    <n v="22.9"/>
    <n v="18812.400000000001"/>
    <s v="Completed"/>
    <s v="Hyderabad"/>
    <x v="5"/>
    <s v="Retail"/>
    <n v="65"/>
    <x v="1"/>
  </r>
  <r>
    <s v="ORD-01744"/>
    <x v="92"/>
    <s v="CUST-0044"/>
    <s v="PROD-043"/>
    <x v="16"/>
    <n v="3"/>
    <n v="3350"/>
    <n v="15.2"/>
    <n v="8522.4"/>
    <s v="Pending"/>
    <s v="Hyderabad"/>
    <x v="5"/>
    <s v="SMB"/>
    <n v="29"/>
    <x v="3"/>
  </r>
  <r>
    <s v="ORD-01745"/>
    <x v="54"/>
    <s v="CUST-0264"/>
    <s v="PROD-055"/>
    <x v="20"/>
    <n v="10"/>
    <n v="2860"/>
    <n v="15"/>
    <n v="24310"/>
    <s v="Completed"/>
    <s v="Pune"/>
    <x v="1"/>
    <s v="Retail"/>
    <n v="59"/>
    <x v="2"/>
  </r>
  <r>
    <s v="ORD-01746"/>
    <x v="328"/>
    <s v="CUST-0193"/>
    <s v="PROD-047"/>
    <x v="26"/>
    <n v="5"/>
    <n v="3450"/>
    <n v="2.2999999999999998"/>
    <n v="16853.25"/>
    <s v="Completed"/>
    <s v="Bengaluru"/>
    <x v="5"/>
    <s v="Retail"/>
    <n v="42"/>
    <x v="3"/>
  </r>
  <r>
    <s v="ORD-01747"/>
    <x v="245"/>
    <s v="CUST-0006"/>
    <s v="PROD-024"/>
    <x v="15"/>
    <n v="3"/>
    <n v="2270"/>
    <n v="2.8"/>
    <n v="6619.32"/>
    <s v="Pending"/>
    <s v="Pune"/>
    <x v="2"/>
    <s v="SMB"/>
    <n v="44"/>
    <x v="1"/>
  </r>
  <r>
    <s v="ORD-01748"/>
    <x v="20"/>
    <s v="CUST-0221"/>
    <s v="PROD-028"/>
    <x v="0"/>
    <n v="8"/>
    <n v="3660"/>
    <n v="16.8"/>
    <n v="24360.959999999999"/>
    <s v="Completed"/>
    <s v="Delhi"/>
    <x v="2"/>
    <s v="SMB"/>
    <n v="29"/>
    <x v="0"/>
  </r>
  <r>
    <s v="ORD-01749"/>
    <x v="277"/>
    <s v="CUST-0151"/>
    <s v="PROD-045"/>
    <x v="4"/>
    <n v="7"/>
    <n v="3020"/>
    <n v="17.8"/>
    <n v="17377.080000000002"/>
    <s v="Completed"/>
    <s v="Mumbai"/>
    <x v="5"/>
    <s v="Retail"/>
    <n v="53"/>
    <x v="0"/>
  </r>
  <r>
    <s v="ORD-01750"/>
    <x v="78"/>
    <s v="CUST-0188"/>
    <s v="PROD-040"/>
    <x v="2"/>
    <n v="7"/>
    <n v="1080"/>
    <n v="12.9"/>
    <n v="6584.76"/>
    <s v="Completed"/>
    <s v="Bengaluru"/>
    <x v="3"/>
    <s v="Retail"/>
    <n v="54"/>
    <x v="1"/>
  </r>
  <r>
    <s v="ORD-01751"/>
    <x v="315"/>
    <s v="CUST-0010"/>
    <s v="PROD-022"/>
    <x v="27"/>
    <n v="2"/>
    <n v="2270"/>
    <n v="8.6"/>
    <n v="4149.5600000000004"/>
    <s v="Cancelled"/>
    <s v="Mumbai"/>
    <x v="2"/>
    <s v="SMB"/>
    <n v="61"/>
    <x v="1"/>
  </r>
  <r>
    <s v="ORD-01752"/>
    <x v="338"/>
    <s v="CUST-0018"/>
    <s v="PROD-016"/>
    <x v="27"/>
    <n v="10"/>
    <n v="620"/>
    <n v="26.1"/>
    <n v="4581.8"/>
    <s v="Completed"/>
    <s v="Pune"/>
    <x v="0"/>
    <s v="SMB"/>
    <n v="54"/>
    <x v="1"/>
  </r>
  <r>
    <s v="ORD-01753"/>
    <x v="230"/>
    <s v="CUST-0262"/>
    <s v="PROD-025"/>
    <x v="15"/>
    <n v="2"/>
    <n v="4060"/>
    <n v="3.8"/>
    <n v="7811.44"/>
    <s v="Completed"/>
    <s v="Mumbai"/>
    <x v="2"/>
    <s v="Retail"/>
    <n v="52"/>
    <x v="1"/>
  </r>
  <r>
    <s v="ORD-01754"/>
    <x v="56"/>
    <s v="CUST-0282"/>
    <s v="PROD-027"/>
    <x v="27"/>
    <n v="1"/>
    <n v="3780"/>
    <n v="27.9"/>
    <n v="2725.38"/>
    <s v="Completed"/>
    <s v="Hyderabad"/>
    <x v="2"/>
    <s v="Corporate"/>
    <n v="29"/>
    <x v="1"/>
  </r>
  <r>
    <s v="ORD-01755"/>
    <x v="7"/>
    <s v="CUST-0194"/>
    <s v="PROD-023"/>
    <x v="24"/>
    <n v="8"/>
    <n v="2380"/>
    <n v="3.8"/>
    <n v="18316.48"/>
    <s v="Completed"/>
    <s v="Delhi"/>
    <x v="2"/>
    <s v="SMB"/>
    <n v="55"/>
    <x v="3"/>
  </r>
  <r>
    <s v="ORD-01756"/>
    <x v="239"/>
    <s v="CUST-0161"/>
    <s v="PROD-026"/>
    <x v="6"/>
    <n v="7"/>
    <n v="4070"/>
    <n v="0.3"/>
    <n v="28404.53"/>
    <s v="Completed"/>
    <s v="Chennai"/>
    <x v="2"/>
    <s v="Retail"/>
    <n v="38"/>
    <x v="2"/>
  </r>
  <r>
    <s v="ORD-01757"/>
    <x v="61"/>
    <s v="CUST-0120"/>
    <s v="PROD-010"/>
    <x v="16"/>
    <n v="6"/>
    <n v="2640"/>
    <n v="3.4"/>
    <n v="15301.44"/>
    <s v="Completed"/>
    <s v="Mumbai"/>
    <x v="4"/>
    <s v="Retail"/>
    <n v="29"/>
    <x v="3"/>
  </r>
  <r>
    <s v="ORD-01758"/>
    <x v="312"/>
    <s v="CUST-0250"/>
    <s v="PROD-059"/>
    <x v="14"/>
    <n v="10"/>
    <n v="3780"/>
    <n v="13.3"/>
    <n v="32772.6"/>
    <s v="Completed"/>
    <s v="Delhi"/>
    <x v="1"/>
    <s v="Retail"/>
    <n v="31"/>
    <x v="2"/>
  </r>
  <r>
    <s v="ORD-01759"/>
    <x v="272"/>
    <s v="CUST-0054"/>
    <s v="PROD-043"/>
    <x v="18"/>
    <n v="9"/>
    <n v="3350"/>
    <n v="12.8"/>
    <n v="26290.799999999999"/>
    <s v="Completed"/>
    <s v="Mumbai"/>
    <x v="5"/>
    <s v="Corporate"/>
    <n v="62"/>
    <x v="1"/>
  </r>
  <r>
    <s v="ORD-01760"/>
    <x v="61"/>
    <s v="CUST-0247"/>
    <s v="PROD-012"/>
    <x v="6"/>
    <n v="7"/>
    <n v="3160"/>
    <n v="15.3"/>
    <n v="18735.64"/>
    <s v="Completed"/>
    <s v="Pune"/>
    <x v="0"/>
    <s v="SMB"/>
    <n v="35"/>
    <x v="2"/>
  </r>
  <r>
    <s v="ORD-01761"/>
    <x v="49"/>
    <s v="CUST-0127"/>
    <s v="PROD-055"/>
    <x v="10"/>
    <n v="6"/>
    <n v="2860"/>
    <n v="17.5"/>
    <n v="14157"/>
    <s v="Completed"/>
    <s v="Bengaluru"/>
    <x v="1"/>
    <s v="SMB"/>
    <n v="36"/>
    <x v="0"/>
  </r>
  <r>
    <s v="ORD-01762"/>
    <x v="123"/>
    <s v="CUST-0030"/>
    <s v="PROD-005"/>
    <x v="9"/>
    <n v="9"/>
    <n v="300"/>
    <n v="25.2"/>
    <n v="2019.6"/>
    <s v="Completed"/>
    <s v="Bengaluru"/>
    <x v="4"/>
    <s v="Corporate"/>
    <n v="43"/>
    <x v="1"/>
  </r>
  <r>
    <s v="ORD-01763"/>
    <x v="197"/>
    <s v="CUST-0205"/>
    <s v="PROD-060"/>
    <x v="16"/>
    <n v="5"/>
    <n v="190"/>
    <n v="1.8"/>
    <n v="932.9"/>
    <s v="Completed"/>
    <s v="Pune"/>
    <x v="1"/>
    <s v="Corporate"/>
    <n v="29"/>
    <x v="3"/>
  </r>
  <r>
    <s v="ORD-01764"/>
    <x v="80"/>
    <s v="CUST-0172"/>
    <s v="PROD-054"/>
    <x v="13"/>
    <n v="7"/>
    <n v="1010"/>
    <n v="11.2"/>
    <n v="6278.16"/>
    <s v="Completed"/>
    <s v="Pune"/>
    <x v="1"/>
    <s v="Retail"/>
    <n v="65"/>
    <x v="3"/>
  </r>
  <r>
    <s v="ORD-01765"/>
    <x v="50"/>
    <s v="CUST-0283"/>
    <s v="PROD-051"/>
    <x v="19"/>
    <n v="8"/>
    <n v="3450"/>
    <n v="8.4"/>
    <n v="25281.599999999999"/>
    <s v="Completed"/>
    <s v="Delhi"/>
    <x v="1"/>
    <s v="SMB"/>
    <n v="50"/>
    <x v="0"/>
  </r>
  <r>
    <s v="ORD-01766"/>
    <x v="100"/>
    <s v="CUST-0005"/>
    <s v="PROD-005"/>
    <x v="19"/>
    <n v="3"/>
    <n v="300"/>
    <n v="7.5"/>
    <n v="832.5"/>
    <s v="Refunded"/>
    <s v="Chennai"/>
    <x v="4"/>
    <s v="Corporate"/>
    <n v="52"/>
    <x v="0"/>
  </r>
  <r>
    <s v="ORD-01767"/>
    <x v="43"/>
    <s v="CUST-0095"/>
    <s v="PROD-031"/>
    <x v="26"/>
    <n v="4"/>
    <n v="3730"/>
    <n v="24.8"/>
    <n v="11219.84"/>
    <s v="Completed"/>
    <s v="Mumbai"/>
    <x v="3"/>
    <s v="SMB"/>
    <n v="54"/>
    <x v="3"/>
  </r>
  <r>
    <s v="ORD-01768"/>
    <x v="32"/>
    <s v="CUST-0142"/>
    <s v="PROD-058"/>
    <x v="16"/>
    <n v="5"/>
    <n v="2400"/>
    <n v="9.1999999999999993"/>
    <n v="10896"/>
    <s v="Completed"/>
    <s v="Chennai"/>
    <x v="1"/>
    <s v="Corporate"/>
    <n v="55"/>
    <x v="3"/>
  </r>
  <r>
    <s v="ORD-01769"/>
    <x v="303"/>
    <s v="CUST-0028"/>
    <s v="PROD-021"/>
    <x v="19"/>
    <n v="3"/>
    <n v="2760"/>
    <n v="2.4"/>
    <n v="8081.28"/>
    <s v="Completed"/>
    <s v="Bengaluru"/>
    <x v="2"/>
    <s v="Retail"/>
    <n v="59"/>
    <x v="0"/>
  </r>
  <r>
    <s v="ORD-01770"/>
    <x v="289"/>
    <s v="CUST-0118"/>
    <s v="PROD-053"/>
    <x v="18"/>
    <n v="8"/>
    <n v="470"/>
    <n v="24.8"/>
    <n v="2827.52"/>
    <s v="Pending"/>
    <s v="Hyderabad"/>
    <x v="1"/>
    <s v="Retail"/>
    <n v="26"/>
    <x v="1"/>
  </r>
  <r>
    <s v="ORD-01771"/>
    <x v="142"/>
    <s v="CUST-0231"/>
    <s v="PROD-053"/>
    <x v="28"/>
    <n v="3"/>
    <n v="470"/>
    <n v="18.600000000000001"/>
    <n v="1147.74"/>
    <s v="Completed"/>
    <s v="Chennai"/>
    <x v="1"/>
    <s v="Retail"/>
    <n v="61"/>
    <x v="2"/>
  </r>
  <r>
    <s v="ORD-01772"/>
    <x v="228"/>
    <s v="CUST-0264"/>
    <s v="PROD-032"/>
    <x v="8"/>
    <n v="2"/>
    <n v="370"/>
    <n v="24"/>
    <n v="562.4"/>
    <s v="Completed"/>
    <s v="Pune"/>
    <x v="3"/>
    <s v="Retail"/>
    <n v="59"/>
    <x v="2"/>
  </r>
  <r>
    <s v="ORD-01773"/>
    <x v="90"/>
    <s v="CUST-0120"/>
    <s v="PROD-029"/>
    <x v="19"/>
    <n v="6"/>
    <n v="2210"/>
    <n v="28.3"/>
    <n v="9507.42"/>
    <s v="Cancelled"/>
    <s v="Mumbai"/>
    <x v="2"/>
    <s v="Retail"/>
    <n v="29"/>
    <x v="0"/>
  </r>
  <r>
    <s v="ORD-01774"/>
    <x v="0"/>
    <s v="CUST-0185"/>
    <s v="PROD-056"/>
    <x v="25"/>
    <n v="3"/>
    <n v="6940"/>
    <n v="27.2"/>
    <n v="15156.96"/>
    <s v="Refunded"/>
    <s v="Hyderabad"/>
    <x v="1"/>
    <s v="SMB"/>
    <n v="43"/>
    <x v="0"/>
  </r>
  <r>
    <s v="ORD-01775"/>
    <x v="318"/>
    <s v="CUST-0174"/>
    <s v="PROD-033"/>
    <x v="26"/>
    <n v="10"/>
    <n v="2030"/>
    <n v="25.6"/>
    <n v="15103.2"/>
    <s v="Completed"/>
    <s v="Pune"/>
    <x v="3"/>
    <s v="Retail"/>
    <n v="54"/>
    <x v="3"/>
  </r>
  <r>
    <s v="ORD-01776"/>
    <x v="80"/>
    <s v="CUST-0174"/>
    <s v="PROD-054"/>
    <x v="21"/>
    <n v="9"/>
    <n v="1010"/>
    <n v="9.3000000000000007"/>
    <n v="8244.6299999999992"/>
    <s v="Completed"/>
    <s v="Pune"/>
    <x v="1"/>
    <s v="Retail"/>
    <n v="54"/>
    <x v="3"/>
  </r>
  <r>
    <s v="ORD-01777"/>
    <x v="297"/>
    <s v="CUST-0084"/>
    <s v="PROD-017"/>
    <x v="25"/>
    <n v="5"/>
    <n v="2510"/>
    <n v="22.2"/>
    <n v="9763.9"/>
    <s v="Completed"/>
    <s v="Chennai"/>
    <x v="0"/>
    <s v="Retail"/>
    <n v="28"/>
    <x v="0"/>
  </r>
  <r>
    <s v="ORD-01778"/>
    <x v="236"/>
    <s v="CUST-0270"/>
    <s v="PROD-032"/>
    <x v="25"/>
    <n v="10"/>
    <n v="370"/>
    <n v="29"/>
    <n v="2627"/>
    <s v="Completed"/>
    <s v="Bengaluru"/>
    <x v="3"/>
    <s v="Retail"/>
    <n v="29"/>
    <x v="0"/>
  </r>
  <r>
    <s v="ORD-01779"/>
    <x v="210"/>
    <s v="CUST-0178"/>
    <s v="PROD-019"/>
    <x v="13"/>
    <n v="3"/>
    <n v="2480"/>
    <n v="9.6"/>
    <n v="6725.76"/>
    <s v="Completed"/>
    <s v="Hyderabad"/>
    <x v="0"/>
    <s v="Retail"/>
    <n v="25"/>
    <x v="3"/>
  </r>
  <r>
    <s v="ORD-01780"/>
    <x v="128"/>
    <s v="CUST-0019"/>
    <s v="PROD-010"/>
    <x v="21"/>
    <n v="3"/>
    <n v="2640"/>
    <n v="10.199999999999999"/>
    <n v="7112.16"/>
    <s v="Cancelled"/>
    <s v="Chennai"/>
    <x v="4"/>
    <s v="Retail"/>
    <n v="22"/>
    <x v="3"/>
  </r>
  <r>
    <s v="ORD-01781"/>
    <x v="172"/>
    <s v="CUST-0276"/>
    <s v="PROD-035"/>
    <x v="16"/>
    <n v="1"/>
    <n v="1090"/>
    <n v="21.6"/>
    <n v="854.56"/>
    <s v="Cancelled"/>
    <s v="Chennai"/>
    <x v="3"/>
    <s v="Retail"/>
    <n v="26"/>
    <x v="3"/>
  </r>
  <r>
    <s v="ORD-01782"/>
    <x v="38"/>
    <s v="CUST-0076"/>
    <s v="PROD-043"/>
    <x v="25"/>
    <n v="10"/>
    <n v="3350"/>
    <n v="12.1"/>
    <n v="29446.5"/>
    <s v="Completed"/>
    <s v="Mumbai"/>
    <x v="5"/>
    <s v="Retail"/>
    <n v="38"/>
    <x v="0"/>
  </r>
  <r>
    <s v="ORD-01783"/>
    <x v="254"/>
    <s v="CUST-0085"/>
    <s v="PROD-050"/>
    <x v="15"/>
    <n v="4"/>
    <n v="6080"/>
    <n v="26.7"/>
    <n v="17826.560000000001"/>
    <s v="Cancelled"/>
    <s v="Chennai"/>
    <x v="5"/>
    <s v="Retail"/>
    <n v="26"/>
    <x v="1"/>
  </r>
  <r>
    <s v="ORD-01784"/>
    <x v="332"/>
    <s v="CUST-0245"/>
    <s v="PROD-049"/>
    <x v="25"/>
    <n v="3"/>
    <n v="960"/>
    <n v="13.2"/>
    <n v="2499.84"/>
    <s v="Completed"/>
    <s v="Hyderabad"/>
    <x v="5"/>
    <s v="Retail"/>
    <n v="65"/>
    <x v="0"/>
  </r>
  <r>
    <s v="ORD-01785"/>
    <x v="294"/>
    <s v="CUST-0135"/>
    <s v="PROD-028"/>
    <x v="0"/>
    <n v="9"/>
    <n v="3660"/>
    <n v="9.3000000000000007"/>
    <n v="29876.58"/>
    <s v="Cancelled"/>
    <s v="Pune"/>
    <x v="2"/>
    <s v="SMB"/>
    <n v="24"/>
    <x v="0"/>
  </r>
  <r>
    <s v="ORD-01786"/>
    <x v="321"/>
    <s v="CUST-0224"/>
    <s v="PROD-047"/>
    <x v="7"/>
    <n v="6"/>
    <n v="3450"/>
    <n v="8.1999999999999993"/>
    <n v="19002.599999999999"/>
    <s v="Completed"/>
    <s v="Chennai"/>
    <x v="5"/>
    <s v="Corporate"/>
    <n v="24"/>
    <x v="3"/>
  </r>
  <r>
    <s v="ORD-01787"/>
    <x v="292"/>
    <s v="CUST-0036"/>
    <s v="PROD-039"/>
    <x v="16"/>
    <n v="7"/>
    <n v="4610"/>
    <n v="10.4"/>
    <n v="28913.919999999998"/>
    <s v="Completed"/>
    <s v="Mumbai"/>
    <x v="3"/>
    <s v="Retail"/>
    <n v="35"/>
    <x v="3"/>
  </r>
  <r>
    <s v="ORD-01788"/>
    <x v="201"/>
    <s v="CUST-0197"/>
    <s v="PROD-057"/>
    <x v="18"/>
    <n v="2"/>
    <n v="960"/>
    <n v="16.5"/>
    <n v="1603.2"/>
    <s v="Completed"/>
    <s v="Bengaluru"/>
    <x v="1"/>
    <s v="Retail"/>
    <n v="55"/>
    <x v="1"/>
  </r>
  <r>
    <s v="ORD-01789"/>
    <x v="223"/>
    <s v="CUST-0111"/>
    <s v="PROD-032"/>
    <x v="12"/>
    <n v="7"/>
    <n v="370"/>
    <n v="1.4"/>
    <n v="2553.7399999999998"/>
    <s v="Refunded"/>
    <s v="Chennai"/>
    <x v="3"/>
    <s v="SMB"/>
    <n v="64"/>
    <x v="3"/>
  </r>
  <r>
    <s v="ORD-01790"/>
    <x v="275"/>
    <s v="CUST-0198"/>
    <s v="PROD-024"/>
    <x v="10"/>
    <n v="3"/>
    <n v="2270"/>
    <n v="12.6"/>
    <n v="5951.94"/>
    <s v="Completed"/>
    <s v="Chennai"/>
    <x v="2"/>
    <s v="Corporate"/>
    <n v="22"/>
    <x v="0"/>
  </r>
  <r>
    <s v="ORD-00268"/>
    <x v="114"/>
    <s v="CUST-0049"/>
    <s v="PROD-036"/>
    <x v="2"/>
    <n v="1"/>
    <n v="3250"/>
    <n v="17.8"/>
    <n v="2671.5"/>
    <s v="Completed"/>
    <s v="Mumbai"/>
    <x v="3"/>
    <s v="Corporate"/>
    <n v="42"/>
    <x v="1"/>
  </r>
  <r>
    <s v="ORD-01792"/>
    <x v="280"/>
    <s v="CUST-0029"/>
    <s v="PROD-016"/>
    <x v="26"/>
    <n v="5"/>
    <n v="620"/>
    <n v="19.399999999999999"/>
    <n v="2498.6"/>
    <s v="Pending"/>
    <s v="Chennai"/>
    <x v="0"/>
    <s v="Corporate"/>
    <n v="54"/>
    <x v="3"/>
  </r>
  <r>
    <s v="ORD-01793"/>
    <x v="77"/>
    <s v="CUST-0018"/>
    <s v="PROD-008"/>
    <x v="1"/>
    <n v="6"/>
    <n v="2660"/>
    <n v="14.9"/>
    <n v="13581.96"/>
    <s v="Completed"/>
    <s v="Pune"/>
    <x v="4"/>
    <s v="SMB"/>
    <n v="54"/>
    <x v="0"/>
  </r>
  <r>
    <s v="ORD-01794"/>
    <x v="357"/>
    <s v="CUST-0007"/>
    <s v="PROD-014"/>
    <x v="19"/>
    <n v="5"/>
    <n v="3620"/>
    <n v="21"/>
    <n v="14299"/>
    <s v="Cancelled"/>
    <s v="Bengaluru"/>
    <x v="0"/>
    <s v="Retail"/>
    <n v="47"/>
    <x v="0"/>
  </r>
  <r>
    <s v="ORD-01795"/>
    <x v="228"/>
    <s v="CUST-0014"/>
    <s v="PROD-013"/>
    <x v="13"/>
    <n v="1"/>
    <n v="3640"/>
    <n v="15.8"/>
    <n v="3064.88"/>
    <s v="Completed"/>
    <s v="Bengaluru"/>
    <x v="0"/>
    <s v="Retail"/>
    <n v="48"/>
    <x v="3"/>
  </r>
  <r>
    <s v="ORD-01796"/>
    <x v="328"/>
    <s v="CUST-0215"/>
    <s v="PROD-009"/>
    <x v="0"/>
    <n v="1"/>
    <n v="1220"/>
    <n v="0.6"/>
    <n v="1212.68"/>
    <s v="Refunded"/>
    <s v="Hyderabad"/>
    <x v="4"/>
    <s v="Retail"/>
    <n v="52"/>
    <x v="0"/>
  </r>
  <r>
    <s v="ORD-01797"/>
    <x v="154"/>
    <s v="CUST-0056"/>
    <s v="PROD-019"/>
    <x v="25"/>
    <n v="10"/>
    <n v="2480"/>
    <n v="0.6"/>
    <n v="24651.200000000001"/>
    <s v="Completed"/>
    <s v="Bengaluru"/>
    <x v="0"/>
    <s v="SMB"/>
    <n v="46"/>
    <x v="0"/>
  </r>
  <r>
    <s v="ORD-01798"/>
    <x v="287"/>
    <s v="CUST-0231"/>
    <s v="PROD-044"/>
    <x v="28"/>
    <n v="9"/>
    <n v="1650"/>
    <n v="26.8"/>
    <n v="10870.2"/>
    <s v="Completed"/>
    <s v="Chennai"/>
    <x v="5"/>
    <s v="Retail"/>
    <n v="61"/>
    <x v="2"/>
  </r>
  <r>
    <s v="ORD-01799"/>
    <x v="9"/>
    <s v="CUST-0138"/>
    <s v="PROD-045"/>
    <x v="4"/>
    <n v="10"/>
    <n v="3020"/>
    <n v="2.6"/>
    <n v="29414.799999999999"/>
    <s v="Completed"/>
    <s v="Chennai"/>
    <x v="5"/>
    <s v="Retail"/>
    <n v="24"/>
    <x v="0"/>
  </r>
  <r>
    <s v="ORD-01800"/>
    <x v="227"/>
    <s v="CUST-0007"/>
    <s v="PROD-011"/>
    <x v="2"/>
    <n v="5"/>
    <n v="3450"/>
    <n v="25.3"/>
    <n v="12885.75"/>
    <s v="Completed"/>
    <s v="Bengaluru"/>
    <x v="0"/>
    <s v="Retail"/>
    <n v="47"/>
    <x v="1"/>
  </r>
  <r>
    <s v="ORD-01801"/>
    <x v="136"/>
    <s v="CUST-0118"/>
    <s v="PROD-009"/>
    <x v="7"/>
    <n v="7"/>
    <n v="1220"/>
    <n v="13.1"/>
    <n v="7421.26"/>
    <s v="Completed"/>
    <s v="Hyderabad"/>
    <x v="4"/>
    <s v="Retail"/>
    <n v="26"/>
    <x v="3"/>
  </r>
  <r>
    <s v="ORD-01802"/>
    <x v="344"/>
    <s v="CUST-0064"/>
    <s v="PROD-027"/>
    <x v="1"/>
    <n v="10"/>
    <n v="3780"/>
    <n v="23.7"/>
    <n v="28841.4"/>
    <s v="Completed"/>
    <s v="Hyderabad"/>
    <x v="2"/>
    <s v="SMB"/>
    <n v="40"/>
    <x v="0"/>
  </r>
  <r>
    <s v="ORD-01803"/>
    <x v="171"/>
    <s v="CUST-0298"/>
    <s v="PROD-008"/>
    <x v="25"/>
    <n v="8"/>
    <n v="2660"/>
    <n v="16.100000000000001"/>
    <n v="17853.919999999998"/>
    <s v="Completed"/>
    <s v="Delhi"/>
    <x v="4"/>
    <s v="Retail"/>
    <n v="44"/>
    <x v="0"/>
  </r>
  <r>
    <s v="ORD-01804"/>
    <x v="200"/>
    <s v="CUST-0020"/>
    <s v="PROD-035"/>
    <x v="4"/>
    <n v="6"/>
    <n v="1090"/>
    <n v="20"/>
    <n v="5232"/>
    <s v="Pending"/>
    <s v="Hyderabad"/>
    <x v="3"/>
    <s v="Retail"/>
    <n v="46"/>
    <x v="0"/>
  </r>
  <r>
    <s v="ORD-01805"/>
    <x v="258"/>
    <s v="CUST-9725"/>
    <s v="PROD-037"/>
    <x v="29"/>
    <n v="2"/>
    <n v="660"/>
    <n v="18.7"/>
    <n v="1073.1600000000001"/>
    <s v="Completed"/>
    <s v="Mumbai"/>
    <x v="3"/>
    <e v="#N/A"/>
    <e v="#N/A"/>
    <x v="1"/>
  </r>
  <r>
    <s v="ORD-01806"/>
    <x v="10"/>
    <s v="CUST-0063"/>
    <s v="PROD-035"/>
    <x v="15"/>
    <n v="7"/>
    <n v="1090"/>
    <n v="19.399999999999999"/>
    <n v="6149.78"/>
    <s v="Pending"/>
    <s v="Mumbai"/>
    <x v="3"/>
    <s v="SMB"/>
    <n v="53"/>
    <x v="1"/>
  </r>
  <r>
    <s v="ORD-01807"/>
    <x v="335"/>
    <s v="CUST-0193"/>
    <s v="PROD-029"/>
    <x v="15"/>
    <n v="3"/>
    <n v="2210"/>
    <n v="11"/>
    <n v="5900.7"/>
    <s v="Completed"/>
    <s v="Bengaluru"/>
    <x v="2"/>
    <s v="Retail"/>
    <n v="42"/>
    <x v="1"/>
  </r>
  <r>
    <s v="ORD-01808"/>
    <x v="103"/>
    <s v="CUST-0142"/>
    <s v="PROD-006"/>
    <x v="20"/>
    <n v="2"/>
    <n v="3970"/>
    <n v="24.9"/>
    <n v="5962.94"/>
    <s v="Completed"/>
    <s v="Chennai"/>
    <x v="4"/>
    <s v="Corporate"/>
    <n v="55"/>
    <x v="2"/>
  </r>
  <r>
    <s v="ORD-01809"/>
    <x v="210"/>
    <s v="CUST-0264"/>
    <s v="PROD-039"/>
    <x v="13"/>
    <n v="7"/>
    <n v="4610"/>
    <n v="6.3"/>
    <n v="30236.99"/>
    <s v="Completed"/>
    <s v="Pune"/>
    <x v="3"/>
    <s v="Retail"/>
    <n v="59"/>
    <x v="3"/>
  </r>
  <r>
    <s v="ORD-01810"/>
    <x v="210"/>
    <s v="CUST-0121"/>
    <s v="PROD-049"/>
    <x v="17"/>
    <n v="10"/>
    <n v="960"/>
    <n v="14.6"/>
    <n v="8198.4"/>
    <s v="Completed"/>
    <s v="Delhi"/>
    <x v="5"/>
    <s v="SMB"/>
    <n v="55"/>
    <x v="2"/>
  </r>
  <r>
    <s v="ORD-01811"/>
    <x v="77"/>
    <s v="CUST-0152"/>
    <s v="PROD-045"/>
    <x v="29"/>
    <n v="8"/>
    <n v="3020"/>
    <n v="14.5"/>
    <n v="20656.8"/>
    <s v="Completed"/>
    <s v="Bengaluru"/>
    <x v="5"/>
    <s v="SMB"/>
    <n v="64"/>
    <x v="1"/>
  </r>
  <r>
    <s v="ORD-01812"/>
    <x v="98"/>
    <s v="CUST-0008"/>
    <s v="PROD-019"/>
    <x v="17"/>
    <n v="7"/>
    <n v="2480"/>
    <n v="17.3"/>
    <n v="14356.72"/>
    <s v="Completed"/>
    <s v="Pune"/>
    <x v="0"/>
    <s v="SMB"/>
    <n v="39"/>
    <x v="2"/>
  </r>
  <r>
    <s v="ORD-01813"/>
    <x v="259"/>
    <s v="CUST-0285"/>
    <s v="PROD-004"/>
    <x v="22"/>
    <n v="10"/>
    <n v="3870"/>
    <n v="22.4"/>
    <n v="30031.200000000001"/>
    <s v="Pending"/>
    <s v="Hyderabad"/>
    <x v="4"/>
    <s v="Retail"/>
    <n v="22"/>
    <x v="1"/>
  </r>
  <r>
    <s v="ORD-01814"/>
    <x v="317"/>
    <s v="CUST-0072"/>
    <s v="PROD-037"/>
    <x v="24"/>
    <n v="6"/>
    <n v="660"/>
    <n v="27.3"/>
    <n v="2878.92"/>
    <s v="Completed"/>
    <s v="Mumbai"/>
    <x v="3"/>
    <s v="Corporate"/>
    <n v="62"/>
    <x v="3"/>
  </r>
  <r>
    <s v="ORD-01815"/>
    <x v="188"/>
    <s v="CUST-9630"/>
    <s v="PROD-004"/>
    <x v="17"/>
    <n v="3"/>
    <n v="3870"/>
    <n v="7.6"/>
    <n v="10727.64"/>
    <s v="Cancelled"/>
    <s v="Chennai"/>
    <x v="4"/>
    <e v="#N/A"/>
    <e v="#N/A"/>
    <x v="2"/>
  </r>
  <r>
    <s v="ORD-01816"/>
    <x v="176"/>
    <s v="CUST-0243"/>
    <s v="PROD-019"/>
    <x v="3"/>
    <n v="10"/>
    <n v="2480"/>
    <n v="21.5"/>
    <n v="19468"/>
    <s v="Pending"/>
    <s v="Pune"/>
    <x v="0"/>
    <s v="SMB"/>
    <n v="44"/>
    <x v="0"/>
  </r>
  <r>
    <s v="ORD-01817"/>
    <x v="175"/>
    <s v="CUST-0231"/>
    <s v="PROD-010"/>
    <x v="19"/>
    <n v="8"/>
    <n v="2640"/>
    <n v="22.3"/>
    <n v="16410.240000000002"/>
    <s v="Completed"/>
    <s v="Chennai"/>
    <x v="4"/>
    <s v="Retail"/>
    <n v="61"/>
    <x v="0"/>
  </r>
  <r>
    <s v="ORD-01818"/>
    <x v="115"/>
    <s v="CUST-0229"/>
    <s v="PROD-030"/>
    <x v="19"/>
    <n v="8"/>
    <n v="970"/>
    <n v="13.1"/>
    <n v="6743.44"/>
    <s v="Completed"/>
    <s v="Hyderabad"/>
    <x v="2"/>
    <s v="SMB"/>
    <n v="25"/>
    <x v="0"/>
  </r>
  <r>
    <s v="ORD-01819"/>
    <x v="104"/>
    <s v="CUST-0218"/>
    <s v="PROD-057"/>
    <x v="19"/>
    <n v="6"/>
    <n v="960"/>
    <n v="3.2"/>
    <n v="5575.68"/>
    <s v="Completed"/>
    <s v="Mumbai"/>
    <x v="1"/>
    <s v="Retail"/>
    <n v="39"/>
    <x v="0"/>
  </r>
  <r>
    <s v="ORD-01820"/>
    <x v="277"/>
    <s v="CUST-0015"/>
    <s v="PROD-033"/>
    <x v="4"/>
    <n v="9"/>
    <n v="2030"/>
    <n v="12.6"/>
    <n v="15967.98"/>
    <s v="Cancelled"/>
    <s v="Chennai"/>
    <x v="3"/>
    <s v="Retail"/>
    <n v="31"/>
    <x v="0"/>
  </r>
  <r>
    <s v="ORD-01821"/>
    <x v="244"/>
    <s v="CUST-0291"/>
    <s v="PROD-042"/>
    <x v="6"/>
    <n v="10"/>
    <n v="2290"/>
    <n v="22.2"/>
    <n v="17816.2"/>
    <s v="Completed"/>
    <s v="Pune"/>
    <x v="5"/>
    <s v="SMB"/>
    <n v="29"/>
    <x v="2"/>
  </r>
  <r>
    <s v="ORD-01822"/>
    <x v="41"/>
    <s v="CUST-0276"/>
    <s v="PROD-020"/>
    <x v="28"/>
    <n v="7"/>
    <n v="820"/>
    <n v="6.4"/>
    <n v="5372.64"/>
    <s v="Refunded"/>
    <s v="Chennai"/>
    <x v="0"/>
    <s v="Retail"/>
    <n v="26"/>
    <x v="2"/>
  </r>
  <r>
    <s v="ORD-01823"/>
    <x v="105"/>
    <s v="CUST-0139"/>
    <s v="PROD-040"/>
    <x v="14"/>
    <n v="5"/>
    <n v="1080"/>
    <n v="6"/>
    <n v="5076"/>
    <s v="Completed"/>
    <s v="Hyderabad"/>
    <x v="3"/>
    <s v="SMB"/>
    <n v="65"/>
    <x v="2"/>
  </r>
  <r>
    <s v="ORD-01824"/>
    <x v="202"/>
    <s v="CUST-0087"/>
    <s v="PROD-060"/>
    <x v="8"/>
    <n v="4"/>
    <n v="190"/>
    <n v="6.3"/>
    <n v="712.12"/>
    <s v="Refunded"/>
    <s v="Pune"/>
    <x v="1"/>
    <s v="SMB"/>
    <n v="49"/>
    <x v="2"/>
  </r>
  <r>
    <s v="ORD-01825"/>
    <x v="158"/>
    <s v="CUST-0203"/>
    <s v="PROD-017"/>
    <x v="20"/>
    <n v="6"/>
    <n v="2510"/>
    <n v="11.5"/>
    <n v="13328.1"/>
    <s v="Completed"/>
    <s v="Chennai"/>
    <x v="0"/>
    <s v="SMB"/>
    <n v="55"/>
    <x v="2"/>
  </r>
  <r>
    <s v="ORD-01826"/>
    <x v="193"/>
    <s v="CUST-0180"/>
    <s v="PROD-018"/>
    <x v="15"/>
    <n v="2"/>
    <n v="3560"/>
    <n v="10.5"/>
    <n v="6372.4"/>
    <s v="Completed"/>
    <s v="Chennai"/>
    <x v="0"/>
    <s v="Retail"/>
    <n v="36"/>
    <x v="1"/>
  </r>
  <r>
    <s v="ORD-01827"/>
    <x v="361"/>
    <s v="CUST-0130"/>
    <s v="PROD-020"/>
    <x v="22"/>
    <n v="3"/>
    <n v="820"/>
    <n v="13"/>
    <n v="2140.1999999999998"/>
    <s v="Cancelled"/>
    <s v="Bengaluru"/>
    <x v="0"/>
    <s v="Corporate"/>
    <n v="41"/>
    <x v="1"/>
  </r>
  <r>
    <s v="ORD-01828"/>
    <x v="66"/>
    <s v="CUST-0049"/>
    <s v="PROD-013"/>
    <x v="11"/>
    <n v="6"/>
    <n v="3640"/>
    <n v="14"/>
    <n v="18782.400000000001"/>
    <s v="Completed"/>
    <s v="Mumbai"/>
    <x v="0"/>
    <s v="Corporate"/>
    <n v="42"/>
    <x v="0"/>
  </r>
  <r>
    <s v="ORD-01829"/>
    <x v="43"/>
    <s v="CUST-0182"/>
    <s v="PROD-028"/>
    <x v="7"/>
    <n v="5"/>
    <n v="3660"/>
    <n v="28.7"/>
    <n v="13047.9"/>
    <s v="Completed"/>
    <s v="Mumbai"/>
    <x v="2"/>
    <s v="Retail"/>
    <n v="54"/>
    <x v="3"/>
  </r>
  <r>
    <s v="ORD-01830"/>
    <x v="126"/>
    <s v="CUST-0291"/>
    <s v="PROD-055"/>
    <x v="14"/>
    <n v="2"/>
    <n v="2860"/>
    <n v="21.1"/>
    <n v="4513.08"/>
    <s v="Completed"/>
    <s v="Pune"/>
    <x v="1"/>
    <s v="SMB"/>
    <n v="29"/>
    <x v="2"/>
  </r>
  <r>
    <s v="ORD-01831"/>
    <x v="214"/>
    <s v="CUST-0167"/>
    <s v="PROD-015"/>
    <x v="7"/>
    <n v="1"/>
    <n v="2720"/>
    <n v="22.1"/>
    <n v="2118.88"/>
    <s v="Completed"/>
    <s v="Delhi"/>
    <x v="0"/>
    <s v="Retail"/>
    <n v="43"/>
    <x v="3"/>
  </r>
  <r>
    <s v="ORD-01832"/>
    <x v="142"/>
    <s v="CUST-0223"/>
    <s v="PROD-055"/>
    <x v="10"/>
    <n v="6"/>
    <n v="2860"/>
    <n v="10.5"/>
    <n v="15358.2"/>
    <s v="Cancelled"/>
    <s v="Bengaluru"/>
    <x v="1"/>
    <s v="Retail"/>
    <n v="46"/>
    <x v="0"/>
  </r>
  <r>
    <s v="ORD-01833"/>
    <x v="359"/>
    <s v="CUST-0050"/>
    <s v="PROD-017"/>
    <x v="16"/>
    <n v="1"/>
    <n v="2510"/>
    <n v="12"/>
    <n v="2208.8000000000002"/>
    <s v="Completed"/>
    <s v="Mumbai"/>
    <x v="0"/>
    <s v="Retail"/>
    <n v="37"/>
    <x v="3"/>
  </r>
  <r>
    <s v="ORD-01834"/>
    <x v="106"/>
    <s v="CUST-0242"/>
    <s v="PROD-017"/>
    <x v="16"/>
    <n v="4"/>
    <n v="2510"/>
    <n v="23.2"/>
    <n v="7710.72"/>
    <s v="Completed"/>
    <s v="Chennai"/>
    <x v="0"/>
    <s v="SMB"/>
    <n v="59"/>
    <x v="3"/>
  </r>
  <r>
    <s v="ORD-01835"/>
    <x v="122"/>
    <s v="CUST-0144"/>
    <s v="PROD-049"/>
    <x v="1"/>
    <n v="8"/>
    <n v="960"/>
    <n v="20.3"/>
    <n v="6120.96"/>
    <s v="Pending"/>
    <s v="Chennai"/>
    <x v="5"/>
    <s v="Retail"/>
    <n v="49"/>
    <x v="0"/>
  </r>
  <r>
    <s v="ORD-01836"/>
    <x v="5"/>
    <s v="CUST-0140"/>
    <s v="PROD-038"/>
    <x v="9"/>
    <n v="3"/>
    <n v="5490"/>
    <n v="25.2"/>
    <n v="12319.56"/>
    <s v="Completed"/>
    <s v="Hyderabad"/>
    <x v="3"/>
    <s v="SMB"/>
    <n v="39"/>
    <x v="1"/>
  </r>
  <r>
    <s v="ORD-01837"/>
    <x v="262"/>
    <s v="CUST-0174"/>
    <s v="PROD-017"/>
    <x v="3"/>
    <n v="2"/>
    <n v="2510"/>
    <n v="28.2"/>
    <n v="3604.36"/>
    <s v="Completed"/>
    <s v="Pune"/>
    <x v="0"/>
    <s v="Retail"/>
    <n v="54"/>
    <x v="0"/>
  </r>
  <r>
    <s v="ORD-01838"/>
    <x v="194"/>
    <s v="CUST-0290"/>
    <s v="PROD-020"/>
    <x v="23"/>
    <n v="1"/>
    <n v="820"/>
    <n v="4.7"/>
    <n v="781.46"/>
    <s v="Completed"/>
    <s v="Delhi"/>
    <x v="0"/>
    <s v="Retail"/>
    <n v="63"/>
    <x v="1"/>
  </r>
  <r>
    <s v="ORD-01839"/>
    <x v="99"/>
    <s v="CUST-0170"/>
    <s v="PROD-005"/>
    <x v="26"/>
    <n v="6"/>
    <n v="300"/>
    <n v="13.3"/>
    <n v="1560.6"/>
    <s v="Completed"/>
    <s v="Mumbai"/>
    <x v="4"/>
    <s v="SMB"/>
    <n v="22"/>
    <x v="3"/>
  </r>
  <r>
    <s v="ORD-01840"/>
    <x v="155"/>
    <s v="CUST-0180"/>
    <s v="PROD-043"/>
    <x v="29"/>
    <n v="4"/>
    <n v="3350"/>
    <n v="5.8"/>
    <n v="12622.8"/>
    <s v="Pending"/>
    <s v="Chennai"/>
    <x v="5"/>
    <s v="Retail"/>
    <n v="36"/>
    <x v="1"/>
  </r>
  <r>
    <s v="ORD-01841"/>
    <x v="150"/>
    <s v="CUST-0286"/>
    <s v="PROD-036"/>
    <x v="5"/>
    <n v="3"/>
    <n v="3250"/>
    <n v="19.600000000000001"/>
    <n v="7839"/>
    <s v="Pending"/>
    <s v="Delhi"/>
    <x v="3"/>
    <s v="Retail"/>
    <n v="62"/>
    <x v="2"/>
  </r>
  <r>
    <s v="ORD-01842"/>
    <x v="112"/>
    <s v="CUST-0056"/>
    <s v="PROD-044"/>
    <x v="28"/>
    <n v="10"/>
    <n v="1650"/>
    <n v="22.5"/>
    <n v="12787.5"/>
    <s v="Cancelled"/>
    <s v="Bengaluru"/>
    <x v="5"/>
    <s v="SMB"/>
    <n v="46"/>
    <x v="2"/>
  </r>
  <r>
    <s v="ORD-01843"/>
    <x v="47"/>
    <s v="CUST-0292"/>
    <s v="PROD-009"/>
    <x v="17"/>
    <n v="2"/>
    <n v="1220"/>
    <n v="10.5"/>
    <n v="2183.8000000000002"/>
    <s v="Completed"/>
    <s v="Bengaluru"/>
    <x v="4"/>
    <s v="Retail"/>
    <n v="32"/>
    <x v="2"/>
  </r>
  <r>
    <s v="ORD-01844"/>
    <x v="126"/>
    <s v="CUST-0020"/>
    <s v="PROD-049"/>
    <x v="17"/>
    <n v="7"/>
    <n v="960"/>
    <n v="5.4"/>
    <n v="6357.12"/>
    <s v="Refunded"/>
    <s v="Hyderabad"/>
    <x v="5"/>
    <s v="Retail"/>
    <n v="46"/>
    <x v="2"/>
  </r>
  <r>
    <s v="ORD-01845"/>
    <x v="44"/>
    <s v="CUST-0089"/>
    <s v="PROD-046"/>
    <x v="2"/>
    <n v="3"/>
    <n v="4880"/>
    <n v="17.100000000000001"/>
    <n v="12136.56"/>
    <s v="Completed"/>
    <s v="Mumbai"/>
    <x v="5"/>
    <s v="SMB"/>
    <n v="43"/>
    <x v="1"/>
  </r>
  <r>
    <s v="ORD-01846"/>
    <x v="69"/>
    <s v="CUST-0242"/>
    <s v="PROD-024"/>
    <x v="8"/>
    <n v="5"/>
    <n v="2270"/>
    <n v="12.4"/>
    <n v="9942.6"/>
    <s v="Completed"/>
    <s v="Chennai"/>
    <x v="2"/>
    <s v="SMB"/>
    <n v="59"/>
    <x v="2"/>
  </r>
  <r>
    <s v="ORD-01847"/>
    <x v="3"/>
    <s v="CUST-0249"/>
    <s v="PROD-035"/>
    <x v="8"/>
    <n v="1"/>
    <n v="1090"/>
    <n v="17.3"/>
    <n v="901.43"/>
    <s v="Completed"/>
    <s v="Mumbai"/>
    <x v="3"/>
    <s v="Retail"/>
    <n v="44"/>
    <x v="2"/>
  </r>
  <r>
    <s v="ORD-01848"/>
    <x v="275"/>
    <s v="CUST-0032"/>
    <s v="PROD-034"/>
    <x v="20"/>
    <n v="8"/>
    <n v="5080"/>
    <n v="0.9"/>
    <n v="40274.239999999998"/>
    <s v="Completed"/>
    <s v="Hyderabad"/>
    <x v="3"/>
    <s v="Retail"/>
    <n v="28"/>
    <x v="2"/>
  </r>
  <r>
    <s v="ORD-01849"/>
    <x v="28"/>
    <s v="CUST-0217"/>
    <s v="PROD-039"/>
    <x v="21"/>
    <n v="7"/>
    <n v="4610"/>
    <n v="0.9"/>
    <n v="31979.57"/>
    <s v="Completed"/>
    <s v="Pune"/>
    <x v="3"/>
    <s v="SMB"/>
    <n v="59"/>
    <x v="3"/>
  </r>
  <r>
    <s v="ORD-01850"/>
    <x v="159"/>
    <s v="CUST-0284"/>
    <s v="PROD-045"/>
    <x v="8"/>
    <n v="1"/>
    <n v="3020"/>
    <n v="10.3"/>
    <n v="2708.94"/>
    <s v="Completed"/>
    <s v="Hyderabad"/>
    <x v="5"/>
    <s v="SMB"/>
    <n v="65"/>
    <x v="2"/>
  </r>
  <r>
    <s v="ORD-01851"/>
    <x v="99"/>
    <s v="CUST-0167"/>
    <s v="PROD-022"/>
    <x v="8"/>
    <n v="6"/>
    <n v="2270"/>
    <n v="23.1"/>
    <n v="10473.780000000001"/>
    <s v="Completed"/>
    <s v="Delhi"/>
    <x v="2"/>
    <s v="Retail"/>
    <n v="43"/>
    <x v="2"/>
  </r>
  <r>
    <s v="ORD-01852"/>
    <x v="150"/>
    <s v="CUST-0008"/>
    <s v="PROD-026"/>
    <x v="9"/>
    <n v="6"/>
    <n v="4070"/>
    <n v="28.9"/>
    <n v="17362.62"/>
    <s v="Completed"/>
    <s v="Pune"/>
    <x v="2"/>
    <s v="SMB"/>
    <n v="39"/>
    <x v="1"/>
  </r>
  <r>
    <s v="ORD-01853"/>
    <x v="181"/>
    <s v="CUST-0277"/>
    <s v="PROD-009"/>
    <x v="21"/>
    <n v="5"/>
    <n v="1220"/>
    <n v="18.7"/>
    <n v="4959.3"/>
    <s v="Completed"/>
    <s v="Chennai"/>
    <x v="4"/>
    <s v="Corporate"/>
    <n v="34"/>
    <x v="3"/>
  </r>
  <r>
    <s v="ORD-01854"/>
    <x v="249"/>
    <s v="CUST-0025"/>
    <s v="PROD-019"/>
    <x v="6"/>
    <n v="8"/>
    <n v="2480"/>
    <n v="3.2"/>
    <n v="19205.12"/>
    <s v="Cancelled"/>
    <s v="Bengaluru"/>
    <x v="0"/>
    <s v="Retail"/>
    <n v="23"/>
    <x v="2"/>
  </r>
  <r>
    <s v="ORD-01855"/>
    <x v="211"/>
    <s v="CUST-0228"/>
    <s v="PROD-055"/>
    <x v="0"/>
    <n v="7"/>
    <n v="2860"/>
    <n v="8.4"/>
    <n v="18338.32"/>
    <s v="Completed"/>
    <s v="Pune"/>
    <x v="1"/>
    <s v="Corporate"/>
    <n v="37"/>
    <x v="0"/>
  </r>
  <r>
    <s v="ORD-01856"/>
    <x v="13"/>
    <s v="CUST-0078"/>
    <s v="PROD-027"/>
    <x v="6"/>
    <n v="1"/>
    <n v="3780"/>
    <n v="16.3"/>
    <n v="3163.86"/>
    <s v="Cancelled"/>
    <s v="Delhi"/>
    <x v="2"/>
    <s v="Retail"/>
    <n v="31"/>
    <x v="2"/>
  </r>
  <r>
    <s v="ORD-01857"/>
    <x v="172"/>
    <s v="CUST-0205"/>
    <s v="PROD-055"/>
    <x v="5"/>
    <n v="6"/>
    <n v="2860"/>
    <n v="10.7"/>
    <n v="15323.88"/>
    <s v="Completed"/>
    <s v="Pune"/>
    <x v="1"/>
    <s v="Corporate"/>
    <n v="29"/>
    <x v="2"/>
  </r>
  <r>
    <s v="ORD-01858"/>
    <x v="325"/>
    <s v="CUST-0044"/>
    <s v="PROD-058"/>
    <x v="28"/>
    <n v="3"/>
    <n v="2400"/>
    <n v="20.7"/>
    <n v="5709.6"/>
    <s v="Completed"/>
    <s v="Hyderabad"/>
    <x v="1"/>
    <s v="SMB"/>
    <n v="29"/>
    <x v="2"/>
  </r>
  <r>
    <s v="ORD-01859"/>
    <x v="259"/>
    <s v="CUST-0188"/>
    <s v="PROD-023"/>
    <x v="5"/>
    <n v="8"/>
    <n v="2380"/>
    <n v="22.3"/>
    <n v="14794.08"/>
    <s v="Refunded"/>
    <s v="Bengaluru"/>
    <x v="2"/>
    <s v="Retail"/>
    <n v="54"/>
    <x v="2"/>
  </r>
  <r>
    <s v="ORD-01860"/>
    <x v="80"/>
    <s v="CUST-0165"/>
    <s v="PROD-048"/>
    <x v="3"/>
    <n v="7"/>
    <n v="5100"/>
    <n v="22.9"/>
    <n v="27524.7"/>
    <s v="Cancelled"/>
    <s v="Pune"/>
    <x v="5"/>
    <s v="Retail"/>
    <n v="29"/>
    <x v="0"/>
  </r>
  <r>
    <s v="ORD-01861"/>
    <x v="113"/>
    <s v="CUST-0059"/>
    <s v="PROD-005"/>
    <x v="15"/>
    <n v="7"/>
    <n v="300"/>
    <n v="15.3"/>
    <n v="1778.7"/>
    <s v="Completed"/>
    <s v="Pune"/>
    <x v="4"/>
    <s v="Corporate"/>
    <n v="29"/>
    <x v="1"/>
  </r>
  <r>
    <s v="ORD-01862"/>
    <x v="49"/>
    <s v="CUST-0280"/>
    <s v="PROD-051"/>
    <x v="9"/>
    <n v="5"/>
    <n v="3450"/>
    <n v="16.8"/>
    <n v="14352"/>
    <s v="Completed"/>
    <s v="Delhi"/>
    <x v="1"/>
    <s v="SMB"/>
    <n v="27"/>
    <x v="1"/>
  </r>
  <r>
    <s v="ORD-01863"/>
    <x v="287"/>
    <s v="CUST-0153"/>
    <s v="PROD-055"/>
    <x v="2"/>
    <n v="4"/>
    <n v="2860"/>
    <n v="14.3"/>
    <n v="9804.08"/>
    <s v="Completed"/>
    <s v="Mumbai"/>
    <x v="1"/>
    <s v="Retail"/>
    <n v="35"/>
    <x v="1"/>
  </r>
  <r>
    <s v="ORD-01864"/>
    <x v="180"/>
    <s v="CUST-0251"/>
    <s v="PROD-015"/>
    <x v="19"/>
    <n v="6"/>
    <n v="2720"/>
    <n v="25.1"/>
    <n v="12223.68"/>
    <s v="Cancelled"/>
    <s v="Mumbai"/>
    <x v="0"/>
    <s v="Retail"/>
    <n v="44"/>
    <x v="0"/>
  </r>
  <r>
    <s v="ORD-01865"/>
    <x v="335"/>
    <s v="CUST-0255"/>
    <s v="PROD-031"/>
    <x v="8"/>
    <n v="3"/>
    <n v="3730"/>
    <n v="24.8"/>
    <n v="8414.8799999999992"/>
    <s v="Completed"/>
    <s v="Chennai"/>
    <x v="3"/>
    <s v="Corporate"/>
    <n v="51"/>
    <x v="2"/>
  </r>
  <r>
    <s v="ORD-01866"/>
    <x v="83"/>
    <s v="CUST-0076"/>
    <s v="PROD-025"/>
    <x v="25"/>
    <n v="2"/>
    <n v="4060"/>
    <n v="11.3"/>
    <n v="7202.44"/>
    <s v="Completed"/>
    <s v="Mumbai"/>
    <x v="2"/>
    <s v="Retail"/>
    <n v="38"/>
    <x v="0"/>
  </r>
  <r>
    <s v="ORD-01867"/>
    <x v="146"/>
    <s v="CUST-0195"/>
    <s v="PROD-042"/>
    <x v="26"/>
    <n v="6"/>
    <n v="2290"/>
    <n v="26.8"/>
    <n v="10057.68"/>
    <s v="Refunded"/>
    <s v="Bengaluru"/>
    <x v="5"/>
    <s v="Retail"/>
    <n v="28"/>
    <x v="3"/>
  </r>
  <r>
    <s v="ORD-01868"/>
    <x v="196"/>
    <s v="CUST-0164"/>
    <s v="PROD-056"/>
    <x v="22"/>
    <n v="1"/>
    <n v="6940"/>
    <n v="15.7"/>
    <n v="5850.42"/>
    <s v="Completed"/>
    <s v="Chennai"/>
    <x v="1"/>
    <s v="Retail"/>
    <n v="60"/>
    <x v="1"/>
  </r>
  <r>
    <s v="ORD-01869"/>
    <x v="235"/>
    <s v="CUST-0239"/>
    <s v="PROD-031"/>
    <x v="18"/>
    <n v="3"/>
    <n v="3730"/>
    <n v="18.100000000000001"/>
    <n v="9164.61"/>
    <s v="Completed"/>
    <s v="Mumbai"/>
    <x v="3"/>
    <s v="Retail"/>
    <n v="61"/>
    <x v="1"/>
  </r>
  <r>
    <s v="ORD-01870"/>
    <x v="72"/>
    <s v="CUST-0133"/>
    <s v="PROD-031"/>
    <x v="25"/>
    <n v="8"/>
    <n v="3730"/>
    <n v="12.5"/>
    <n v="26110"/>
    <s v="Completed"/>
    <s v="Chennai"/>
    <x v="3"/>
    <s v="Retail"/>
    <n v="26"/>
    <x v="0"/>
  </r>
  <r>
    <s v="ORD-01871"/>
    <x v="128"/>
    <s v="CUST-0286"/>
    <s v="PROD-023"/>
    <x v="15"/>
    <n v="9"/>
    <n v="2380"/>
    <n v="8.1"/>
    <n v="19684.98"/>
    <s v="Cancelled"/>
    <s v="Delhi"/>
    <x v="2"/>
    <s v="Retail"/>
    <n v="62"/>
    <x v="1"/>
  </r>
  <r>
    <s v="ORD-01872"/>
    <x v="206"/>
    <s v="CUST-0122"/>
    <s v="PROD-040"/>
    <x v="25"/>
    <n v="6"/>
    <n v="1080"/>
    <n v="8.8000000000000007"/>
    <n v="5909.76"/>
    <s v="Completed"/>
    <s v="Mumbai"/>
    <x v="3"/>
    <s v="Retail"/>
    <n v="44"/>
    <x v="0"/>
  </r>
  <r>
    <s v="ORD-01712"/>
    <x v="24"/>
    <s v="CUST-0285"/>
    <s v="PROD-053"/>
    <x v="22"/>
    <n v="5"/>
    <n v="470"/>
    <n v="1.3"/>
    <n v="2319.4499999999998"/>
    <s v="Completed"/>
    <s v="Hyderabad"/>
    <x v="1"/>
    <s v="Retail"/>
    <n v="22"/>
    <x v="1"/>
  </r>
  <r>
    <s v="ORD-01874"/>
    <x v="340"/>
    <s v="CUST-0174"/>
    <s v="PROD-032"/>
    <x v="17"/>
    <n v="4"/>
    <n v="370"/>
    <n v="13.1"/>
    <n v="1286.1199999999999"/>
    <s v="Completed"/>
    <s v="Pune"/>
    <x v="3"/>
    <s v="Retail"/>
    <n v="54"/>
    <x v="2"/>
  </r>
  <r>
    <s v="ORD-01875"/>
    <x v="25"/>
    <s v="CUST-0115"/>
    <s v="PROD-012"/>
    <x v="0"/>
    <n v="7"/>
    <n v="3160"/>
    <n v="12.3"/>
    <n v="19399.240000000002"/>
    <s v="Completed"/>
    <s v="Mumbai"/>
    <x v="0"/>
    <s v="SMB"/>
    <n v="65"/>
    <x v="0"/>
  </r>
  <r>
    <s v="ORD-01876"/>
    <x v="218"/>
    <s v="CUST-0028"/>
    <s v="PROD-018"/>
    <x v="6"/>
    <n v="5"/>
    <n v="3560"/>
    <n v="24"/>
    <n v="13528"/>
    <s v="Completed"/>
    <s v="Bengaluru"/>
    <x v="0"/>
    <s v="Retail"/>
    <n v="59"/>
    <x v="2"/>
  </r>
  <r>
    <s v="ORD-01877"/>
    <x v="53"/>
    <s v="CUST-0111"/>
    <s v="PROD-033"/>
    <x v="13"/>
    <n v="6"/>
    <n v="2030"/>
    <n v="20.5"/>
    <n v="9683.1"/>
    <s v="Completed"/>
    <s v="Chennai"/>
    <x v="3"/>
    <s v="SMB"/>
    <n v="64"/>
    <x v="3"/>
  </r>
  <r>
    <s v="ORD-01878"/>
    <x v="116"/>
    <s v="CUST-0240"/>
    <s v="PROD-010"/>
    <x v="26"/>
    <n v="5"/>
    <n v="2640"/>
    <n v="21.3"/>
    <n v="10388.4"/>
    <s v="Pending"/>
    <s v="Chennai"/>
    <x v="4"/>
    <s v="Corporate"/>
    <n v="35"/>
    <x v="3"/>
  </r>
  <r>
    <s v="ORD-01879"/>
    <x v="98"/>
    <s v="CUST-0222"/>
    <s v="PROD-022"/>
    <x v="25"/>
    <n v="4"/>
    <n v="2270"/>
    <n v="15.8"/>
    <n v="7645.36"/>
    <s v="Completed"/>
    <s v="Chennai"/>
    <x v="2"/>
    <s v="Retail"/>
    <n v="37"/>
    <x v="0"/>
  </r>
  <r>
    <s v="ORD-01880"/>
    <x v="276"/>
    <s v="CUST-0251"/>
    <s v="PROD-032"/>
    <x v="25"/>
    <n v="1"/>
    <n v="370"/>
    <n v="27"/>
    <n v="270.10000000000002"/>
    <s v="Pending"/>
    <s v="Mumbai"/>
    <x v="3"/>
    <s v="Retail"/>
    <n v="44"/>
    <x v="0"/>
  </r>
  <r>
    <s v="ORD-01881"/>
    <x v="250"/>
    <s v="CUST-0203"/>
    <s v="PROD-048"/>
    <x v="21"/>
    <n v="9"/>
    <n v="5100"/>
    <n v="2.4"/>
    <n v="44798.400000000001"/>
    <s v="Completed"/>
    <s v="Chennai"/>
    <x v="5"/>
    <s v="SMB"/>
    <n v="55"/>
    <x v="3"/>
  </r>
  <r>
    <s v="ORD-01882"/>
    <x v="94"/>
    <s v="CUST-0285"/>
    <s v="PROD-032"/>
    <x v="12"/>
    <n v="6"/>
    <n v="370"/>
    <n v="18.7"/>
    <n v="1804.86"/>
    <s v="Cancelled"/>
    <s v="Hyderabad"/>
    <x v="3"/>
    <s v="Retail"/>
    <n v="22"/>
    <x v="3"/>
  </r>
  <r>
    <s v="ORD-01883"/>
    <x v="57"/>
    <s v="CUST-0135"/>
    <s v="PROD-030"/>
    <x v="10"/>
    <n v="6"/>
    <n v="970"/>
    <n v="21.6"/>
    <n v="4562.88"/>
    <s v="Completed"/>
    <s v="Pune"/>
    <x v="2"/>
    <s v="SMB"/>
    <n v="24"/>
    <x v="0"/>
  </r>
  <r>
    <s v="ORD-01884"/>
    <x v="81"/>
    <s v="CUST-9967"/>
    <s v="PROD-029"/>
    <x v="20"/>
    <n v="3"/>
    <n v="2210"/>
    <n v="8.5"/>
    <n v="6066.45"/>
    <s v="Completed"/>
    <s v="Delhi"/>
    <x v="2"/>
    <e v="#N/A"/>
    <e v="#N/A"/>
    <x v="2"/>
  </r>
  <r>
    <s v="ORD-01885"/>
    <x v="136"/>
    <s v="CUST-0096"/>
    <s v="PROD-044"/>
    <x v="25"/>
    <n v="1"/>
    <n v="1650"/>
    <n v="19.7"/>
    <n v="1324.95"/>
    <s v="Completed"/>
    <s v="Delhi"/>
    <x v="5"/>
    <s v="Corporate"/>
    <n v="27"/>
    <x v="0"/>
  </r>
  <r>
    <s v="ORD-01886"/>
    <x v="178"/>
    <s v="CUST-0266"/>
    <s v="PROD-056"/>
    <x v="11"/>
    <n v="5"/>
    <n v="6940"/>
    <n v="7.7"/>
    <n v="32028.1"/>
    <s v="Completed"/>
    <s v="Pune"/>
    <x v="1"/>
    <s v="Retail"/>
    <n v="65"/>
    <x v="0"/>
  </r>
  <r>
    <s v="ORD-01887"/>
    <x v="40"/>
    <s v="CUST-0059"/>
    <s v="PROD-029"/>
    <x v="24"/>
    <n v="2"/>
    <n v="2210"/>
    <n v="5.6"/>
    <n v="4172.4799999999996"/>
    <s v="Cancelled"/>
    <s v="Pune"/>
    <x v="2"/>
    <s v="Corporate"/>
    <n v="29"/>
    <x v="3"/>
  </r>
  <r>
    <s v="ORD-01888"/>
    <x v="82"/>
    <s v="CUST-0094"/>
    <s v="PROD-002"/>
    <x v="2"/>
    <n v="9"/>
    <n v="2600"/>
    <n v="3.1"/>
    <n v="22674.6"/>
    <s v="Completed"/>
    <s v="Pune"/>
    <x v="4"/>
    <s v="SMB"/>
    <n v="60"/>
    <x v="1"/>
  </r>
  <r>
    <s v="ORD-01889"/>
    <x v="315"/>
    <s v="CUST-0254"/>
    <s v="PROD-059"/>
    <x v="11"/>
    <n v="7"/>
    <n v="3780"/>
    <n v="13.3"/>
    <n v="22940.82"/>
    <s v="Completed"/>
    <s v="Bengaluru"/>
    <x v="1"/>
    <s v="Retail"/>
    <n v="35"/>
    <x v="0"/>
  </r>
  <r>
    <s v="ORD-01890"/>
    <x v="356"/>
    <s v="CUST-0022"/>
    <s v="PROD-058"/>
    <x v="22"/>
    <n v="4"/>
    <n v="2400"/>
    <n v="16.600000000000001"/>
    <n v="8006.4"/>
    <s v="Pending"/>
    <s v="Bengaluru"/>
    <x v="1"/>
    <s v="Corporate"/>
    <n v="55"/>
    <x v="1"/>
  </r>
  <r>
    <s v="ORD-01891"/>
    <x v="348"/>
    <s v="CUST-0168"/>
    <s v="PROD-005"/>
    <x v="1"/>
    <n v="10"/>
    <n v="300"/>
    <n v="23.9"/>
    <n v="2283"/>
    <s v="Completed"/>
    <s v="Pune"/>
    <x v="4"/>
    <s v="Retail"/>
    <n v="25"/>
    <x v="0"/>
  </r>
  <r>
    <s v="ORD-01892"/>
    <x v="93"/>
    <s v="CUST-0175"/>
    <s v="PROD-028"/>
    <x v="9"/>
    <n v="1"/>
    <n v="3660"/>
    <n v="1.5"/>
    <n v="3605.1"/>
    <s v="Pending"/>
    <s v="Delhi"/>
    <x v="2"/>
    <s v="Corporate"/>
    <n v="55"/>
    <x v="1"/>
  </r>
  <r>
    <s v="ORD-01893"/>
    <x v="166"/>
    <s v="CUST-0193"/>
    <s v="PROD-051"/>
    <x v="23"/>
    <n v="9"/>
    <n v="3450"/>
    <n v="21.8"/>
    <n v="24281.1"/>
    <s v="Completed"/>
    <s v="Bengaluru"/>
    <x v="1"/>
    <s v="Retail"/>
    <n v="42"/>
    <x v="1"/>
  </r>
  <r>
    <s v="ORD-01894"/>
    <x v="306"/>
    <s v="CUST-0284"/>
    <s v="PROD-011"/>
    <x v="0"/>
    <n v="10"/>
    <n v="3450"/>
    <n v="15.7"/>
    <n v="29083.5"/>
    <s v="Cancelled"/>
    <s v="Hyderabad"/>
    <x v="0"/>
    <s v="SMB"/>
    <n v="65"/>
    <x v="0"/>
  </r>
  <r>
    <s v="ORD-01895"/>
    <x v="249"/>
    <s v="CUST-0071"/>
    <s v="PROD-026"/>
    <x v="4"/>
    <n v="2"/>
    <n v="4070"/>
    <n v="10.8"/>
    <n v="7260.88"/>
    <s v="Completed"/>
    <s v="Delhi"/>
    <x v="2"/>
    <s v="Corporate"/>
    <n v="46"/>
    <x v="0"/>
  </r>
  <r>
    <s v="ORD-01896"/>
    <x v="332"/>
    <s v="CUST-0102"/>
    <s v="PROD-059"/>
    <x v="12"/>
    <n v="4"/>
    <n v="3780"/>
    <n v="17.100000000000001"/>
    <n v="12534.48"/>
    <s v="Completed"/>
    <s v="Chennai"/>
    <x v="1"/>
    <s v="SMB"/>
    <n v="62"/>
    <x v="3"/>
  </r>
  <r>
    <s v="ORD-01897"/>
    <x v="81"/>
    <s v="CUST-0036"/>
    <s v="PROD-021"/>
    <x v="10"/>
    <n v="1"/>
    <n v="2760"/>
    <n v="2.5"/>
    <n v="2691"/>
    <s v="Cancelled"/>
    <s v="Mumbai"/>
    <x v="2"/>
    <s v="Retail"/>
    <n v="35"/>
    <x v="0"/>
  </r>
  <r>
    <s v="ORD-01898"/>
    <x v="293"/>
    <s v="CUST-0273"/>
    <s v="PROD-046"/>
    <x v="14"/>
    <n v="2"/>
    <n v="4880"/>
    <n v="11"/>
    <n v="8686.4"/>
    <s v="Completed"/>
    <s v="Hyderabad"/>
    <x v="5"/>
    <s v="Corporate"/>
    <n v="32"/>
    <x v="2"/>
  </r>
  <r>
    <s v="ORD-01899"/>
    <x v="228"/>
    <s v="CUST-0262"/>
    <s v="PROD-023"/>
    <x v="24"/>
    <n v="10"/>
    <n v="2380"/>
    <n v="28.3"/>
    <n v="17064.599999999999"/>
    <s v="Completed"/>
    <s v="Mumbai"/>
    <x v="2"/>
    <s v="Retail"/>
    <n v="52"/>
    <x v="3"/>
  </r>
  <r>
    <s v="ORD-01900"/>
    <x v="121"/>
    <s v="CUST-0083"/>
    <s v="PROD-042"/>
    <x v="11"/>
    <n v="3"/>
    <n v="2290"/>
    <n v="11.1"/>
    <n v="6107.43"/>
    <s v="Cancelled"/>
    <s v="Bengaluru"/>
    <x v="5"/>
    <s v="Corporate"/>
    <n v="31"/>
    <x v="0"/>
  </r>
  <r>
    <s v="ORD-01901"/>
    <x v="53"/>
    <s v="CUST-0273"/>
    <s v="PROD-021"/>
    <x v="10"/>
    <n v="6"/>
    <n v="2760"/>
    <n v="16.5"/>
    <n v="13827.6"/>
    <s v="Completed"/>
    <s v="Hyderabad"/>
    <x v="2"/>
    <s v="Corporate"/>
    <n v="32"/>
    <x v="0"/>
  </r>
  <r>
    <s v="ORD-01902"/>
    <x v="271"/>
    <s v="CUST-0047"/>
    <s v="PROD-025"/>
    <x v="28"/>
    <n v="5"/>
    <n v="4060"/>
    <n v="22.5"/>
    <n v="15732.5"/>
    <s v="Completed"/>
    <s v="Pune"/>
    <x v="2"/>
    <s v="Retail"/>
    <n v="49"/>
    <x v="2"/>
  </r>
  <r>
    <s v="ORD-01903"/>
    <x v="27"/>
    <s v="CUST-0084"/>
    <s v="PROD-010"/>
    <x v="3"/>
    <n v="8"/>
    <n v="2640"/>
    <n v="11.8"/>
    <n v="18627.84"/>
    <s v="Completed"/>
    <s v="Chennai"/>
    <x v="4"/>
    <s v="Retail"/>
    <n v="28"/>
    <x v="0"/>
  </r>
  <r>
    <s v="ORD-01904"/>
    <x v="119"/>
    <s v="CUST-0093"/>
    <s v="PROD-039"/>
    <x v="1"/>
    <n v="2"/>
    <n v="4610"/>
    <n v="10.4"/>
    <n v="8261.1200000000008"/>
    <s v="Pending"/>
    <s v="Pune"/>
    <x v="3"/>
    <s v="Retail"/>
    <n v="36"/>
    <x v="0"/>
  </r>
  <r>
    <s v="ORD-01905"/>
    <x v="266"/>
    <s v="CUST-0282"/>
    <s v="PROD-029"/>
    <x v="8"/>
    <n v="6"/>
    <n v="2210"/>
    <n v="22.5"/>
    <n v="10276.5"/>
    <s v="Cancelled"/>
    <s v="Hyderabad"/>
    <x v="2"/>
    <s v="Corporate"/>
    <n v="29"/>
    <x v="2"/>
  </r>
  <r>
    <s v="ORD-01906"/>
    <x v="103"/>
    <s v="CUST-0246"/>
    <s v="PROD-029"/>
    <x v="23"/>
    <n v="4"/>
    <n v="2210"/>
    <n v="21.5"/>
    <n v="6939.4"/>
    <s v="Pending"/>
    <s v="Delhi"/>
    <x v="2"/>
    <s v="SMB"/>
    <n v="29"/>
    <x v="1"/>
  </r>
  <r>
    <s v="ORD-01907"/>
    <x v="169"/>
    <s v="CUST-0243"/>
    <s v="PROD-035"/>
    <x v="22"/>
    <n v="6"/>
    <n v="1090"/>
    <n v="28.3"/>
    <n v="4689.18"/>
    <s v="Completed"/>
    <s v="Pune"/>
    <x v="3"/>
    <s v="SMB"/>
    <n v="44"/>
    <x v="1"/>
  </r>
  <r>
    <s v="ORD-01908"/>
    <x v="327"/>
    <s v="CUST-0298"/>
    <s v="PROD-032"/>
    <x v="11"/>
    <n v="9"/>
    <n v="370"/>
    <n v="13.8"/>
    <n v="2870.46"/>
    <s v="Completed"/>
    <s v="Delhi"/>
    <x v="3"/>
    <s v="Retail"/>
    <n v="44"/>
    <x v="0"/>
  </r>
  <r>
    <s v="ORD-01909"/>
    <x v="122"/>
    <s v="CUST-0124"/>
    <s v="PROD-003"/>
    <x v="5"/>
    <n v="10"/>
    <n v="3570"/>
    <n v="3"/>
    <n v="34629"/>
    <s v="Cancelled"/>
    <s v="Pune"/>
    <x v="4"/>
    <s v="Retail"/>
    <n v="57"/>
    <x v="2"/>
  </r>
  <r>
    <s v="ORD-01910"/>
    <x v="89"/>
    <s v="CUST-0070"/>
    <s v="PROD-036"/>
    <x v="29"/>
    <n v="10"/>
    <n v="3250"/>
    <n v="20.3"/>
    <n v="25902.5"/>
    <s v="Completed"/>
    <s v="Mumbai"/>
    <x v="3"/>
    <s v="Retail"/>
    <n v="42"/>
    <x v="1"/>
  </r>
  <r>
    <s v="ORD-01911"/>
    <x v="295"/>
    <s v="CUST-0054"/>
    <s v="PROD-036"/>
    <x v="8"/>
    <n v="6"/>
    <n v="3250"/>
    <n v="25.8"/>
    <n v="14469"/>
    <s v="Pending"/>
    <s v="Mumbai"/>
    <x v="3"/>
    <s v="Corporate"/>
    <n v="62"/>
    <x v="2"/>
  </r>
  <r>
    <s v="ORD-01912"/>
    <x v="294"/>
    <s v="CUST-0208"/>
    <s v="PROD-057"/>
    <x v="6"/>
    <n v="9"/>
    <n v="960"/>
    <n v="29"/>
    <n v="6134.4"/>
    <s v="Completed"/>
    <s v="Mumbai"/>
    <x v="1"/>
    <s v="Retail"/>
    <n v="49"/>
    <x v="2"/>
  </r>
  <r>
    <s v="ORD-01913"/>
    <x v="275"/>
    <s v="CUST-0181"/>
    <s v="PROD-050"/>
    <x v="15"/>
    <n v="9"/>
    <n v="6080"/>
    <n v="21"/>
    <n v="43228.800000000003"/>
    <s v="Completed"/>
    <s v="Delhi"/>
    <x v="5"/>
    <s v="SMB"/>
    <n v="38"/>
    <x v="1"/>
  </r>
  <r>
    <s v="ORD-01914"/>
    <x v="250"/>
    <s v="CUST-0259"/>
    <s v="PROD-039"/>
    <x v="16"/>
    <n v="6"/>
    <n v="4610"/>
    <n v="13.5"/>
    <n v="23925.9"/>
    <s v="Completed"/>
    <s v="Mumbai"/>
    <x v="3"/>
    <s v="Retail"/>
    <n v="34"/>
    <x v="3"/>
  </r>
  <r>
    <s v="ORD-01915"/>
    <x v="225"/>
    <s v="CUST-0277"/>
    <s v="PROD-034"/>
    <x v="13"/>
    <n v="7"/>
    <n v="5080"/>
    <n v="25.4"/>
    <n v="26527.759999999998"/>
    <s v="Completed"/>
    <s v="Chennai"/>
    <x v="3"/>
    <s v="Corporate"/>
    <n v="34"/>
    <x v="3"/>
  </r>
  <r>
    <s v="ORD-01916"/>
    <x v="269"/>
    <s v="CUST-0173"/>
    <s v="PROD-043"/>
    <x v="21"/>
    <n v="5"/>
    <n v="3350"/>
    <n v="2.2000000000000002"/>
    <n v="16381.5"/>
    <s v="Completed"/>
    <s v="Mumbai"/>
    <x v="5"/>
    <s v="Retail"/>
    <n v="65"/>
    <x v="3"/>
  </r>
  <r>
    <s v="ORD-01917"/>
    <x v="77"/>
    <s v="CUST-0091"/>
    <s v="PROD-027"/>
    <x v="2"/>
    <n v="1"/>
    <n v="3780"/>
    <n v="13.7"/>
    <n v="3262.14"/>
    <s v="Completed"/>
    <s v="Delhi"/>
    <x v="2"/>
    <s v="Retail"/>
    <n v="55"/>
    <x v="1"/>
  </r>
  <r>
    <s v="ORD-01918"/>
    <x v="279"/>
    <s v="CUST-0142"/>
    <s v="PROD-046"/>
    <x v="16"/>
    <n v="4"/>
    <n v="4880"/>
    <n v="11.6"/>
    <n v="17255.68"/>
    <s v="Completed"/>
    <s v="Chennai"/>
    <x v="5"/>
    <s v="Corporate"/>
    <n v="55"/>
    <x v="3"/>
  </r>
  <r>
    <s v="ORD-01919"/>
    <x v="217"/>
    <s v="CUST-0011"/>
    <s v="PROD-048"/>
    <x v="20"/>
    <n v="3"/>
    <n v="5100"/>
    <n v="24.2"/>
    <n v="11597.4"/>
    <s v="Completed"/>
    <s v=" Chennai "/>
    <x v="5"/>
    <s v="Corporate"/>
    <n v="41"/>
    <x v="2"/>
  </r>
  <r>
    <s v="ORD-01920"/>
    <x v="287"/>
    <s v="CUST-0074"/>
    <s v="PROD-008"/>
    <x v="12"/>
    <n v="5"/>
    <n v="2660"/>
    <n v="4.7"/>
    <n v="12674.9"/>
    <s v="Completed"/>
    <s v="Bengaluru"/>
    <x v="4"/>
    <s v="Retail"/>
    <n v="27"/>
    <x v="3"/>
  </r>
  <r>
    <s v="ORD-01921"/>
    <x v="328"/>
    <s v="CUST-0131"/>
    <s v="PROD-023"/>
    <x v="21"/>
    <n v="10"/>
    <n v="2380"/>
    <n v="1"/>
    <n v="23562"/>
    <s v="Completed"/>
    <s v="Delhi"/>
    <x v="2"/>
    <s v="SMB"/>
    <n v="28"/>
    <x v="3"/>
  </r>
  <r>
    <s v="ORD-01922"/>
    <x v="223"/>
    <s v="CUST-0093"/>
    <s v="PROD-046"/>
    <x v="25"/>
    <n v="9"/>
    <n v="4880"/>
    <n v="7.2"/>
    <n v="40757.760000000002"/>
    <s v="Completed"/>
    <s v="Pune"/>
    <x v="5"/>
    <s v="Retail"/>
    <n v="36"/>
    <x v="0"/>
  </r>
  <r>
    <s v="ORD-01923"/>
    <x v="91"/>
    <s v="CUST-0229"/>
    <s v="PROD-031"/>
    <x v="2"/>
    <n v="1"/>
    <n v="3730"/>
    <n v="15.3"/>
    <n v="3159.31"/>
    <s v="Completed"/>
    <s v="Hyderabad"/>
    <x v="3"/>
    <s v="SMB"/>
    <n v="25"/>
    <x v="1"/>
  </r>
  <r>
    <s v="ORD-01924"/>
    <x v="33"/>
    <s v="CUST-0293"/>
    <s v="PROD-059"/>
    <x v="11"/>
    <n v="10"/>
    <n v="3780"/>
    <n v="2.7"/>
    <n v="36779.4"/>
    <s v="Completed"/>
    <s v="Bengaluru"/>
    <x v="1"/>
    <s v="Retail"/>
    <n v="27"/>
    <x v="0"/>
  </r>
  <r>
    <s v="ORD-01925"/>
    <x v="257"/>
    <s v="CUST-0105"/>
    <s v="PROD-014"/>
    <x v="12"/>
    <n v="2"/>
    <n v="3620"/>
    <n v="23"/>
    <n v="5574.8"/>
    <s v="Completed"/>
    <s v="Chennai"/>
    <x v="0"/>
    <s v="SMB"/>
    <n v="51"/>
    <x v="3"/>
  </r>
  <r>
    <s v="ORD-01926"/>
    <x v="355"/>
    <s v="CUST-0003"/>
    <s v="PROD-034"/>
    <x v="13"/>
    <n v="9"/>
    <n v="5080"/>
    <n v="19.899999999999999"/>
    <n v="36621.72"/>
    <s v="Completed"/>
    <s v="Mumbai"/>
    <x v="3"/>
    <s v="Retail"/>
    <n v="33"/>
    <x v="3"/>
  </r>
  <r>
    <s v="ORD-01927"/>
    <x v="230"/>
    <s v="CUST-0092"/>
    <s v="PROD-018"/>
    <x v="6"/>
    <n v="2"/>
    <n v="3560"/>
    <n v="5.5"/>
    <n v="6728.4"/>
    <s v="Completed"/>
    <s v="Bengaluru"/>
    <x v="0"/>
    <s v="SMB"/>
    <n v="28"/>
    <x v="2"/>
  </r>
  <r>
    <s v="ORD-01928"/>
    <x v="134"/>
    <s v="CUST-0050"/>
    <s v="PROD-030"/>
    <x v="19"/>
    <n v="6"/>
    <n v="970"/>
    <n v="22.5"/>
    <n v="4510.5"/>
    <s v="Refunded"/>
    <s v="Mumbai"/>
    <x v="2"/>
    <s v="Retail"/>
    <n v="37"/>
    <x v="0"/>
  </r>
  <r>
    <s v="ORD-01929"/>
    <x v="181"/>
    <s v="CUST-0237"/>
    <s v="PROD-043"/>
    <x v="2"/>
    <n v="9"/>
    <n v="3350"/>
    <n v="5.0999999999999996"/>
    <n v="28612.35"/>
    <s v="Completed"/>
    <s v="Mumbai"/>
    <x v="5"/>
    <s v="Retail"/>
    <n v="49"/>
    <x v="1"/>
  </r>
  <r>
    <s v="ORD-01930"/>
    <x v="283"/>
    <s v="CUST-9905"/>
    <s v="PROD-032"/>
    <x v="23"/>
    <n v="6"/>
    <n v="370"/>
    <n v="17.8"/>
    <n v="1824.84"/>
    <s v="Completed"/>
    <s v="Mumbai"/>
    <x v="3"/>
    <e v="#N/A"/>
    <e v="#N/A"/>
    <x v="1"/>
  </r>
  <r>
    <s v="ORD-01931"/>
    <x v="13"/>
    <s v="CUST-0175"/>
    <s v="PROD-024"/>
    <x v="23"/>
    <n v="3"/>
    <n v="2270"/>
    <n v="8.4"/>
    <n v="6237.96"/>
    <s v="Pending"/>
    <s v="Delhi"/>
    <x v="2"/>
    <s v="Corporate"/>
    <n v="55"/>
    <x v="1"/>
  </r>
  <r>
    <s v="ORD-01932"/>
    <x v="364"/>
    <s v="CUST-0271"/>
    <s v="PROD-051"/>
    <x v="13"/>
    <n v="3"/>
    <n v="3450"/>
    <n v="7.2"/>
    <n v="9604.7999999999993"/>
    <s v="Completed"/>
    <s v="Bengaluru"/>
    <x v="1"/>
    <s v="Corporate"/>
    <n v="41"/>
    <x v="3"/>
  </r>
  <r>
    <s v="ORD-01933"/>
    <x v="142"/>
    <s v="CUST-0129"/>
    <s v="PROD-054"/>
    <x v="4"/>
    <n v="9"/>
    <n v="1010"/>
    <n v="17.8"/>
    <n v="7471.98"/>
    <s v="Completed"/>
    <s v="Hyderabad"/>
    <x v="1"/>
    <s v="Retail"/>
    <n v="29"/>
    <x v="0"/>
  </r>
  <r>
    <s v="ORD-01934"/>
    <x v="41"/>
    <s v="CUST-0156"/>
    <s v="PROD-039"/>
    <x v="11"/>
    <n v="5"/>
    <n v="4610"/>
    <n v="29.8"/>
    <n v="16181.1"/>
    <s v="Cancelled"/>
    <s v="Mumbai"/>
    <x v="3"/>
    <s v="Retail"/>
    <n v="33"/>
    <x v="0"/>
  </r>
  <r>
    <s v="ORD-01935"/>
    <x v="255"/>
    <s v="CUST-0048"/>
    <s v="PROD-032"/>
    <x v="11"/>
    <n v="6"/>
    <n v="370"/>
    <n v="17.899999999999999"/>
    <n v="1822.62"/>
    <s v="Completed"/>
    <s v="Delhi"/>
    <x v="3"/>
    <s v="Retail"/>
    <n v="59"/>
    <x v="0"/>
  </r>
  <r>
    <s v="ORD-01936"/>
    <x v="279"/>
    <s v="CUST-0224"/>
    <s v="PROD-023"/>
    <x v="17"/>
    <n v="6"/>
    <n v="2380"/>
    <n v="13.6"/>
    <n v="12337.92"/>
    <s v="Cancelled"/>
    <s v="Chennai"/>
    <x v="2"/>
    <s v="Corporate"/>
    <n v="24"/>
    <x v="2"/>
  </r>
  <r>
    <s v="ORD-01937"/>
    <x v="229"/>
    <s v="CUST-0101"/>
    <s v="PROD-049"/>
    <x v="12"/>
    <n v="6"/>
    <n v="960"/>
    <n v="15"/>
    <n v="4896"/>
    <s v="Pending"/>
    <s v="Hyderabad"/>
    <x v="5"/>
    <s v="SMB"/>
    <n v="40"/>
    <x v="3"/>
  </r>
  <r>
    <s v="ORD-01938"/>
    <x v="124"/>
    <s v="CUST-0269"/>
    <s v="PROD-057"/>
    <x v="25"/>
    <n v="3"/>
    <n v="960"/>
    <n v="12.3"/>
    <n v="2525.7600000000002"/>
    <s v="Completed"/>
    <s v="Pune"/>
    <x v="1"/>
    <s v="Retail"/>
    <n v="48"/>
    <x v="0"/>
  </r>
  <r>
    <s v="ORD-01939"/>
    <x v="3"/>
    <s v="CUST-0097"/>
    <s v="PROD-016"/>
    <x v="20"/>
    <n v="7"/>
    <n v="620"/>
    <n v="5.8"/>
    <n v="4088.28"/>
    <s v="Completed"/>
    <s v="Mumbai"/>
    <x v="0"/>
    <s v="Retail"/>
    <n v="65"/>
    <x v="2"/>
  </r>
  <r>
    <s v="ORD-01940"/>
    <x v="299"/>
    <s v="CUST-0062"/>
    <s v="PROD-057"/>
    <x v="16"/>
    <n v="1"/>
    <n v="960"/>
    <n v="4.5999999999999996"/>
    <n v="915.84"/>
    <s v="Completed"/>
    <s v="Pune"/>
    <x v="1"/>
    <s v="Retail"/>
    <n v="54"/>
    <x v="3"/>
  </r>
  <r>
    <s v="ORD-01941"/>
    <x v="226"/>
    <s v="CUST-0124"/>
    <s v="PROD-047"/>
    <x v="8"/>
    <n v="4"/>
    <n v="3450"/>
    <n v="13.3"/>
    <n v="11964.6"/>
    <s v="Completed"/>
    <s v="Pune"/>
    <x v="5"/>
    <s v="Retail"/>
    <n v="57"/>
    <x v="2"/>
  </r>
  <r>
    <s v="ORD-01942"/>
    <x v="17"/>
    <s v="CUST-0185"/>
    <s v="PROD-015"/>
    <x v="7"/>
    <n v="10"/>
    <n v="2720"/>
    <n v="3.4"/>
    <n v="26275.200000000001"/>
    <s v="Completed"/>
    <s v="Hyderabad"/>
    <x v="0"/>
    <s v="SMB"/>
    <n v="43"/>
    <x v="3"/>
  </r>
  <r>
    <s v="ORD-01943"/>
    <x v="358"/>
    <s v="CUST-0115"/>
    <s v="PROD-047"/>
    <x v="7"/>
    <n v="1"/>
    <n v="3450"/>
    <n v="29.4"/>
    <n v="2435.6999999999998"/>
    <s v="Completed"/>
    <s v="Mumbai"/>
    <x v="5"/>
    <s v="SMB"/>
    <n v="65"/>
    <x v="3"/>
  </r>
  <r>
    <s v="ORD-01944"/>
    <x v="201"/>
    <s v="CUST-0097"/>
    <s v="PROD-044"/>
    <x v="6"/>
    <n v="5"/>
    <n v="1650"/>
    <n v="29.4"/>
    <n v="5824.5"/>
    <s v="Completed"/>
    <s v="Mumbai"/>
    <x v="5"/>
    <s v="Retail"/>
    <n v="65"/>
    <x v="2"/>
  </r>
  <r>
    <s v="ORD-01945"/>
    <x v="167"/>
    <s v="CUST-0221"/>
    <s v="PROD-014"/>
    <x v="18"/>
    <n v="2"/>
    <n v="3620"/>
    <n v="15.6"/>
    <n v="6110.56"/>
    <s v="Completed"/>
    <s v="Delhi"/>
    <x v="0"/>
    <s v="SMB"/>
    <n v="29"/>
    <x v="1"/>
  </r>
  <r>
    <s v="ORD-01946"/>
    <x v="95"/>
    <s v="CUST-0098"/>
    <s v="PROD-005"/>
    <x v="27"/>
    <n v="3"/>
    <n v="300"/>
    <n v="24.8"/>
    <n v="676.8"/>
    <s v="Completed"/>
    <s v="Delhi"/>
    <x v="4"/>
    <s v="Retail"/>
    <n v="52"/>
    <x v="1"/>
  </r>
  <r>
    <s v="ORD-01947"/>
    <x v="200"/>
    <s v="CUST-0203"/>
    <s v="PROD-041"/>
    <x v="19"/>
    <n v="3"/>
    <n v="1540"/>
    <n v="29.5"/>
    <n v="3257.1"/>
    <s v="Completed"/>
    <s v="Chennai"/>
    <x v="5"/>
    <s v="SMB"/>
    <n v="55"/>
    <x v="0"/>
  </r>
  <r>
    <s v="ORD-01948"/>
    <x v="317"/>
    <s v="CUST-0074"/>
    <s v="PROD-024"/>
    <x v="7"/>
    <n v="10"/>
    <n v="2270"/>
    <n v="5.5"/>
    <n v="21451.5"/>
    <s v="Cancelled"/>
    <s v="Bengaluru"/>
    <x v="2"/>
    <s v="Retail"/>
    <n v="27"/>
    <x v="3"/>
  </r>
  <r>
    <s v="ORD-01949"/>
    <x v="154"/>
    <s v="CUST-0217"/>
    <s v="PROD-010"/>
    <x v="4"/>
    <n v="3"/>
    <n v="2640"/>
    <n v="28.2"/>
    <n v="5686.56"/>
    <s v="Refunded"/>
    <s v="Pune"/>
    <x v="4"/>
    <s v="SMB"/>
    <n v="59"/>
    <x v="0"/>
  </r>
  <r>
    <s v="ORD-01950"/>
    <x v="11"/>
    <s v="CUST-0021"/>
    <s v="PROD-010"/>
    <x v="15"/>
    <n v="10"/>
    <n v="2640"/>
    <n v="25.9"/>
    <n v="19562.400000000001"/>
    <s v="Completed"/>
    <s v="Pune"/>
    <x v="4"/>
    <s v="Retail"/>
    <n v="44"/>
    <x v="1"/>
  </r>
  <r>
    <s v="ORD-01951"/>
    <x v="152"/>
    <s v="CUST-0004"/>
    <s v="PROD-007"/>
    <x v="14"/>
    <n v="2"/>
    <n v="1430"/>
    <n v="5"/>
    <n v="2717"/>
    <s v="Cancelled"/>
    <s v="Delhi"/>
    <x v="4"/>
    <s v="Retail"/>
    <n v="53"/>
    <x v="2"/>
  </r>
  <r>
    <s v="ORD-01952"/>
    <x v="221"/>
    <s v="CUST-0080"/>
    <s v="PROD-003"/>
    <x v="16"/>
    <n v="6"/>
    <n v="3570"/>
    <n v="28.5"/>
    <n v="15315.3"/>
    <s v="Cancelled"/>
    <s v="Pune"/>
    <x v="4"/>
    <s v="SMB"/>
    <n v="30"/>
    <x v="3"/>
  </r>
  <r>
    <s v="ORD-01953"/>
    <x v="328"/>
    <s v="CUST-0113"/>
    <s v="PROD-003"/>
    <x v="6"/>
    <n v="1"/>
    <n v="3570"/>
    <n v="7.7"/>
    <n v="3295.11"/>
    <s v="Completed"/>
    <s v="Delhi"/>
    <x v="4"/>
    <s v="Retail"/>
    <n v="30"/>
    <x v="2"/>
  </r>
  <r>
    <s v="ORD-01954"/>
    <x v="312"/>
    <s v="CUST-0023"/>
    <s v="PROD-004"/>
    <x v="14"/>
    <n v="9"/>
    <n v="3870"/>
    <n v="11.9"/>
    <n v="30685.23"/>
    <s v="Cancelled"/>
    <s v="Chennai"/>
    <x v="4"/>
    <s v="SMB"/>
    <n v="43"/>
    <x v="2"/>
  </r>
  <r>
    <s v="ORD-01955"/>
    <x v="50"/>
    <s v="CUST-0136"/>
    <s v="PROD-056"/>
    <x v="2"/>
    <n v="5"/>
    <n v="6940"/>
    <n v="17.399999999999999"/>
    <n v="28662.2"/>
    <s v="Completed"/>
    <s v="Chennai"/>
    <x v="1"/>
    <s v="SMB"/>
    <n v="26"/>
    <x v="1"/>
  </r>
  <r>
    <s v="ORD-01956"/>
    <x v="42"/>
    <s v="CUST-0031"/>
    <s v="PROD-032"/>
    <x v="17"/>
    <n v="6"/>
    <n v="370"/>
    <n v="8.1"/>
    <n v="2040.18"/>
    <s v="Cancelled"/>
    <s v="Hyderabad"/>
    <x v="3"/>
    <s v="Retail"/>
    <n v="53"/>
    <x v="2"/>
  </r>
  <r>
    <s v="ORD-01957"/>
    <x v="0"/>
    <s v="CUST-0175"/>
    <s v="PROD-018"/>
    <x v="28"/>
    <n v="8"/>
    <n v="3560"/>
    <n v="23.3"/>
    <n v="21844.16"/>
    <s v="Completed"/>
    <s v="Delhi"/>
    <x v="0"/>
    <s v="Corporate"/>
    <n v="55"/>
    <x v="2"/>
  </r>
  <r>
    <s v="ORD-01958"/>
    <x v="142"/>
    <s v="CUST-0249"/>
    <s v="PROD-009"/>
    <x v="8"/>
    <n v="4"/>
    <n v="1220"/>
    <n v="2.7"/>
    <n v="4748.24"/>
    <s v="Completed"/>
    <s v="Mumbai"/>
    <x v="4"/>
    <s v="Retail"/>
    <n v="44"/>
    <x v="2"/>
  </r>
  <r>
    <s v="ORD-01959"/>
    <x v="311"/>
    <s v="CUST-0138"/>
    <s v="PROD-026"/>
    <x v="16"/>
    <n v="10"/>
    <n v="4070"/>
    <n v="11.6"/>
    <n v="35978.800000000003"/>
    <s v="Completed"/>
    <s v="Chennai"/>
    <x v="2"/>
    <s v="Retail"/>
    <n v="24"/>
    <x v="3"/>
  </r>
  <r>
    <s v="ORD-01960"/>
    <x v="260"/>
    <s v="CUST-0290"/>
    <s v="PROD-028"/>
    <x v="7"/>
    <n v="10"/>
    <n v="3660"/>
    <n v="28.8"/>
    <n v="26059.200000000001"/>
    <s v="Completed"/>
    <s v="Delhi"/>
    <x v="2"/>
    <s v="Retail"/>
    <n v="63"/>
    <x v="3"/>
  </r>
  <r>
    <s v="ORD-01961"/>
    <x v="121"/>
    <s v="CUST-0151"/>
    <s v="PROD-034"/>
    <x v="26"/>
    <n v="5"/>
    <n v="5080"/>
    <n v="12.1"/>
    <n v="22326.6"/>
    <s v="Completed"/>
    <s v="Mumbai"/>
    <x v="3"/>
    <s v="Retail"/>
    <n v="53"/>
    <x v="3"/>
  </r>
  <r>
    <s v="ORD-01962"/>
    <x v="200"/>
    <s v="CUST-0290"/>
    <s v="PROD-039"/>
    <x v="22"/>
    <n v="10"/>
    <n v="4610"/>
    <n v="22.5"/>
    <n v="35727.5"/>
    <s v="Completed"/>
    <s v="Delhi"/>
    <x v="3"/>
    <s v="Retail"/>
    <n v="63"/>
    <x v="1"/>
  </r>
  <r>
    <s v="ORD-01963"/>
    <x v="58"/>
    <s v="CUST-0074"/>
    <s v="PROD-008"/>
    <x v="0"/>
    <n v="3"/>
    <n v="2660"/>
    <n v="15"/>
    <n v="6783"/>
    <s v="Completed"/>
    <s v="Bengaluru"/>
    <x v="4"/>
    <s v="Retail"/>
    <n v="27"/>
    <x v="0"/>
  </r>
  <r>
    <s v="ORD-01964"/>
    <x v="360"/>
    <s v="CUST-0295"/>
    <s v="PROD-012"/>
    <x v="3"/>
    <n v="5"/>
    <n v="3160"/>
    <n v="1.3"/>
    <n v="15594.6"/>
    <s v="Completed"/>
    <s v="Delhi"/>
    <x v="0"/>
    <s v="SMB"/>
    <n v="48"/>
    <x v="0"/>
  </r>
  <r>
    <s v="ORD-01965"/>
    <x v="354"/>
    <s v="CUST-0132"/>
    <s v="PROD-032"/>
    <x v="10"/>
    <n v="10"/>
    <n v="370"/>
    <n v="29"/>
    <n v="2627"/>
    <s v="Completed"/>
    <s v="Delhi"/>
    <x v="3"/>
    <s v="Retail"/>
    <n v="41"/>
    <x v="0"/>
  </r>
  <r>
    <s v="ORD-01966"/>
    <x v="243"/>
    <s v="CUST-0289"/>
    <s v="PROD-054"/>
    <x v="4"/>
    <n v="10"/>
    <n v="1010"/>
    <n v="14.1"/>
    <n v="8675.9"/>
    <s v="Refunded"/>
    <s v="Mumbai"/>
    <x v="1"/>
    <s v="Retail"/>
    <n v="54"/>
    <x v="0"/>
  </r>
  <r>
    <s v="ORD-01967"/>
    <x v="261"/>
    <s v="CUST-0139"/>
    <s v="PROD-018"/>
    <x v="14"/>
    <n v="3"/>
    <n v="3560"/>
    <n v="23.6"/>
    <n v="8159.52"/>
    <s v="Completed"/>
    <s v="Hyderabad"/>
    <x v="0"/>
    <s v="SMB"/>
    <n v="65"/>
    <x v="2"/>
  </r>
  <r>
    <s v="ORD-01968"/>
    <x v="1"/>
    <s v="CUST-0032"/>
    <s v="PROD-009"/>
    <x v="8"/>
    <n v="9"/>
    <n v="1220"/>
    <n v="16.600000000000001"/>
    <n v="9157.32"/>
    <s v="Completed"/>
    <s v="Hyderabad"/>
    <x v="4"/>
    <s v="Retail"/>
    <n v="28"/>
    <x v="2"/>
  </r>
  <r>
    <s v="ORD-01969"/>
    <x v="30"/>
    <s v="CUST-0109"/>
    <s v="PROD-060"/>
    <x v="4"/>
    <n v="8"/>
    <n v="190"/>
    <n v="22.3"/>
    <n v="1181.04"/>
    <s v="Completed"/>
    <s v="Pune"/>
    <x v="1"/>
    <s v="Retail"/>
    <n v="42"/>
    <x v="0"/>
  </r>
  <r>
    <s v="ORD-01970"/>
    <x v="290"/>
    <s v="CUST-0224"/>
    <s v="PROD-054"/>
    <x v="25"/>
    <n v="2"/>
    <n v="1010"/>
    <n v="3.8"/>
    <n v="1943.24"/>
    <s v="Completed"/>
    <s v="Chennai"/>
    <x v="1"/>
    <s v="Corporate"/>
    <n v="24"/>
    <x v="0"/>
  </r>
  <r>
    <s v="ORD-01971"/>
    <x v="96"/>
    <s v="CUST-0038"/>
    <s v="PROD-002"/>
    <x v="18"/>
    <n v="4"/>
    <n v="2600"/>
    <n v="29.1"/>
    <n v="7373.6"/>
    <s v="Completed"/>
    <s v="Mumbai"/>
    <x v="4"/>
    <s v="Retail"/>
    <n v="57"/>
    <x v="1"/>
  </r>
  <r>
    <s v="ORD-01972"/>
    <x v="25"/>
    <s v="CUST-0132"/>
    <s v="PROD-011"/>
    <x v="20"/>
    <n v="7"/>
    <n v="3450"/>
    <n v="4"/>
    <n v="23184"/>
    <s v="Completed"/>
    <s v="Delhi"/>
    <x v="0"/>
    <s v="Retail"/>
    <n v="41"/>
    <x v="2"/>
  </r>
  <r>
    <s v="ORD-01973"/>
    <x v="288"/>
    <s v="CUST-0226"/>
    <s v="PROD-017"/>
    <x v="7"/>
    <n v="6"/>
    <n v="2510"/>
    <n v="12.7"/>
    <n v="13147.38"/>
    <s v="Completed"/>
    <s v="Chennai"/>
    <x v="0"/>
    <s v="Corporate"/>
    <n v="52"/>
    <x v="3"/>
  </r>
  <r>
    <s v="ORD-01974"/>
    <x v="9"/>
    <s v="CUST-0275"/>
    <s v="PROD-060"/>
    <x v="28"/>
    <n v="6"/>
    <n v="190"/>
    <n v="20"/>
    <n v="912"/>
    <s v="Cancelled"/>
    <s v="Mumbai"/>
    <x v="1"/>
    <s v="Retail"/>
    <n v="36"/>
    <x v="2"/>
  </r>
  <r>
    <s v="ORD-01975"/>
    <x v="201"/>
    <s v="CUST-0109"/>
    <s v="PROD-044"/>
    <x v="20"/>
    <n v="10"/>
    <n v="1650"/>
    <n v="21.5"/>
    <n v="12952.5"/>
    <s v="Completed"/>
    <s v="Pune"/>
    <x v="5"/>
    <s v="Retail"/>
    <n v="42"/>
    <x v="2"/>
  </r>
  <r>
    <s v="ORD-01976"/>
    <x v="112"/>
    <s v="CUST-0281"/>
    <s v="PROD-055"/>
    <x v="18"/>
    <n v="4"/>
    <n v="2860"/>
    <n v="15.2"/>
    <n v="9701.1200000000008"/>
    <s v="Completed"/>
    <s v="Bengaluru"/>
    <x v="1"/>
    <s v="Corporate"/>
    <n v="57"/>
    <x v="1"/>
  </r>
  <r>
    <s v="ORD-01977"/>
    <x v="55"/>
    <s v="CUST-0174"/>
    <s v="PROD-053"/>
    <x v="8"/>
    <n v="3"/>
    <n v="470"/>
    <n v="14.2"/>
    <n v="1209.78"/>
    <s v="Completed"/>
    <s v="Pune"/>
    <x v="1"/>
    <s v="Retail"/>
    <n v="54"/>
    <x v="2"/>
  </r>
  <r>
    <s v="ORD-01978"/>
    <x v="277"/>
    <s v="CUST-0103"/>
    <s v="PROD-055"/>
    <x v="14"/>
    <n v="2"/>
    <n v="2860"/>
    <n v="17.899999999999999"/>
    <n v="4696.12"/>
    <s v="Completed"/>
    <s v="Hyderabad"/>
    <x v="1"/>
    <s v="Corporate"/>
    <n v="54"/>
    <x v="2"/>
  </r>
  <r>
    <s v="ORD-01979"/>
    <x v="192"/>
    <s v="CUST-0076"/>
    <s v="PROD-019"/>
    <x v="26"/>
    <n v="2"/>
    <n v="2480"/>
    <n v="11.5"/>
    <n v="4389.6000000000004"/>
    <s v="Cancelled"/>
    <s v="Mumbai"/>
    <x v="0"/>
    <s v="Retail"/>
    <n v="38"/>
    <x v="3"/>
  </r>
  <r>
    <s v="ORD-01980"/>
    <x v="208"/>
    <s v="CUST-0227"/>
    <s v="PROD-033"/>
    <x v="3"/>
    <n v="10"/>
    <n v="2030"/>
    <n v="29.2"/>
    <n v="14372.4"/>
    <s v="Completed"/>
    <s v="Bengaluru"/>
    <x v="3"/>
    <s v="SMB"/>
    <n v="44"/>
    <x v="0"/>
  </r>
  <r>
    <s v="ORD-01981"/>
    <x v="135"/>
    <s v="CUST-0006"/>
    <s v="PROD-047"/>
    <x v="27"/>
    <n v="6"/>
    <n v="3450"/>
    <n v="3.5"/>
    <n v="19975.5"/>
    <s v="Refunded"/>
    <s v="Pune"/>
    <x v="5"/>
    <s v="SMB"/>
    <n v="44"/>
    <x v="1"/>
  </r>
  <r>
    <s v="ORD-01982"/>
    <x v="320"/>
    <s v="CUST-0231"/>
    <s v="PROD-007"/>
    <x v="23"/>
    <n v="10"/>
    <n v="1430"/>
    <n v="3.5"/>
    <n v="13799.5"/>
    <s v="Completed"/>
    <s v="Chennai"/>
    <x v="4"/>
    <s v="Retail"/>
    <n v="61"/>
    <x v="1"/>
  </r>
  <r>
    <s v="ORD-01983"/>
    <x v="124"/>
    <s v="CUST-0085"/>
    <s v="PROD-020"/>
    <x v="21"/>
    <n v="1"/>
    <n v="820"/>
    <n v="14.5"/>
    <n v="701.1"/>
    <s v="Cancelled"/>
    <s v="Chennai"/>
    <x v="0"/>
    <s v="Retail"/>
    <n v="26"/>
    <x v="3"/>
  </r>
  <r>
    <s v="ORD-01984"/>
    <x v="144"/>
    <s v="CUST-0022"/>
    <s v="PROD-046"/>
    <x v="12"/>
    <n v="5"/>
    <n v="4880"/>
    <n v="1.8"/>
    <n v="23960.799999999999"/>
    <s v="Completed"/>
    <s v="Bengaluru"/>
    <x v="5"/>
    <s v="Corporate"/>
    <n v="55"/>
    <x v="3"/>
  </r>
  <r>
    <s v="ORD-01985"/>
    <x v="217"/>
    <s v="CUST-0275"/>
    <s v="PROD-043"/>
    <x v="29"/>
    <n v="8"/>
    <n v="3350"/>
    <n v="26.3"/>
    <n v="19751.599999999999"/>
    <s v="Cancelled"/>
    <s v="Mumbai"/>
    <x v="5"/>
    <s v="Retail"/>
    <n v="36"/>
    <x v="1"/>
  </r>
  <r>
    <s v="ORD-01986"/>
    <x v="129"/>
    <s v="CUST-0159"/>
    <s v="PROD-019"/>
    <x v="24"/>
    <n v="9"/>
    <n v="2480"/>
    <n v="24.3"/>
    <n v="16896.240000000002"/>
    <s v="Completed"/>
    <s v="Hyderabad"/>
    <x v="0"/>
    <s v="Retail"/>
    <n v="32"/>
    <x v="3"/>
  </r>
  <r>
    <s v="ORD-01987"/>
    <x v="66"/>
    <s v="CUST-0152"/>
    <s v="PROD-039"/>
    <x v="6"/>
    <n v="9"/>
    <n v="4610"/>
    <n v="10"/>
    <n v="37341"/>
    <s v="Completed"/>
    <s v="Bengaluru"/>
    <x v="3"/>
    <s v="SMB"/>
    <n v="64"/>
    <x v="2"/>
  </r>
  <r>
    <s v="ORD-01988"/>
    <x v="132"/>
    <s v="CUST-0289"/>
    <s v="PROD-027"/>
    <x v="10"/>
    <n v="1"/>
    <n v="3780"/>
    <n v="2.2000000000000002"/>
    <n v="3696.84"/>
    <s v="Completed"/>
    <s v="Mumbai"/>
    <x v="2"/>
    <s v="Retail"/>
    <n v="54"/>
    <x v="0"/>
  </r>
  <r>
    <s v="ORD-01989"/>
    <x v="24"/>
    <s v="CUST-0004"/>
    <s v="PROD-045"/>
    <x v="17"/>
    <n v="3"/>
    <n v="3020"/>
    <n v="21.4"/>
    <n v="7121.16"/>
    <s v="Cancelled"/>
    <s v="Delhi"/>
    <x v="5"/>
    <s v="Retail"/>
    <n v="53"/>
    <x v="2"/>
  </r>
  <r>
    <s v="ORD-01990"/>
    <x v="218"/>
    <s v="CUST-0159"/>
    <s v="PROD-035"/>
    <x v="3"/>
    <n v="10"/>
    <n v="1090"/>
    <n v="29.2"/>
    <n v="7717.2"/>
    <s v="Cancelled"/>
    <s v="Hyderabad"/>
    <x v="3"/>
    <s v="Retail"/>
    <n v="32"/>
    <x v="0"/>
  </r>
  <r>
    <s v="ORD-01991"/>
    <x v="48"/>
    <s v="CUST-0083"/>
    <s v="PROD-048"/>
    <x v="22"/>
    <n v="5"/>
    <n v="5100"/>
    <n v="28.4"/>
    <n v="18258"/>
    <s v="Completed"/>
    <s v="Bengaluru"/>
    <x v="5"/>
    <s v="Corporate"/>
    <n v="31"/>
    <x v="1"/>
  </r>
  <r>
    <s v="ORD-01992"/>
    <x v="279"/>
    <s v="CUST-0242"/>
    <s v="PROD-046"/>
    <x v="4"/>
    <n v="6"/>
    <n v="4880"/>
    <n v="16.8"/>
    <n v="24360.959999999999"/>
    <s v="Completed"/>
    <s v="Chennai"/>
    <x v="5"/>
    <s v="SMB"/>
    <n v="59"/>
    <x v="0"/>
  </r>
  <r>
    <s v="ORD-01993"/>
    <x v="310"/>
    <s v="CUST-0245"/>
    <s v="PROD-001"/>
    <x v="28"/>
    <n v="1"/>
    <n v="5330"/>
    <n v="27.5"/>
    <n v="3864.25"/>
    <s v="Completed"/>
    <s v="Hyderabad"/>
    <x v="4"/>
    <s v="Retail"/>
    <n v="65"/>
    <x v="2"/>
  </r>
  <r>
    <s v="ORD-01994"/>
    <x v="302"/>
    <s v="CUST-0008"/>
    <s v="PROD-033"/>
    <x v="20"/>
    <n v="7"/>
    <n v="2030"/>
    <n v="5.3"/>
    <n v="13456.87"/>
    <s v="Cancelled"/>
    <s v="Pune"/>
    <x v="3"/>
    <s v="SMB"/>
    <n v="39"/>
    <x v="2"/>
  </r>
  <r>
    <s v="ORD-01995"/>
    <x v="107"/>
    <s v="CUST-0260"/>
    <s v="PROD-043"/>
    <x v="6"/>
    <n v="7"/>
    <n v="3350"/>
    <n v="0.4"/>
    <n v="23356.2"/>
    <s v="Completed"/>
    <s v="Bengaluru"/>
    <x v="5"/>
    <s v="Retail"/>
    <n v="42"/>
    <x v="2"/>
  </r>
  <r>
    <s v="ORD-01996"/>
    <x v="346"/>
    <s v="CUST-0265"/>
    <s v="PROD-031"/>
    <x v="15"/>
    <n v="6"/>
    <n v="3730"/>
    <n v="13.8"/>
    <n v="19291.560000000001"/>
    <s v="Completed"/>
    <s v="Chennai"/>
    <x v="3"/>
    <s v="Retail"/>
    <n v="49"/>
    <x v="1"/>
  </r>
  <r>
    <s v="ORD-01997"/>
    <x v="65"/>
    <s v="CUST-0135"/>
    <s v="PROD-006"/>
    <x v="21"/>
    <n v="6"/>
    <n v="3970"/>
    <n v="5.8"/>
    <n v="22438.44"/>
    <s v="Pending"/>
    <s v="Pune"/>
    <x v="4"/>
    <s v="SMB"/>
    <n v="24"/>
    <x v="3"/>
  </r>
  <r>
    <s v="ORD-01998"/>
    <x v="95"/>
    <s v="CUST-0030"/>
    <s v="PROD-029"/>
    <x v="23"/>
    <n v="4"/>
    <n v="2210"/>
    <n v="18.2"/>
    <n v="7231.12"/>
    <s v="Pending"/>
    <s v="Bengaluru"/>
    <x v="2"/>
    <s v="Corporate"/>
    <n v="43"/>
    <x v="1"/>
  </r>
  <r>
    <s v="ORD-01999"/>
    <x v="43"/>
    <s v="CUST-0167"/>
    <s v="PROD-052"/>
    <x v="4"/>
    <n v="6"/>
    <n v="5410"/>
    <n v="15.5"/>
    <n v="27428.7"/>
    <s v="Completed"/>
    <s v="Delhi"/>
    <x v="1"/>
    <s v="Retail"/>
    <n v="43"/>
    <x v="0"/>
  </r>
  <r>
    <s v="ORD-02000"/>
    <x v="354"/>
    <s v="CUST-0238"/>
    <s v="PROD-034"/>
    <x v="12"/>
    <n v="6"/>
    <n v="5080"/>
    <n v="28.1"/>
    <n v="21915.119999999999"/>
    <s v="Completed"/>
    <s v="Delhi"/>
    <x v="3"/>
    <s v="Retail"/>
    <n v="49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d v="2024-09-14T00:00:00"/>
    <s v="CUST-0243"/>
    <x v="0"/>
    <s v="R007"/>
    <n v="8"/>
    <n v="3620"/>
    <n v="15.4"/>
    <n v="24500.16"/>
    <s v="Completed"/>
    <x v="0"/>
    <s v="Apparel"/>
    <s v="SMB"/>
    <n v="44"/>
    <x v="0"/>
    <n v="2509"/>
  </r>
  <r>
    <s v="ORD-00002"/>
    <d v="2024-02-18T00:00:00"/>
    <s v="CUST-0202"/>
    <x v="1"/>
    <s v="R005"/>
    <n v="2"/>
    <n v="820"/>
    <n v="10.8"/>
    <n v="1462.88"/>
    <s v="Pending"/>
    <x v="1"/>
    <s v="Apparel"/>
    <s v="Retail"/>
    <n v="39"/>
    <x v="0"/>
    <n v="391"/>
  </r>
  <r>
    <s v="ORD-00003"/>
    <d v="2024-03-20T00:00:00"/>
    <s v="CUST-0098"/>
    <x v="2"/>
    <s v="R014"/>
    <n v="8"/>
    <n v="470"/>
    <n v="3.3"/>
    <n v="3635.92"/>
    <s v="Pending"/>
    <x v="2"/>
    <s v="Sports"/>
    <s v="Retail"/>
    <n v="52"/>
    <x v="1"/>
    <n v="302"/>
  </r>
  <r>
    <s v="ORD-00004"/>
    <d v="2024-05-01T00:00:00"/>
    <s v="CUST-0071"/>
    <x v="3"/>
    <s v="R006"/>
    <n v="1"/>
    <n v="3660"/>
    <n v="15.7"/>
    <n v="3085.38"/>
    <s v="Completed"/>
    <x v="2"/>
    <s v="Grocery"/>
    <s v="Corporate"/>
    <n v="46"/>
    <x v="0"/>
    <n v="2214"/>
  </r>
  <r>
    <s v="ORD-00005"/>
    <d v="2024-11-15T00:00:00"/>
    <s v="CUST-0180"/>
    <x v="4"/>
    <s v="R008"/>
    <n v="1"/>
    <n v="3160"/>
    <n v="26"/>
    <n v="2338.4"/>
    <s v="Completed"/>
    <x v="1"/>
    <s v="Apparel"/>
    <s v="Retail"/>
    <n v="36"/>
    <x v="0"/>
    <n v="1886"/>
  </r>
  <r>
    <s v="ORD-00006"/>
    <d v="2024-04-24T00:00:00"/>
    <s v="CUST-0275"/>
    <x v="5"/>
    <s v="R025"/>
    <n v="4"/>
    <n v="370"/>
    <n v="29"/>
    <n v="1050.8"/>
    <s v="Completed"/>
    <x v="3"/>
    <s v="Home"/>
    <s v="Retail"/>
    <n v="36"/>
    <x v="2"/>
    <n v="288"/>
  </r>
  <r>
    <s v="ORD-00007"/>
    <d v="2024-06-12T00:00:00"/>
    <s v="CUST-0293"/>
    <x v="6"/>
    <s v="R024"/>
    <n v="3"/>
    <n v="960"/>
    <n v="5.8"/>
    <n v="2712.96"/>
    <s v="Completed"/>
    <x v="4"/>
    <s v="Sports"/>
    <s v="Retail"/>
    <n v="27"/>
    <x v="2"/>
    <n v="705"/>
  </r>
  <r>
    <s v="ORD-00008"/>
    <d v="2024-11-21T00:00:00"/>
    <s v="CUST-0281"/>
    <x v="7"/>
    <s v="R019"/>
    <n v="8"/>
    <n v="1430"/>
    <n v="2.4"/>
    <n v="11165.44"/>
    <s v="Completed"/>
    <x v="4"/>
    <s v="Electronics"/>
    <s v="Corporate"/>
    <n v="57"/>
    <x v="3"/>
    <n v="861"/>
  </r>
  <r>
    <s v="ORD-00009"/>
    <d v="2024-09-14T00:00:00"/>
    <s v="CUST-0260"/>
    <x v="8"/>
    <s v="R008"/>
    <n v="3"/>
    <n v="5490"/>
    <n v="14.2"/>
    <n v="14131.26"/>
    <s v="Completed"/>
    <x v="4"/>
    <s v="Home"/>
    <s v="Retail"/>
    <n v="42"/>
    <x v="0"/>
    <n v="2549"/>
  </r>
  <r>
    <s v="ORD-00010"/>
    <d v="2024-04-14T00:00:00"/>
    <s v="CUST-0147"/>
    <x v="9"/>
    <s v="R028"/>
    <n v="3"/>
    <n v="970"/>
    <n v="1.2"/>
    <n v="2875.08"/>
    <s v="Completed"/>
    <x v="0"/>
    <s v="Grocery"/>
    <s v="Retail"/>
    <n v="56"/>
    <x v="2"/>
    <n v="434"/>
  </r>
  <r>
    <s v="ORD-00011"/>
    <d v="2024-09-25T00:00:00"/>
    <s v="CUST-0204"/>
    <x v="10"/>
    <s v="R010"/>
    <n v="7"/>
    <n v="2270"/>
    <n v="7.1"/>
    <n v="14761.81"/>
    <s v="Pending"/>
    <x v="5"/>
    <s v="Grocery"/>
    <s v="Retail"/>
    <n v="60"/>
    <x v="1"/>
    <n v="1203"/>
  </r>
  <r>
    <s v="ORD-00012"/>
    <d v="2024-02-10T00:00:00"/>
    <s v="CUST-0147"/>
    <x v="11"/>
    <s v="R024"/>
    <n v="9"/>
    <n v="2640"/>
    <n v="21.7"/>
    <n v="18604.080000000002"/>
    <s v="Completed"/>
    <x v="0"/>
    <s v="Electronics"/>
    <s v="Retail"/>
    <n v="56"/>
    <x v="2"/>
    <n v="1149"/>
  </r>
  <r>
    <s v="ORD-00013"/>
    <d v="2024-08-03T00:00:00"/>
    <s v="CUST-0280"/>
    <x v="12"/>
    <s v="R004"/>
    <n v="3"/>
    <n v="2600"/>
    <n v="4.3"/>
    <n v="7464.6"/>
    <s v="Cancelled"/>
    <x v="2"/>
    <s v="Electronics"/>
    <s v="SMB"/>
    <n v="27"/>
    <x v="0"/>
    <n v="1052"/>
  </r>
  <r>
    <s v="ORD-00014"/>
    <d v="2024-06-23T00:00:00"/>
    <s v="CUST-0008"/>
    <x v="13"/>
    <s v="R025"/>
    <n v="3"/>
    <n v="3250"/>
    <n v="14.1"/>
    <n v="8375.25"/>
    <s v="Refunded"/>
    <x v="0"/>
    <s v="Home"/>
    <s v="SMB"/>
    <n v="39"/>
    <x v="2"/>
    <n v="1556"/>
  </r>
  <r>
    <s v="ORD-00015"/>
    <d v="2024-03-14T00:00:00"/>
    <s v="CUST-0052"/>
    <x v="14"/>
    <s v="R003"/>
    <n v="1"/>
    <n v="190"/>
    <n v="20.7"/>
    <n v="150.66999999999999"/>
    <s v="Completed"/>
    <x v="0"/>
    <s v="Sports"/>
    <s v="Retail"/>
    <n v="38"/>
    <x v="0"/>
    <n v="147"/>
  </r>
  <r>
    <s v="ORD-00016"/>
    <d v="2024-09-11T00:00:00"/>
    <s v="CUST-0184"/>
    <x v="15"/>
    <s v="R014"/>
    <n v="7"/>
    <n v="2400"/>
    <n v="10.199999999999999"/>
    <n v="15086.4"/>
    <s v="Pending"/>
    <x v="0"/>
    <s v="Sports"/>
    <s v="Retail"/>
    <n v="63"/>
    <x v="1"/>
    <n v="974"/>
  </r>
  <r>
    <s v="ORD-00017"/>
    <d v="2024-08-08T00:00:00"/>
    <s v="CUST-0056"/>
    <x v="3"/>
    <s v="R023"/>
    <n v="4"/>
    <n v="3660"/>
    <n v="2.6"/>
    <n v="14259.36"/>
    <s v="Completed"/>
    <x v="4"/>
    <s v="Grocery"/>
    <s v="SMB"/>
    <n v="46"/>
    <x v="3"/>
    <n v="2214"/>
  </r>
  <r>
    <s v="ORD-00018"/>
    <d v="2024-12-28T00:00:00"/>
    <s v="CUST-0273"/>
    <x v="16"/>
    <s v="R021"/>
    <n v="8"/>
    <n v="3450"/>
    <n v="18.5"/>
    <n v="22494"/>
    <s v="Completed"/>
    <x v="5"/>
    <s v="Beauty"/>
    <s v="Corporate"/>
    <n v="32"/>
    <x v="3"/>
    <n v="2420"/>
  </r>
  <r>
    <s v="ORD-00019"/>
    <d v="2024-11-30T00:00:00"/>
    <s v="CUST-0182"/>
    <x v="17"/>
    <s v="R023"/>
    <n v="5"/>
    <n v="3450"/>
    <n v="7.3"/>
    <n v="15990.75"/>
    <s v="Completed"/>
    <x v="3"/>
    <s v="Sports"/>
    <s v="Retail"/>
    <n v="54"/>
    <x v="3"/>
    <n v="2467"/>
  </r>
  <r>
    <s v="ORD-00020"/>
    <d v="2024-04-12T00:00:00"/>
    <s v="CUST-0265"/>
    <x v="18"/>
    <s v="R023"/>
    <n v="8"/>
    <n v="1080"/>
    <n v="2.2000000000000002"/>
    <n v="8449.92"/>
    <s v="Completed"/>
    <x v="1"/>
    <s v="Home"/>
    <s v="Retail"/>
    <n v="49"/>
    <x v="3"/>
    <n v="519"/>
  </r>
  <r>
    <s v="ORD-00021"/>
    <d v="2024-06-27T00:00:00"/>
    <s v="CUST-0159"/>
    <x v="19"/>
    <s v="R006"/>
    <n v="7"/>
    <n v="2480"/>
    <n v="28.7"/>
    <n v="12377.68"/>
    <s v="Completed"/>
    <x v="5"/>
    <s v="Apparel"/>
    <s v="Retail"/>
    <n v="32"/>
    <x v="0"/>
    <n v="1173"/>
  </r>
  <r>
    <s v="ORD-00022"/>
    <d v="2024-03-03T00:00:00"/>
    <s v="CUST-0259"/>
    <x v="13"/>
    <s v="R030"/>
    <n v="4"/>
    <n v="3250"/>
    <n v="24.6"/>
    <n v="9802"/>
    <s v="Completed"/>
    <x v="3"/>
    <s v="Home"/>
    <s v="Retail"/>
    <n v="34"/>
    <x v="2"/>
    <n v="1556"/>
  </r>
  <r>
    <s v="ORD-00023"/>
    <d v="2024-08-26T00:00:00"/>
    <s v="CUST-0107"/>
    <x v="20"/>
    <s v="R030"/>
    <n v="9"/>
    <n v="2720"/>
    <n v="26.2"/>
    <n v="18066.240000000002"/>
    <s v="Completed"/>
    <x v="0"/>
    <s v="Apparel"/>
    <s v="Retail"/>
    <n v="50"/>
    <x v="2"/>
    <n v="1962"/>
  </r>
  <r>
    <s v="ORD-00024"/>
    <d v="2024-06-29T00:00:00"/>
    <s v="CUST-0101"/>
    <x v="21"/>
    <s v="R003"/>
    <n v="2"/>
    <n v="1650"/>
    <n v="9.4"/>
    <n v="2989.8"/>
    <s v="Completed"/>
    <x v="5"/>
    <s v="Beauty"/>
    <s v="SMB"/>
    <n v="40"/>
    <x v="0"/>
    <n v="1222"/>
  </r>
  <r>
    <s v="ORD-00025"/>
    <d v="2024-04-12T00:00:00"/>
    <s v="CUST-0142"/>
    <x v="22"/>
    <s v="R023"/>
    <n v="6"/>
    <n v="3350"/>
    <n v="6.1"/>
    <n v="18873.900000000001"/>
    <s v="Pending"/>
    <x v="1"/>
    <s v="Beauty"/>
    <s v="Corporate"/>
    <n v="55"/>
    <x v="3"/>
    <n v="1728"/>
  </r>
  <r>
    <s v="ORD-00026"/>
    <d v="2024-10-05T00:00:00"/>
    <s v="CUST-0250"/>
    <x v="23"/>
    <s v="R019"/>
    <n v="2"/>
    <n v="1010"/>
    <n v="16.5"/>
    <n v="1686.7"/>
    <s v="Cancelled"/>
    <x v="2"/>
    <s v="Sports"/>
    <s v="Retail"/>
    <n v="31"/>
    <x v="3"/>
    <n v="516"/>
  </r>
  <r>
    <s v="ORD-00027"/>
    <d v="2024-04-19T00:00:00"/>
    <s v="CUST-0098"/>
    <x v="24"/>
    <s v="R006"/>
    <n v="5"/>
    <n v="4880"/>
    <n v="23.6"/>
    <n v="18641.599999999999"/>
    <s v="Completed"/>
    <x v="2"/>
    <s v="Beauty"/>
    <s v="Retail"/>
    <n v="52"/>
    <x v="0"/>
    <n v="2768"/>
  </r>
  <r>
    <s v="ORD-00028"/>
    <d v="2024-08-13T00:00:00"/>
    <s v="CUST-0143"/>
    <x v="25"/>
    <s v="R015"/>
    <n v="7"/>
    <n v="3570"/>
    <n v="5.8"/>
    <n v="23540.58"/>
    <s v="Cancelled"/>
    <x v="1"/>
    <s v="Electronics"/>
    <s v="SMB"/>
    <n v="52"/>
    <x v="1"/>
    <n v="1665"/>
  </r>
  <r>
    <s v="ORD-00029"/>
    <d v="2024-03-12T00:00:00"/>
    <s v="CUST-0086"/>
    <x v="26"/>
    <s v="R020"/>
    <n v="9"/>
    <n v="5100"/>
    <n v="16.7"/>
    <n v="38234.699999999997"/>
    <s v="Completed"/>
    <x v="5"/>
    <s v="Beauty"/>
    <s v="Corporate"/>
    <n v="56"/>
    <x v="3"/>
    <n v="2237"/>
  </r>
  <r>
    <s v="ORD-00030"/>
    <d v="2024-03-16T00:00:00"/>
    <s v="CUST-0006"/>
    <x v="27"/>
    <s v="R005"/>
    <n v="3"/>
    <n v="2860"/>
    <n v="25.8"/>
    <n v="6366.36"/>
    <s v="Completed"/>
    <x v="0"/>
    <s v="Sports"/>
    <s v="SMB"/>
    <n v="44"/>
    <x v="0"/>
    <n v="2028"/>
  </r>
  <r>
    <s v="ORD-00031"/>
    <d v="2024-10-04T00:00:00"/>
    <s v="CUST-0241"/>
    <x v="9"/>
    <s v="R006"/>
    <n v="7"/>
    <n v="970"/>
    <n v="29.8"/>
    <n v="4766.58"/>
    <s v="Completed"/>
    <x v="0"/>
    <s v="Grocery"/>
    <s v="Corporate"/>
    <n v="47"/>
    <x v="0"/>
    <n v="434"/>
  </r>
  <r>
    <s v="ORD-00032"/>
    <d v="2024-12-15T00:00:00"/>
    <s v="CUST-0035"/>
    <x v="28"/>
    <s v="R026"/>
    <n v="4"/>
    <n v="2760"/>
    <n v="5.9"/>
    <n v="10388.64"/>
    <s v="Completed"/>
    <x v="5"/>
    <s v="Grocery"/>
    <s v="Retail"/>
    <n v="53"/>
    <x v="2"/>
    <n v="1435"/>
  </r>
  <r>
    <s v="ORD-00033"/>
    <d v="2024-02-21T00:00:00"/>
    <s v="CUST-0273"/>
    <x v="29"/>
    <s v="R009"/>
    <n v="10"/>
    <n v="660"/>
    <n v="18.3"/>
    <n v="5392.2"/>
    <s v="Pending"/>
    <x v="5"/>
    <s v="Home"/>
    <s v="Corporate"/>
    <n v="32"/>
    <x v="1"/>
    <n v="329"/>
  </r>
  <r>
    <s v="ORD-00034"/>
    <d v="2024-10-11T00:00:00"/>
    <s v="CUST-0064"/>
    <x v="13"/>
    <s v="R019"/>
    <n v="1"/>
    <n v="3250"/>
    <n v="10.7"/>
    <n v="2902.25"/>
    <s v="Completed"/>
    <x v="5"/>
    <s v="Home"/>
    <s v="SMB"/>
    <n v="40"/>
    <x v="3"/>
    <n v="1556"/>
  </r>
  <r>
    <s v="ORD-00035"/>
    <d v="2024-06-19T00:00:00"/>
    <s v="CUST-0118"/>
    <x v="26"/>
    <s v="R019"/>
    <n v="8"/>
    <n v="5100"/>
    <n v="26.4"/>
    <n v="30028.799999999999"/>
    <s v="Cancelled"/>
    <x v="5"/>
    <s v="Beauty"/>
    <s v="Retail"/>
    <n v="26"/>
    <x v="3"/>
    <n v="2237"/>
  </r>
  <r>
    <s v="ORD-00036"/>
    <d v="2024-05-30T00:00:00"/>
    <s v="CUST-0013"/>
    <x v="18"/>
    <s v="R021"/>
    <n v="1"/>
    <n v="1080"/>
    <n v="5.0999999999999996"/>
    <n v="1024.92"/>
    <s v="Completed"/>
    <x v="2"/>
    <s v="Home"/>
    <s v="Retail"/>
    <n v="41"/>
    <x v="3"/>
    <n v="519"/>
  </r>
  <r>
    <s v="ORD-00037"/>
    <d v="2024-12-20T00:00:00"/>
    <s v="CUST-0177"/>
    <x v="8"/>
    <s v="R009"/>
    <n v="2"/>
    <n v="5490"/>
    <n v="21.1"/>
    <n v="8663.2199999999993"/>
    <s v="Cancelled"/>
    <x v="3"/>
    <s v="Home"/>
    <s v="SMB"/>
    <n v="36"/>
    <x v="1"/>
    <n v="2549"/>
  </r>
  <r>
    <s v="ORD-00038"/>
    <d v="2024-07-05T00:00:00"/>
    <s v="CUST-0186"/>
    <x v="14"/>
    <s v="R001"/>
    <n v="7"/>
    <n v="190"/>
    <n v="28.7"/>
    <n v="948.29"/>
    <s v="Completed"/>
    <x v="4"/>
    <s v="Sports"/>
    <s v="Retail"/>
    <n v="42"/>
    <x v="0"/>
    <n v="147"/>
  </r>
  <r>
    <s v="ORD-00039"/>
    <d v="2024-03-04T00:00:00"/>
    <s v="CUST-0069"/>
    <x v="15"/>
    <s v="R015"/>
    <n v="6"/>
    <n v="2400"/>
    <n v="2.7"/>
    <n v="14011.2"/>
    <s v="Completed"/>
    <x v="1"/>
    <s v="Sports"/>
    <s v="Retail"/>
    <n v="51"/>
    <x v="1"/>
    <n v="974"/>
  </r>
  <r>
    <s v="ORD-00040"/>
    <d v="2024-11-03T00:00:00"/>
    <s v="CUST-0283"/>
    <x v="21"/>
    <s v="R023"/>
    <n v="9"/>
    <n v="1650"/>
    <n v="11.6"/>
    <n v="13127.4"/>
    <s v="Completed"/>
    <x v="2"/>
    <s v="Beauty"/>
    <s v="SMB"/>
    <n v="50"/>
    <x v="3"/>
    <n v="1222"/>
  </r>
  <r>
    <s v="ORD-00041"/>
    <d v="2024-11-10T00:00:00"/>
    <s v="CUST-9507"/>
    <x v="8"/>
    <s v="R006"/>
    <n v="4"/>
    <n v="5490"/>
    <n v="12.8"/>
    <n v="19149.12"/>
    <s v="Cancelled"/>
    <x v="1"/>
    <s v="Home"/>
    <e v="#N/A"/>
    <e v="#N/A"/>
    <x v="0"/>
    <n v="2549"/>
  </r>
  <r>
    <s v="ORD-00042"/>
    <d v="2024-05-20T00:00:00"/>
    <s v="CUST-0053"/>
    <x v="24"/>
    <s v="R014"/>
    <n v="10"/>
    <n v="4880"/>
    <n v="12.7"/>
    <n v="42602.400000000001"/>
    <s v="Completed"/>
    <x v="2"/>
    <s v="Beauty"/>
    <s v="Retail"/>
    <n v="53"/>
    <x v="1"/>
    <n v="2768"/>
  </r>
  <r>
    <s v="ORD-00043"/>
    <d v="2024-04-10T00:00:00"/>
    <s v="CUST-0222"/>
    <x v="30"/>
    <s v="R019"/>
    <n v="2"/>
    <n v="3730"/>
    <n v="25.8"/>
    <n v="5535.32"/>
    <s v="Completed"/>
    <x v="1"/>
    <s v="Home"/>
    <s v="Retail"/>
    <n v="37"/>
    <x v="3"/>
    <n v="2135"/>
  </r>
  <r>
    <s v="ORD-00044"/>
    <d v="2024-04-14T00:00:00"/>
    <s v="CUST-0095"/>
    <x v="16"/>
    <s v="R029"/>
    <n v="4"/>
    <n v="3450"/>
    <n v="20.7"/>
    <n v="10943.4"/>
    <s v="Completed"/>
    <x v="3"/>
    <s v="Beauty"/>
    <s v="SMB"/>
    <n v="54"/>
    <x v="2"/>
    <n v="2420"/>
  </r>
  <r>
    <s v="ORD-00045"/>
    <d v="2024-03-22T00:00:00"/>
    <s v="CUST-0152"/>
    <x v="19"/>
    <s v="R019"/>
    <n v="2"/>
    <n v="2480"/>
    <n v="17.3"/>
    <n v="4101.92"/>
    <s v="Completed"/>
    <x v="4"/>
    <s v="Apparel"/>
    <s v="SMB"/>
    <n v="64"/>
    <x v="3"/>
    <n v="1173"/>
  </r>
  <r>
    <s v="ORD-00046"/>
    <d v="2024-01-21T00:00:00"/>
    <s v="CUST-0291"/>
    <x v="31"/>
    <s v="R015"/>
    <n v="9"/>
    <n v="3780"/>
    <n v="8.6999999999999993"/>
    <n v="31060.26"/>
    <s v="Pending"/>
    <x v="0"/>
    <s v="Grocery"/>
    <s v="SMB"/>
    <n v="29"/>
    <x v="1"/>
    <n v="2436"/>
  </r>
  <r>
    <s v="ORD-00047"/>
    <d v="2024-02-18T00:00:00"/>
    <s v="CUST-0112"/>
    <x v="32"/>
    <s v="R017"/>
    <n v="4"/>
    <n v="3640"/>
    <n v="20.7"/>
    <n v="11546.08"/>
    <s v="Completed"/>
    <x v="5"/>
    <s v="Apparel"/>
    <s v="Retail"/>
    <n v="64"/>
    <x v="3"/>
    <n v="2611"/>
  </r>
  <r>
    <s v="ORD-00048"/>
    <d v="2024-03-19T00:00:00"/>
    <s v="CUST-9800"/>
    <x v="33"/>
    <s v="R003"/>
    <n v="8"/>
    <n v="6080"/>
    <n v="24.4"/>
    <n v="36771.839999999997"/>
    <s v="Completed"/>
    <x v="0"/>
    <s v="Beauty"/>
    <e v="#N/A"/>
    <e v="#N/A"/>
    <x v="0"/>
    <n v="2617"/>
  </r>
  <r>
    <s v="ORD-00049"/>
    <d v="2024-04-07T00:00:00"/>
    <s v="CUST-0143"/>
    <x v="9"/>
    <s v="R007"/>
    <n v="10"/>
    <n v="970"/>
    <n v="0.6"/>
    <n v="9641.7999999999993"/>
    <s v="Cancelled"/>
    <x v="1"/>
    <s v="Grocery"/>
    <s v="SMB"/>
    <n v="52"/>
    <x v="0"/>
    <n v="434"/>
  </r>
  <r>
    <s v="ORD-00050"/>
    <d v="2024-09-30T00:00:00"/>
    <s v="CUST-0226"/>
    <x v="34"/>
    <s v="R028"/>
    <n v="1"/>
    <n v="2270"/>
    <n v="11.5"/>
    <n v="2008.95"/>
    <s v="Pending"/>
    <x v="1"/>
    <s v="Grocery"/>
    <s v="Corporate"/>
    <n v="52"/>
    <x v="2"/>
    <n v="1412"/>
  </r>
  <r>
    <s v="ORD-00051"/>
    <d v="2024-02-01T00:00:00"/>
    <s v="CUST-0234"/>
    <x v="35"/>
    <s v="R023"/>
    <n v="7"/>
    <n v="3870"/>
    <n v="0.3"/>
    <n v="27008.73"/>
    <s v="Cancelled"/>
    <x v="4"/>
    <s v="Electronics"/>
    <s v="Retail"/>
    <n v="34"/>
    <x v="3"/>
    <n v="1559"/>
  </r>
  <r>
    <s v="ORD-00052"/>
    <d v="2024-08-02T00:00:00"/>
    <s v="CUST-0176"/>
    <x v="24"/>
    <s v="R009"/>
    <n v="1"/>
    <n v="4880"/>
    <n v="23.9"/>
    <n v="3713.68"/>
    <s v="Pending"/>
    <x v="4"/>
    <s v="Beauty"/>
    <s v="SMB"/>
    <n v="34"/>
    <x v="1"/>
    <n v="2768"/>
  </r>
  <r>
    <s v="ORD-00053"/>
    <d v="2024-11-20T00:00:00"/>
    <s v="CUST-0180"/>
    <x v="31"/>
    <s v="R013"/>
    <n v="5"/>
    <n v="3780"/>
    <n v="18.5"/>
    <n v="15403.5"/>
    <s v="Completed"/>
    <x v="1"/>
    <s v="Grocery"/>
    <s v="Retail"/>
    <n v="36"/>
    <x v="1"/>
    <n v="2436"/>
  </r>
  <r>
    <s v="ORD-00054"/>
    <d v="2024-05-16T00:00:00"/>
    <s v="CUST-0088"/>
    <x v="13"/>
    <s v="R020"/>
    <n v="10"/>
    <n v="3250"/>
    <n v="25.5"/>
    <n v="24212.5"/>
    <s v="Completed"/>
    <x v="1"/>
    <s v="Home"/>
    <s v="Retail"/>
    <n v="24"/>
    <x v="3"/>
    <n v="1556"/>
  </r>
  <r>
    <s v="ORD-00055"/>
    <d v="2024-08-11T00:00:00"/>
    <s v="CUST-0267"/>
    <x v="32"/>
    <s v="R007"/>
    <n v="4"/>
    <n v="3640"/>
    <n v="9.9"/>
    <n v="13118.56"/>
    <s v="Refunded"/>
    <x v="5"/>
    <s v="Apparel"/>
    <s v="Retail"/>
    <n v="27"/>
    <x v="0"/>
    <n v="2611"/>
  </r>
  <r>
    <s v="ORD-00056"/>
    <d v="2024-12-23T00:00:00"/>
    <s v="CUST-0194"/>
    <x v="36"/>
    <s v="R023"/>
    <n v="4"/>
    <n v="1540"/>
    <n v="28.8"/>
    <n v="4385.92"/>
    <s v="Completed"/>
    <x v="2"/>
    <s v="Beauty"/>
    <s v="SMB"/>
    <n v="55"/>
    <x v="3"/>
    <n v="647"/>
  </r>
  <r>
    <s v="ORD-00057"/>
    <d v="2024-11-20T00:00:00"/>
    <s v="CUST-0261"/>
    <x v="18"/>
    <s v="R017"/>
    <n v="1"/>
    <n v="1080"/>
    <n v="23"/>
    <n v="831.6"/>
    <s v="Cancelled"/>
    <x v="2"/>
    <s v="Home"/>
    <s v="Retail"/>
    <n v="54"/>
    <x v="3"/>
    <n v="519"/>
  </r>
  <r>
    <s v="ORD-00058"/>
    <d v="2024-10-08T00:00:00"/>
    <s v="CUST-0031"/>
    <x v="37"/>
    <s v="R007"/>
    <n v="1"/>
    <n v="4070"/>
    <n v="6.7"/>
    <n v="3797.31"/>
    <s v="Completed"/>
    <x v="5"/>
    <s v="Grocery"/>
    <s v="Retail"/>
    <n v="53"/>
    <x v="0"/>
    <n v="2027"/>
  </r>
  <r>
    <s v="ORD-00059"/>
    <d v="2024-05-05T00:00:00"/>
    <s v="CUST-0175"/>
    <x v="38"/>
    <s v="R030"/>
    <n v="2"/>
    <n v="1220"/>
    <n v="11.7"/>
    <n v="2154.52"/>
    <s v="Cancelled"/>
    <x v="2"/>
    <s v="Electronics"/>
    <s v="Corporate"/>
    <n v="55"/>
    <x v="2"/>
    <n v="517"/>
  </r>
  <r>
    <s v="ORD-00060"/>
    <d v="2024-05-13T00:00:00"/>
    <s v="CUST-0263"/>
    <x v="39"/>
    <s v="R029"/>
    <n v="4"/>
    <n v="4610"/>
    <n v="26.9"/>
    <n v="13479.64"/>
    <s v="Pending"/>
    <x v="3"/>
    <s v="Home"/>
    <s v="Retail"/>
    <n v="40"/>
    <x v="2"/>
    <n v="1850"/>
  </r>
  <r>
    <s v="ORD-00061"/>
    <d v="2024-10-24T00:00:00"/>
    <s v="CUST-0203"/>
    <x v="18"/>
    <s v="R011"/>
    <n v="8"/>
    <n v="1080"/>
    <n v="28.4"/>
    <n v="6186.24"/>
    <s v="Completed"/>
    <x v="1"/>
    <s v="Home"/>
    <s v="SMB"/>
    <n v="55"/>
    <x v="1"/>
    <n v="519"/>
  </r>
  <r>
    <s v="ORD-00062"/>
    <d v="2024-07-15T00:00:00"/>
    <s v="CUST-0258"/>
    <x v="40"/>
    <s v="R006"/>
    <n v="10"/>
    <n v="3020"/>
    <n v="25.4"/>
    <n v="22529.200000000001"/>
    <s v="Completed"/>
    <x v="0"/>
    <s v="Beauty"/>
    <s v="Retail"/>
    <n v="44"/>
    <x v="0"/>
    <n v="1626"/>
  </r>
  <r>
    <s v="ORD-00063"/>
    <d v="2024-06-22T00:00:00"/>
    <s v="CUST-0282"/>
    <x v="41"/>
    <s v="R017"/>
    <n v="7"/>
    <n v="2660"/>
    <n v="5.3"/>
    <n v="17633.14"/>
    <s v="Completed"/>
    <x v="5"/>
    <s v="Electronics"/>
    <s v="Corporate"/>
    <n v="29"/>
    <x v="3"/>
    <n v="1259"/>
  </r>
  <r>
    <s v="ORD-00064"/>
    <d v="2024-11-03T00:00:00"/>
    <s v="CUST-0168"/>
    <x v="42"/>
    <s v="R003"/>
    <n v="9"/>
    <n v="300"/>
    <n v="25.3"/>
    <n v="2016.9"/>
    <s v="Completed"/>
    <x v="0"/>
    <s v="Electronics"/>
    <s v="Retail"/>
    <n v="25"/>
    <x v="0"/>
    <n v="128"/>
  </r>
  <r>
    <s v="ORD-00065"/>
    <d v="2024-01-26T00:00:00"/>
    <s v="CUST-0040"/>
    <x v="11"/>
    <s v="R022"/>
    <n v="10"/>
    <n v="2640"/>
    <n v="18.7"/>
    <n v="21463.200000000001"/>
    <s v="Cancelled"/>
    <x v="1"/>
    <s v="Electronics"/>
    <s v="Retail"/>
    <n v="28"/>
    <x v="3"/>
    <n v="1149"/>
  </r>
  <r>
    <s v="ORD-00066"/>
    <d v="2024-06-19T00:00:00"/>
    <s v="CUST-0283"/>
    <x v="1"/>
    <s v="R020"/>
    <n v="8"/>
    <n v="820"/>
    <n v="24"/>
    <n v="4985.6000000000004"/>
    <s v="Completed"/>
    <x v="2"/>
    <s v="Apparel"/>
    <s v="SMB"/>
    <n v="50"/>
    <x v="3"/>
    <n v="391"/>
  </r>
  <r>
    <s v="ORD-00067"/>
    <d v="2024-07-26T00:00:00"/>
    <s v="CUST-0202"/>
    <x v="28"/>
    <s v="R028"/>
    <n v="1"/>
    <n v="2760"/>
    <n v="4.8"/>
    <n v="2627.52"/>
    <s v="Completed"/>
    <x v="1"/>
    <s v="Grocery"/>
    <s v="Retail"/>
    <n v="39"/>
    <x v="2"/>
    <n v="1435"/>
  </r>
  <r>
    <s v="ORD-00068"/>
    <d v="2024-02-06T00:00:00"/>
    <s v="CUST-0161"/>
    <x v="0"/>
    <s v="R017"/>
    <n v="2"/>
    <n v="3620"/>
    <n v="19.100000000000001"/>
    <n v="5857.16"/>
    <s v="Completed"/>
    <x v="1"/>
    <s v="Apparel"/>
    <s v="Retail"/>
    <n v="38"/>
    <x v="3"/>
    <n v="2509"/>
  </r>
  <r>
    <s v="ORD-00069"/>
    <d v="2024-06-16T00:00:00"/>
    <s v="CUST-0033"/>
    <x v="43"/>
    <s v="R025"/>
    <n v="1"/>
    <n v="620"/>
    <n v="1"/>
    <n v="613.79999999999995"/>
    <s v="Completed"/>
    <x v="2"/>
    <s v="Apparel"/>
    <s v="Retail"/>
    <n v="35"/>
    <x v="2"/>
    <n v="396"/>
  </r>
  <r>
    <s v="ORD-00070"/>
    <d v="2024-04-16T00:00:00"/>
    <s v="CUST-0191"/>
    <x v="44"/>
    <s v="R030"/>
    <n v="1"/>
    <n v="2030"/>
    <n v="3.3"/>
    <n v="1963.01"/>
    <s v="Completed"/>
    <x v="5"/>
    <s v="Home"/>
    <s v="SMB"/>
    <n v="43"/>
    <x v="2"/>
    <n v="1143"/>
  </r>
  <r>
    <s v="ORD-00071"/>
    <d v="2024-06-27T00:00:00"/>
    <s v="CUST-0180"/>
    <x v="4"/>
    <s v="R002"/>
    <n v="10"/>
    <n v="3160"/>
    <n v="15.8"/>
    <n v="26607.200000000001"/>
    <s v="Completed"/>
    <x v="1"/>
    <s v="Apparel"/>
    <s v="Retail"/>
    <n v="36"/>
    <x v="0"/>
    <n v="1886"/>
  </r>
  <r>
    <s v="ORD-00072"/>
    <d v="2024-02-24T00:00:00"/>
    <s v="CUST-0129"/>
    <x v="9"/>
    <s v="R001"/>
    <n v="5"/>
    <n v="970"/>
    <n v="12.2"/>
    <n v="4258.3"/>
    <s v="Completed"/>
    <x v="5"/>
    <s v="Grocery"/>
    <s v="Retail"/>
    <n v="29"/>
    <x v="0"/>
    <n v="434"/>
  </r>
  <r>
    <s v="ORD-00073"/>
    <d v="2024-07-10T00:00:00"/>
    <s v="CUST-0189"/>
    <x v="22"/>
    <s v="R003"/>
    <n v="9"/>
    <n v="3350"/>
    <n v="25.8"/>
    <n v="22371.3"/>
    <s v="Pending"/>
    <x v="1"/>
    <s v="Beauty"/>
    <s v="Retail"/>
    <n v="41"/>
    <x v="0"/>
    <n v="1728"/>
  </r>
  <r>
    <s v="ORD-00074"/>
    <d v="2024-10-20T00:00:00"/>
    <s v="CUST-0194"/>
    <x v="5"/>
    <s v="R018"/>
    <n v="1"/>
    <n v="370"/>
    <n v="28.9"/>
    <n v="263.07"/>
    <s v="Completed"/>
    <x v="2"/>
    <s v="Home"/>
    <s v="SMB"/>
    <n v="55"/>
    <x v="3"/>
    <n v="288"/>
  </r>
  <r>
    <s v="ORD-00075"/>
    <d v="2024-07-27T00:00:00"/>
    <s v="CUST-0200"/>
    <x v="9"/>
    <s v="R010"/>
    <n v="3"/>
    <n v="970"/>
    <n v="4.3"/>
    <n v="2784.87"/>
    <s v="Cancelled"/>
    <x v="5"/>
    <s v="Grocery"/>
    <s v="Corporate"/>
    <n v="46"/>
    <x v="1"/>
    <n v="434"/>
  </r>
  <r>
    <s v="ORD-00076"/>
    <d v="2024-03-24T00:00:00"/>
    <s v="CUST-0008"/>
    <x v="28"/>
    <s v="R022"/>
    <n v="6"/>
    <n v="2760"/>
    <n v="19.899999999999999"/>
    <n v="13264.56"/>
    <s v="Pending"/>
    <x v="0"/>
    <s v="Grocery"/>
    <s v="SMB"/>
    <n v="39"/>
    <x v="3"/>
    <n v="1435"/>
  </r>
  <r>
    <s v="ORD-00077"/>
    <d v="2024-05-31T00:00:00"/>
    <s v="CUST-0051"/>
    <x v="28"/>
    <s v="R019"/>
    <n v="7"/>
    <n v="2760"/>
    <n v="25.2"/>
    <n v="14451.36"/>
    <s v="Completed"/>
    <x v="0"/>
    <s v="Grocery"/>
    <s v="SMB"/>
    <n v="54"/>
    <x v="3"/>
    <n v="1435"/>
  </r>
  <r>
    <s v="ORD-00078"/>
    <d v="2024-04-08T00:00:00"/>
    <s v="CUST-0193"/>
    <x v="38"/>
    <s v="R022"/>
    <n v="4"/>
    <n v="1220"/>
    <n v="8.4"/>
    <n v="4470.08"/>
    <s v="Completed"/>
    <x v="4"/>
    <s v="Electronics"/>
    <s v="Retail"/>
    <n v="42"/>
    <x v="3"/>
    <n v="517"/>
  </r>
  <r>
    <s v="ORD-00079"/>
    <d v="2024-11-19T00:00:00"/>
    <s v="CUST-0020"/>
    <x v="12"/>
    <s v="R028"/>
    <n v="2"/>
    <n v="2600"/>
    <n v="1.9"/>
    <n v="5101.2"/>
    <s v="Pending"/>
    <x v="5"/>
    <s v="Electronics"/>
    <s v="Retail"/>
    <n v="46"/>
    <x v="2"/>
    <n v="1052"/>
  </r>
  <r>
    <s v="ORD-00080"/>
    <d v="2024-07-25T00:00:00"/>
    <s v="CUST-0230"/>
    <x v="37"/>
    <s v="R030"/>
    <n v="9"/>
    <n v="4070"/>
    <n v="28.8"/>
    <n v="26080.560000000001"/>
    <s v="Completed"/>
    <x v="0"/>
    <s v="Grocery"/>
    <s v="Corporate"/>
    <n v="33"/>
    <x v="2"/>
    <n v="2027"/>
  </r>
  <r>
    <s v="ORD-00081"/>
    <d v="2024-08-11T00:00:00"/>
    <s v="CUST-0094"/>
    <x v="10"/>
    <s v="R005"/>
    <n v="2"/>
    <n v="2270"/>
    <n v="18"/>
    <n v="3722.8"/>
    <s v="Refunded"/>
    <x v="0"/>
    <s v="Grocery"/>
    <s v="SMB"/>
    <n v="60"/>
    <x v="0"/>
    <n v="1203"/>
  </r>
  <r>
    <s v="ORD-00082"/>
    <d v="2024-08-24T00:00:00"/>
    <s v="CUST-0248"/>
    <x v="4"/>
    <s v="R017"/>
    <n v="2"/>
    <n v="3160"/>
    <n v="18.3"/>
    <n v="5163.4399999999996"/>
    <s v="Completed"/>
    <x v="1"/>
    <s v="Apparel"/>
    <s v="SMB"/>
    <n v="57"/>
    <x v="3"/>
    <n v="1886"/>
  </r>
  <r>
    <s v="ORD-00083"/>
    <d v="2024-04-20T00:00:00"/>
    <s v="CUST-0082"/>
    <x v="19"/>
    <s v="R007"/>
    <n v="4"/>
    <n v="2480"/>
    <n v="1.1000000000000001"/>
    <n v="9810.8799999999992"/>
    <s v="Pending"/>
    <x v="5"/>
    <s v="Apparel"/>
    <s v="SMB"/>
    <n v="36"/>
    <x v="0"/>
    <n v="1173"/>
  </r>
  <r>
    <s v="ORD-00084"/>
    <d v="2024-09-12T00:00:00"/>
    <s v="CUST-0078"/>
    <x v="41"/>
    <s v="R026"/>
    <n v="1"/>
    <n v="2660"/>
    <n v="21"/>
    <n v="2101.4"/>
    <s v="Completed"/>
    <x v="2"/>
    <s v="Electronics"/>
    <s v="Retail"/>
    <n v="31"/>
    <x v="2"/>
    <n v="1259"/>
  </r>
  <r>
    <s v="ORD-00085"/>
    <d v="2024-05-12T00:00:00"/>
    <s v="CUST-0032"/>
    <x v="40"/>
    <s v="R012"/>
    <n v="5"/>
    <n v="3020"/>
    <n v="22.2"/>
    <n v="11747.8"/>
    <s v="Completed"/>
    <x v="5"/>
    <s v="Beauty"/>
    <s v="Retail"/>
    <n v="28"/>
    <x v="1"/>
    <n v="1626"/>
  </r>
  <r>
    <s v="ORD-00086"/>
    <d v="2024-06-18T00:00:00"/>
    <s v="CUST-0006"/>
    <x v="43"/>
    <s v="R030"/>
    <n v="9"/>
    <n v="620"/>
    <n v="23.3"/>
    <n v="4279.8599999999997"/>
    <s v="Completed"/>
    <x v="0"/>
    <s v="Apparel"/>
    <s v="SMB"/>
    <n v="44"/>
    <x v="2"/>
    <n v="396"/>
  </r>
  <r>
    <s v="ORD-00087"/>
    <d v="2024-11-04T00:00:00"/>
    <s v="CUST-0084"/>
    <x v="2"/>
    <s v="R026"/>
    <n v="2"/>
    <n v="470"/>
    <n v="5.4"/>
    <n v="889.24"/>
    <s v="Completed"/>
    <x v="1"/>
    <s v="Sports"/>
    <s v="Retail"/>
    <n v="28"/>
    <x v="2"/>
    <n v="302"/>
  </r>
  <r>
    <s v="ORD-00088"/>
    <d v="2024-10-22T00:00:00"/>
    <s v="CUST-0107"/>
    <x v="7"/>
    <s v="R010"/>
    <n v="3"/>
    <n v="1430"/>
    <n v="6.5"/>
    <n v="4011.15"/>
    <s v="Completed"/>
    <x v="0"/>
    <s v="Electronics"/>
    <s v="Retail"/>
    <n v="50"/>
    <x v="1"/>
    <n v="861"/>
  </r>
  <r>
    <s v="ORD-00089"/>
    <d v="2024-08-14T00:00:00"/>
    <s v="CUST-0108"/>
    <x v="43"/>
    <s v="R004"/>
    <n v="6"/>
    <n v="620"/>
    <n v="2.6"/>
    <n v="3623.28"/>
    <s v="Completed"/>
    <x v="4"/>
    <s v="Apparel"/>
    <s v="Corporate"/>
    <n v="59"/>
    <x v="0"/>
    <n v="396"/>
  </r>
  <r>
    <s v="ORD-00090"/>
    <d v="2024-08-29T00:00:00"/>
    <s v="CUST-0139"/>
    <x v="25"/>
    <s v="R012"/>
    <n v="4"/>
    <n v="3570"/>
    <n v="4.5"/>
    <n v="13637.4"/>
    <s v="Pending"/>
    <x v="5"/>
    <s v="Electronics"/>
    <s v="SMB"/>
    <n v="65"/>
    <x v="1"/>
    <n v="1665"/>
  </r>
  <r>
    <s v="ORD-00091"/>
    <d v="2024-11-26T00:00:00"/>
    <s v="CUST-0200"/>
    <x v="34"/>
    <s v="R010"/>
    <n v="6"/>
    <n v="2270"/>
    <n v="2"/>
    <n v="13347.6"/>
    <s v="Completed"/>
    <x v="5"/>
    <s v="Grocery"/>
    <s v="Corporate"/>
    <n v="46"/>
    <x v="1"/>
    <n v="1412"/>
  </r>
  <r>
    <s v="ORD-00092"/>
    <d v="2024-02-06T00:00:00"/>
    <s v="CUST-0208"/>
    <x v="20"/>
    <s v="R014"/>
    <n v="7"/>
    <n v="2720"/>
    <n v="15.4"/>
    <n v="16107.84"/>
    <s v="Completed"/>
    <x v="3"/>
    <s v="Apparel"/>
    <s v="Retail"/>
    <n v="49"/>
    <x v="1"/>
    <n v="1962"/>
  </r>
  <r>
    <s v="ORD-00093"/>
    <d v="2024-03-29T00:00:00"/>
    <s v="CUST-0161"/>
    <x v="45"/>
    <s v="R001"/>
    <n v="9"/>
    <n v="2210"/>
    <n v="12.4"/>
    <n v="17423.64"/>
    <s v="Completed"/>
    <x v="1"/>
    <s v="Grocery"/>
    <s v="Retail"/>
    <n v="38"/>
    <x v="0"/>
    <n v="1010"/>
  </r>
  <r>
    <s v="ORD-00094"/>
    <d v="2024-12-22T00:00:00"/>
    <s v="CUST-0042"/>
    <x v="14"/>
    <s v="R026"/>
    <n v="6"/>
    <n v="190"/>
    <n v="19.2"/>
    <n v="921.12"/>
    <s v="Completed"/>
    <x v="0"/>
    <s v="Sports"/>
    <s v="Retail"/>
    <n v="25"/>
    <x v="2"/>
    <n v="147"/>
  </r>
  <r>
    <s v="ORD-00095"/>
    <d v="2024-11-11T00:00:00"/>
    <s v="CUST-0133"/>
    <x v="26"/>
    <s v="R027"/>
    <n v="10"/>
    <n v="5100"/>
    <n v="25.4"/>
    <n v="38046"/>
    <s v="Refunded"/>
    <x v="1"/>
    <s v="Beauty"/>
    <s v="Retail"/>
    <n v="26"/>
    <x v="2"/>
    <n v="2237"/>
  </r>
  <r>
    <s v="ORD-00096"/>
    <d v="2024-05-02T00:00:00"/>
    <s v="CUST-0219"/>
    <x v="23"/>
    <s v="R016"/>
    <n v="5"/>
    <n v="1010"/>
    <n v="1.6"/>
    <n v="4969.2"/>
    <s v="Completed"/>
    <x v="1"/>
    <s v="Sports"/>
    <s v="Corporate"/>
    <n v="38"/>
    <x v="1"/>
    <n v="516"/>
  </r>
  <r>
    <s v="ORD-00097"/>
    <d v="2024-02-06T00:00:00"/>
    <s v="CUST-0031"/>
    <x v="30"/>
    <s v="R025"/>
    <n v="1"/>
    <n v="3730"/>
    <n v="22.7"/>
    <n v="2883.29"/>
    <s v="Completed"/>
    <x v="5"/>
    <s v="Home"/>
    <s v="Retail"/>
    <n v="53"/>
    <x v="2"/>
    <n v="2135"/>
  </r>
  <r>
    <s v="ORD-00098"/>
    <d v="2024-03-22T00:00:00"/>
    <s v="CUST-0189"/>
    <x v="12"/>
    <s v="R028"/>
    <n v="10"/>
    <n v="2600"/>
    <n v="20.7"/>
    <n v="20618"/>
    <s v="Completed"/>
    <x v="1"/>
    <s v="Electronics"/>
    <s v="Retail"/>
    <n v="41"/>
    <x v="2"/>
    <n v="1052"/>
  </r>
  <r>
    <s v="ORD-00099"/>
    <d v="2024-06-15T00:00:00"/>
    <s v="CUST-0170"/>
    <x v="46"/>
    <s v="R006"/>
    <n v="4"/>
    <n v="4060"/>
    <n v="13.9"/>
    <n v="13982.64"/>
    <s v="Completed"/>
    <x v="3"/>
    <s v="Grocery"/>
    <s v="SMB"/>
    <n v="22"/>
    <x v="0"/>
    <n v="2911"/>
  </r>
  <r>
    <s v="ORD-00100"/>
    <d v="2024-05-14T00:00:00"/>
    <s v="CUST-0164"/>
    <x v="33"/>
    <s v="R027"/>
    <n v="6"/>
    <n v="6080"/>
    <n v="16.5"/>
    <n v="30460.799999999999"/>
    <s v="Completed"/>
    <x v="1"/>
    <s v="Beauty"/>
    <s v="Retail"/>
    <n v="60"/>
    <x v="2"/>
    <n v="2617"/>
  </r>
  <r>
    <s v="ORD-00101"/>
    <d v="2024-09-22T00:00:00"/>
    <s v="CUST-0006"/>
    <x v="47"/>
    <s v="R028"/>
    <n v="6"/>
    <n v="2510"/>
    <n v="11.7"/>
    <n v="13297.98"/>
    <s v="Completed"/>
    <x v="0"/>
    <s v="Apparel"/>
    <s v="SMB"/>
    <n v="44"/>
    <x v="2"/>
    <n v="1075"/>
  </r>
  <r>
    <s v="ORD-00102"/>
    <d v="2024-08-05T00:00:00"/>
    <s v="CUST-0181"/>
    <x v="13"/>
    <s v="R026"/>
    <n v="5"/>
    <n v="3250"/>
    <n v="18.399999999999999"/>
    <n v="13260"/>
    <s v="Completed"/>
    <x v="2"/>
    <s v="Home"/>
    <s v="SMB"/>
    <n v="38"/>
    <x v="2"/>
    <n v="1556"/>
  </r>
  <r>
    <s v="ORD-00103"/>
    <d v="2024-02-07T00:00:00"/>
    <s v="CUST-0131"/>
    <x v="48"/>
    <s v="R005"/>
    <n v="4"/>
    <n v="5410"/>
    <n v="9.8000000000000007"/>
    <n v="19519.28"/>
    <s v="Cancelled"/>
    <x v="2"/>
    <s v="Sports"/>
    <s v="SMB"/>
    <n v="28"/>
    <x v="0"/>
    <n v="2265"/>
  </r>
  <r>
    <s v="ORD-00104"/>
    <d v="2024-04-29T00:00:00"/>
    <s v="CUST-0255"/>
    <x v="25"/>
    <s v="R018"/>
    <n v="8"/>
    <n v="3570"/>
    <n v="11.1"/>
    <n v="25389.84"/>
    <s v="Completed"/>
    <x v="1"/>
    <s v="Electronics"/>
    <s v="Corporate"/>
    <n v="51"/>
    <x v="3"/>
    <n v="1665"/>
  </r>
  <r>
    <s v="ORD-00105"/>
    <d v="2024-01-06T00:00:00"/>
    <s v="CUST-0170"/>
    <x v="49"/>
    <s v="R003"/>
    <n v="10"/>
    <n v="5330"/>
    <n v="21.2"/>
    <n v="42000.4"/>
    <s v="Completed"/>
    <x v="3"/>
    <s v="Electronics"/>
    <s v="SMB"/>
    <n v="22"/>
    <x v="0"/>
    <n v="2405"/>
  </r>
  <r>
    <s v="ORD-00106"/>
    <d v="2024-12-14T00:00:00"/>
    <s v="CUST-0081"/>
    <x v="50"/>
    <s v="R017"/>
    <n v="4"/>
    <n v="2380"/>
    <n v="26.2"/>
    <n v="7025.76"/>
    <s v="Completed"/>
    <x v="3"/>
    <s v="Grocery"/>
    <s v="Retail"/>
    <n v="25"/>
    <x v="3"/>
    <n v="1182"/>
  </r>
  <r>
    <s v="ORD-00107"/>
    <d v="2024-01-31T00:00:00"/>
    <s v="CUST-0102"/>
    <x v="23"/>
    <s v="R027"/>
    <n v="1"/>
    <n v="1010"/>
    <n v="19.5"/>
    <n v="813.05"/>
    <s v="Cancelled"/>
    <x v="1"/>
    <s v="Sports"/>
    <s v="SMB"/>
    <n v="62"/>
    <x v="2"/>
    <n v="516"/>
  </r>
  <r>
    <s v="ORD-00108"/>
    <d v="2024-05-02T00:00:00"/>
    <s v="CUST-0070"/>
    <x v="3"/>
    <s v="R025"/>
    <n v="1"/>
    <n v="3660"/>
    <n v="1.3"/>
    <n v="3612.42"/>
    <s v="Completed"/>
    <x v="3"/>
    <s v="Grocery"/>
    <s v="Retail"/>
    <n v="42"/>
    <x v="2"/>
    <n v="2214"/>
  </r>
  <r>
    <s v="ORD-00109"/>
    <d v="2024-10-27T00:00:00"/>
    <s v="CUST-0012"/>
    <x v="37"/>
    <s v="R013"/>
    <n v="2"/>
    <n v="4070"/>
    <n v="29"/>
    <n v="5779.4"/>
    <s v="Cancelled"/>
    <x v="0"/>
    <s v="Grocery"/>
    <s v="Retail"/>
    <n v="43"/>
    <x v="1"/>
    <n v="2027"/>
  </r>
  <r>
    <s v="ORD-00110"/>
    <d v="2024-05-27T00:00:00"/>
    <s v="CUST-0086"/>
    <x v="29"/>
    <s v="R029"/>
    <n v="6"/>
    <n v="660"/>
    <n v="20.2"/>
    <n v="3160.08"/>
    <s v="Pending"/>
    <x v="5"/>
    <s v="Home"/>
    <s v="Corporate"/>
    <n v="56"/>
    <x v="2"/>
    <n v="329"/>
  </r>
  <r>
    <s v="ORD-00111"/>
    <d v="2024-07-13T00:00:00"/>
    <s v="CUST-0145"/>
    <x v="18"/>
    <s v="R024"/>
    <n v="3"/>
    <n v="1080"/>
    <n v="29.7"/>
    <n v="2277.7199999999998"/>
    <s v="Completed"/>
    <x v="4"/>
    <s v="Home"/>
    <s v="SMB"/>
    <n v="44"/>
    <x v="2"/>
    <n v="519"/>
  </r>
  <r>
    <s v="ORD-00112"/>
    <d v="2024-12-03T00:00:00"/>
    <s v="CUST-0287"/>
    <x v="1"/>
    <s v="R006"/>
    <n v="7"/>
    <n v="820"/>
    <n v="13.5"/>
    <n v="4965.1000000000004"/>
    <s v="Cancelled"/>
    <x v="1"/>
    <s v="Apparel"/>
    <s v="SMB"/>
    <n v="53"/>
    <x v="0"/>
    <n v="391"/>
  </r>
  <r>
    <s v="ORD-00113"/>
    <d v="2024-04-12T00:00:00"/>
    <s v="CUST-0280"/>
    <x v="51"/>
    <s v="R027"/>
    <n v="4"/>
    <n v="960"/>
    <n v="26"/>
    <n v="2841.6"/>
    <s v="Completed"/>
    <x v="2"/>
    <s v="Beauty"/>
    <s v="SMB"/>
    <n v="27"/>
    <x v="2"/>
    <n v="675"/>
  </r>
  <r>
    <s v="ORD-00114"/>
    <d v="2024-06-10T00:00:00"/>
    <s v="CUST-0096"/>
    <x v="12"/>
    <s v="R014"/>
    <n v="3"/>
    <n v="2600"/>
    <n v="18.2"/>
    <n v="6380.4"/>
    <s v="Completed"/>
    <x v="2"/>
    <s v="Electronics"/>
    <s v="Corporate"/>
    <n v="27"/>
    <x v="1"/>
    <n v="1052"/>
  </r>
  <r>
    <s v="ORD-00115"/>
    <d v="2024-03-19T00:00:00"/>
    <s v="CUST-0184"/>
    <x v="44"/>
    <s v="R029"/>
    <n v="9"/>
    <n v="2030"/>
    <n v="26.1"/>
    <n v="13501.53"/>
    <s v="Completed"/>
    <x v="0"/>
    <s v="Home"/>
    <s v="Retail"/>
    <n v="63"/>
    <x v="2"/>
    <n v="1143"/>
  </r>
  <r>
    <s v="ORD-00116"/>
    <d v="2024-11-01T00:00:00"/>
    <s v="CUST-0025"/>
    <x v="52"/>
    <s v="R028"/>
    <n v="8"/>
    <n v="2290"/>
    <n v="20.8"/>
    <n v="14509.44"/>
    <s v="Completed"/>
    <x v="4"/>
    <s v="Beauty"/>
    <s v="Retail"/>
    <n v="23"/>
    <x v="2"/>
    <n v="1219"/>
  </r>
  <r>
    <s v="ORD-00117"/>
    <d v="2024-08-27T00:00:00"/>
    <s v="CUST-0149"/>
    <x v="30"/>
    <s v="R029"/>
    <n v="3"/>
    <n v="3730"/>
    <n v="7.9"/>
    <n v="10305.99"/>
    <s v="Completed"/>
    <x v="5"/>
    <s v="Home"/>
    <s v="Retail"/>
    <n v="44"/>
    <x v="2"/>
    <n v="2135"/>
  </r>
  <r>
    <s v="ORD-00118"/>
    <d v="2024-10-31T00:00:00"/>
    <s v="CUST-0018"/>
    <x v="42"/>
    <s v="R014"/>
    <n v="1"/>
    <n v="300"/>
    <n v="16.899999999999999"/>
    <n v="249.3"/>
    <s v="Pending"/>
    <x v="0"/>
    <s v="Electronics"/>
    <s v="SMB"/>
    <n v="54"/>
    <x v="1"/>
    <n v="128"/>
  </r>
  <r>
    <s v="ORD-00119"/>
    <d v="2024-05-08T00:00:00"/>
    <s v="CUST-0216"/>
    <x v="42"/>
    <s v="R012"/>
    <n v="3"/>
    <n v="300"/>
    <n v="0.6"/>
    <n v="894.6"/>
    <s v="Completed"/>
    <x v="3"/>
    <s v="Electronics"/>
    <s v="Retail"/>
    <n v="50"/>
    <x v="1"/>
    <n v="128"/>
  </r>
  <r>
    <s v="ORD-00120"/>
    <d v="2024-02-07T00:00:00"/>
    <s v="CUST-0092"/>
    <x v="22"/>
    <s v="R007"/>
    <n v="6"/>
    <n v="3350"/>
    <n v="2.2999999999999998"/>
    <n v="19637.7"/>
    <s v="Cancelled"/>
    <x v="4"/>
    <s v="Beauty"/>
    <s v="SMB"/>
    <n v="28"/>
    <x v="0"/>
    <n v="1728"/>
  </r>
  <r>
    <s v="ORD-00121"/>
    <d v="2024-05-04T00:00:00"/>
    <s v="CUST-0056"/>
    <x v="49"/>
    <s v="R003"/>
    <n v="4"/>
    <n v="5330"/>
    <n v="29.3"/>
    <n v="15073.24"/>
    <s v="Completed"/>
    <x v="4"/>
    <s v="Electronics"/>
    <s v="SMB"/>
    <n v="46"/>
    <x v="0"/>
    <n v="2405"/>
  </r>
  <r>
    <s v="ORD-00122"/>
    <d v="2024-11-18T00:00:00"/>
    <s v="CUST-0113"/>
    <x v="0"/>
    <s v="R002"/>
    <n v="6"/>
    <n v="3620"/>
    <n v="10.8"/>
    <n v="19374.240000000002"/>
    <s v="Completed"/>
    <x v="2"/>
    <s v="Apparel"/>
    <s v="Retail"/>
    <n v="30"/>
    <x v="0"/>
    <n v="2509"/>
  </r>
  <r>
    <s v="ORD-00123"/>
    <d v="2024-10-28T00:00:00"/>
    <s v="CUST-0253"/>
    <x v="0"/>
    <s v="R005"/>
    <n v="6"/>
    <n v="3620"/>
    <n v="21.7"/>
    <n v="17006.759999999998"/>
    <s v="Completed"/>
    <x v="2"/>
    <s v="Apparel"/>
    <s v="SMB"/>
    <n v="53"/>
    <x v="0"/>
    <n v="2509"/>
  </r>
  <r>
    <s v="ORD-00124"/>
    <d v="2024-03-09T00:00:00"/>
    <s v="CUST-0187"/>
    <x v="6"/>
    <s v="R008"/>
    <n v="8"/>
    <n v="960"/>
    <n v="27.9"/>
    <n v="5537.28"/>
    <s v="Completed"/>
    <x v="1"/>
    <s v="Sports"/>
    <s v="SMB"/>
    <n v="51"/>
    <x v="0"/>
    <n v="705"/>
  </r>
  <r>
    <s v="ORD-00125"/>
    <d v="2024-12-02T00:00:00"/>
    <s v="CUST-0028"/>
    <x v="21"/>
    <s v="R025"/>
    <n v="5"/>
    <n v="1650"/>
    <n v="4.9000000000000004"/>
    <n v="7845.75"/>
    <s v="Completed"/>
    <x v="4"/>
    <s v="Beauty"/>
    <s v="Retail"/>
    <n v="59"/>
    <x v="2"/>
    <n v="1222"/>
  </r>
  <r>
    <s v="ORD-00126"/>
    <d v="2024-10-27T00:00:00"/>
    <s v="CUST-0224"/>
    <x v="51"/>
    <s v="R010"/>
    <n v="9"/>
    <n v="960"/>
    <n v="25.1"/>
    <n v="6471.36"/>
    <s v="Refunded"/>
    <x v="1"/>
    <s v="Beauty"/>
    <s v="Corporate"/>
    <n v="24"/>
    <x v="1"/>
    <n v="675"/>
  </r>
  <r>
    <s v="ORD-00127"/>
    <d v="2024-06-10T00:00:00"/>
    <s v="CUST-0150"/>
    <x v="53"/>
    <s v="R003"/>
    <n v="7"/>
    <n v="3970"/>
    <n v="13.8"/>
    <n v="23954.98"/>
    <s v="Pending"/>
    <x v="0"/>
    <s v="Electronics"/>
    <s v="SMB"/>
    <n v="53"/>
    <x v="0"/>
    <n v="2865"/>
  </r>
  <r>
    <s v="ORD-00128"/>
    <d v="2024-11-16T00:00:00"/>
    <s v="CUST-0129"/>
    <x v="9"/>
    <s v="R005"/>
    <n v="7"/>
    <n v="970"/>
    <n v="21.6"/>
    <n v="5323.36"/>
    <s v="Pending"/>
    <x v="5"/>
    <s v="Grocery"/>
    <s v="Retail"/>
    <n v="29"/>
    <x v="0"/>
    <n v="434"/>
  </r>
  <r>
    <s v="ORD-00129"/>
    <d v="2024-09-06T00:00:00"/>
    <s v="CUST-0239"/>
    <x v="44"/>
    <s v="R001"/>
    <n v="10"/>
    <n v="2030"/>
    <n v="1.2"/>
    <n v="20056.400000000001"/>
    <s v="Completed"/>
    <x v="3"/>
    <s v="Home"/>
    <s v="Retail"/>
    <n v="61"/>
    <x v="0"/>
    <n v="1143"/>
  </r>
  <r>
    <s v="ORD-00130"/>
    <d v="2024-12-14T00:00:00"/>
    <s v="CUST-0106"/>
    <x v="10"/>
    <s v="R021"/>
    <n v="9"/>
    <n v="2270"/>
    <n v="13.2"/>
    <n v="17733.240000000002"/>
    <s v="Pending"/>
    <x v="0"/>
    <s v="Grocery"/>
    <s v="Retail"/>
    <n v="22"/>
    <x v="3"/>
    <n v="1203"/>
  </r>
  <r>
    <s v="ORD-00131"/>
    <d v="2024-08-20T00:00:00"/>
    <s v="CUST-0273"/>
    <x v="24"/>
    <s v="R003"/>
    <n v="8"/>
    <n v="4880"/>
    <n v="13.4"/>
    <n v="33808.639999999999"/>
    <s v="Completed"/>
    <x v="5"/>
    <s v="Beauty"/>
    <s v="Corporate"/>
    <n v="32"/>
    <x v="0"/>
    <n v="2768"/>
  </r>
  <r>
    <s v="ORD-00132"/>
    <d v="2024-02-22T00:00:00"/>
    <s v="CUST-0114"/>
    <x v="35"/>
    <s v="R011"/>
    <n v="10"/>
    <n v="3870"/>
    <n v="23.9"/>
    <n v="29450.7"/>
    <s v="Completed"/>
    <x v="4"/>
    <s v="Electronics"/>
    <s v="Corporate"/>
    <n v="42"/>
    <x v="1"/>
    <n v="1559"/>
  </r>
  <r>
    <s v="ORD-00133"/>
    <d v="2024-06-20T00:00:00"/>
    <s v="CUST-0146"/>
    <x v="52"/>
    <s v="R002"/>
    <n v="4"/>
    <n v="2290"/>
    <n v="15.2"/>
    <n v="7767.68"/>
    <s v="Completed"/>
    <x v="5"/>
    <s v="Beauty"/>
    <s v="Retail"/>
    <n v="22"/>
    <x v="0"/>
    <n v="1219"/>
  </r>
  <r>
    <s v="ORD-00134"/>
    <d v="2024-05-31T00:00:00"/>
    <s v="CUST-0298"/>
    <x v="50"/>
    <s v="R020"/>
    <n v="8"/>
    <n v="2380"/>
    <n v="4.2"/>
    <n v="18240.32"/>
    <s v="Completed"/>
    <x v="2"/>
    <s v="Grocery"/>
    <s v="Retail"/>
    <n v="44"/>
    <x v="3"/>
    <n v="1182"/>
  </r>
  <r>
    <s v="ORD-00135"/>
    <d v="2024-01-10T00:00:00"/>
    <s v="CUST-0111"/>
    <x v="45"/>
    <s v="R013"/>
    <n v="8"/>
    <n v="2210"/>
    <n v="11.5"/>
    <n v="15646.8"/>
    <s v="Completed"/>
    <x v="1"/>
    <s v="Grocery"/>
    <s v="SMB"/>
    <n v="64"/>
    <x v="1"/>
    <n v="1010"/>
  </r>
  <r>
    <s v="ORD-01445"/>
    <d v="2024-03-09T00:00:00"/>
    <s v="CUST-0291"/>
    <x v="49"/>
    <s v="R022"/>
    <n v="4"/>
    <n v="5330"/>
    <n v="22.6"/>
    <n v="16501.68"/>
    <s v="Pending"/>
    <x v="0"/>
    <s v="Electronics"/>
    <s v="SMB"/>
    <n v="29"/>
    <x v="3"/>
    <n v="2405"/>
  </r>
  <r>
    <s v="ORD-00137"/>
    <d v="2024-09-24T00:00:00"/>
    <s v="CUST-0024"/>
    <x v="53"/>
    <s v="R022"/>
    <n v="8"/>
    <n v="3970"/>
    <n v="21.8"/>
    <n v="24836.32"/>
    <s v="Completed"/>
    <x v="1"/>
    <s v="Electronics"/>
    <s v="SMB"/>
    <n v="64"/>
    <x v="3"/>
    <n v="2865"/>
  </r>
  <r>
    <s v="ORD-00138"/>
    <d v="2024-09-11T00:00:00"/>
    <s v="CUST-0210"/>
    <x v="4"/>
    <s v="R020"/>
    <n v="10"/>
    <n v="3160"/>
    <n v="16.100000000000001"/>
    <n v="26512.400000000001"/>
    <s v="Cancelled"/>
    <x v="0"/>
    <s v="Apparel"/>
    <s v="Corporate"/>
    <n v="48"/>
    <x v="3"/>
    <n v="1886"/>
  </r>
  <r>
    <s v="ORD-00139"/>
    <d v="2024-05-13T00:00:00"/>
    <s v="CUST-0192"/>
    <x v="14"/>
    <s v="R009"/>
    <n v="5"/>
    <n v="190"/>
    <n v="14.8"/>
    <n v="809.4"/>
    <s v="Completed"/>
    <x v="4"/>
    <s v="Sports"/>
    <s v="Retail"/>
    <n v="55"/>
    <x v="1"/>
    <n v="147"/>
  </r>
  <r>
    <s v="ORD-00140"/>
    <d v="2024-02-29T00:00:00"/>
    <s v="CUST-0078"/>
    <x v="28"/>
    <s v="R007"/>
    <n v="6"/>
    <n v="2760"/>
    <n v="19.8"/>
    <n v="13281.12"/>
    <s v="Completed"/>
    <x v="2"/>
    <s v="Grocery"/>
    <s v="Retail"/>
    <n v="31"/>
    <x v="0"/>
    <n v="1435"/>
  </r>
  <r>
    <s v="ORD-00141"/>
    <d v="2024-11-08T00:00:00"/>
    <s v="CUST-0070"/>
    <x v="34"/>
    <s v="R019"/>
    <n v="9"/>
    <n v="2270"/>
    <n v="20.8"/>
    <n v="16180.56"/>
    <s v="Cancelled"/>
    <x v="3"/>
    <s v="Grocery"/>
    <s v="Retail"/>
    <n v="42"/>
    <x v="3"/>
    <n v="1412"/>
  </r>
  <r>
    <s v="ORD-00142"/>
    <d v="2024-02-06T00:00:00"/>
    <s v="CUST-0159"/>
    <x v="48"/>
    <s v="R001"/>
    <n v="8"/>
    <n v="5410"/>
    <n v="12.9"/>
    <n v="37696.879999999997"/>
    <s v="Completed"/>
    <x v="5"/>
    <s v="Sports"/>
    <s v="Retail"/>
    <n v="32"/>
    <x v="0"/>
    <n v="2265"/>
  </r>
  <r>
    <s v="ORD-00143"/>
    <d v="2024-08-04T00:00:00"/>
    <s v="CUST-0294"/>
    <x v="10"/>
    <s v="R009"/>
    <n v="9"/>
    <n v="2270"/>
    <n v="6.8"/>
    <n v="19040.759999999998"/>
    <s v="Completed"/>
    <x v="2"/>
    <s v="Grocery"/>
    <s v="Corporate"/>
    <n v="31"/>
    <x v="1"/>
    <n v="1203"/>
  </r>
  <r>
    <s v="ORD-00144"/>
    <d v="2024-01-18T00:00:00"/>
    <s v="CUST-0280"/>
    <x v="4"/>
    <s v="R001"/>
    <n v="3"/>
    <n v="3160"/>
    <n v="12.8"/>
    <n v="8266.56"/>
    <s v="Completed"/>
    <x v="2"/>
    <s v="Apparel"/>
    <s v="SMB"/>
    <n v="27"/>
    <x v="0"/>
    <n v="1886"/>
  </r>
  <r>
    <s v="ORD-00145"/>
    <d v="2024-06-05T00:00:00"/>
    <s v="CUST-0291"/>
    <x v="46"/>
    <s v="R028"/>
    <n v="8"/>
    <n v="4060"/>
    <n v="20.9"/>
    <n v="25691.68"/>
    <s v="Completed"/>
    <x v="0"/>
    <s v="Grocery"/>
    <s v="SMB"/>
    <n v="29"/>
    <x v="2"/>
    <n v="2911"/>
  </r>
  <r>
    <s v="ORD-00146"/>
    <d v="2024-06-06T00:00:00"/>
    <s v="CUST-9657"/>
    <x v="1"/>
    <s v="R018"/>
    <n v="5"/>
    <n v="820"/>
    <n v="9.1"/>
    <n v="3726.9"/>
    <s v="Refunded"/>
    <x v="0"/>
    <s v="Apparel"/>
    <e v="#N/A"/>
    <e v="#N/A"/>
    <x v="3"/>
    <n v="391"/>
  </r>
  <r>
    <s v="ORD-00147"/>
    <d v="2024-09-20T00:00:00"/>
    <s v="CUST-0080"/>
    <x v="5"/>
    <s v="R007"/>
    <n v="5"/>
    <n v="370"/>
    <n v="11.5"/>
    <n v="1637.25"/>
    <s v="Completed"/>
    <x v="0"/>
    <s v="Home"/>
    <s v="SMB"/>
    <n v="30"/>
    <x v="0"/>
    <n v="288"/>
  </r>
  <r>
    <s v="ORD-00148"/>
    <d v="2024-02-19T00:00:00"/>
    <s v="CUST-0172"/>
    <x v="54"/>
    <s v="R002"/>
    <n v="9"/>
    <n v="5080"/>
    <n v="27.5"/>
    <n v="33147"/>
    <s v="Completed"/>
    <x v="0"/>
    <s v="Home"/>
    <s v="Retail"/>
    <n v="65"/>
    <x v="0"/>
    <n v="2459"/>
  </r>
  <r>
    <s v="ORD-00149"/>
    <d v="2024-05-10T00:00:00"/>
    <s v="CUST-0051"/>
    <x v="37"/>
    <s v="R012"/>
    <n v="6"/>
    <n v="4070"/>
    <n v="12.5"/>
    <n v="21367.5"/>
    <s v="Completed"/>
    <x v="0"/>
    <s v="Grocery"/>
    <s v="SMB"/>
    <n v="54"/>
    <x v="1"/>
    <n v="2027"/>
  </r>
  <r>
    <s v="ORD-00150"/>
    <d v="2024-02-24T00:00:00"/>
    <s v="CUST-0080"/>
    <x v="42"/>
    <s v="R024"/>
    <n v="5"/>
    <n v="300"/>
    <n v="25.8"/>
    <n v="1113"/>
    <s v="Completed"/>
    <x v="0"/>
    <s v="Electronics"/>
    <s v="SMB"/>
    <n v="30"/>
    <x v="2"/>
    <n v="128"/>
  </r>
  <r>
    <s v="ORD-00151"/>
    <d v="2024-01-27T00:00:00"/>
    <s v="CUST-0137"/>
    <x v="26"/>
    <s v="R011"/>
    <n v="7"/>
    <n v="5100"/>
    <n v="28.8"/>
    <n v="25418.400000000001"/>
    <s v="Completed"/>
    <x v="3"/>
    <s v="Beauty"/>
    <s v="Retail"/>
    <n v="41"/>
    <x v="1"/>
    <n v="2237"/>
  </r>
  <r>
    <s v="ORD-00152"/>
    <d v="2024-08-17T00:00:00"/>
    <s v="CUST-0222"/>
    <x v="8"/>
    <s v="R012"/>
    <n v="2"/>
    <n v="5490"/>
    <n v="5.5"/>
    <n v="10376.1"/>
    <s v="Completed"/>
    <x v="1"/>
    <s v="Home"/>
    <s v="Retail"/>
    <n v="37"/>
    <x v="1"/>
    <n v="2549"/>
  </r>
  <r>
    <s v="ORD-00153"/>
    <d v="2024-10-30T00:00:00"/>
    <s v="CUST-0117"/>
    <x v="55"/>
    <s v="R015"/>
    <n v="2"/>
    <n v="3450"/>
    <n v="1.2"/>
    <n v="6817.2"/>
    <s v="Completed"/>
    <x v="2"/>
    <s v="Apparel"/>
    <s v="SMB"/>
    <n v="34"/>
    <x v="1"/>
    <n v="1748"/>
  </r>
  <r>
    <s v="ORD-00154"/>
    <d v="2024-08-26T00:00:00"/>
    <s v="CUST-0104"/>
    <x v="45"/>
    <s v="R002"/>
    <n v="10"/>
    <n v="2210"/>
    <n v="18.8"/>
    <n v="17945.2"/>
    <s v="Completed"/>
    <x v="5"/>
    <s v="Grocery"/>
    <s v="Corporate"/>
    <n v="43"/>
    <x v="0"/>
    <n v="1010"/>
  </r>
  <r>
    <s v="ORD-00155"/>
    <d v="2024-12-18T00:00:00"/>
    <s v="CUST-0082"/>
    <x v="13"/>
    <s v="R013"/>
    <n v="2"/>
    <n v="3250"/>
    <n v="26.2"/>
    <n v="4797"/>
    <s v="Completed"/>
    <x v="5"/>
    <s v="Home"/>
    <s v="SMB"/>
    <n v="36"/>
    <x v="1"/>
    <n v="1556"/>
  </r>
  <r>
    <s v="ORD-00156"/>
    <d v="2024-01-07T00:00:00"/>
    <s v="CUST-0165"/>
    <x v="4"/>
    <s v="R001"/>
    <n v="5"/>
    <n v="3160"/>
    <n v="0.9"/>
    <n v="15657.8"/>
    <s v="Completed"/>
    <x v="0"/>
    <s v="Apparel"/>
    <s v="Retail"/>
    <n v="29"/>
    <x v="0"/>
    <n v="1886"/>
  </r>
  <r>
    <s v="ORD-00157"/>
    <d v="2024-06-04T00:00:00"/>
    <s v="CUST-0150"/>
    <x v="35"/>
    <s v="R030"/>
    <n v="4"/>
    <n v="3870"/>
    <n v="29.6"/>
    <n v="10897.92"/>
    <s v="Cancelled"/>
    <x v="0"/>
    <s v="Electronics"/>
    <s v="SMB"/>
    <n v="53"/>
    <x v="2"/>
    <n v="1559"/>
  </r>
  <r>
    <s v="ORD-00158"/>
    <d v="2024-11-05T00:00:00"/>
    <s v="CUST-0228"/>
    <x v="56"/>
    <s v="R022"/>
    <n v="4"/>
    <n v="3780"/>
    <n v="3.5"/>
    <n v="14590.8"/>
    <s v="Cancelled"/>
    <x v="0"/>
    <s v="Sports"/>
    <s v="Corporate"/>
    <n v="37"/>
    <x v="3"/>
    <n v="1860"/>
  </r>
  <r>
    <s v="ORD-00159"/>
    <d v="2024-05-16T00:00:00"/>
    <s v="CUST-0197"/>
    <x v="40"/>
    <s v="R021"/>
    <n v="4"/>
    <n v="3020"/>
    <n v="18.899999999999999"/>
    <n v="9796.8799999999992"/>
    <s v="Completed"/>
    <x v="4"/>
    <s v="Beauty"/>
    <s v="Retail"/>
    <n v="55"/>
    <x v="3"/>
    <n v="1626"/>
  </r>
  <r>
    <s v="ORD-00160"/>
    <d v="2024-04-27T00:00:00"/>
    <s v="CUST-0009"/>
    <x v="30"/>
    <s v="R015"/>
    <n v="1"/>
    <n v="3730"/>
    <n v="10.8"/>
    <n v="3327.16"/>
    <s v="Refunded"/>
    <x v="3"/>
    <s v="Home"/>
    <s v="Retail"/>
    <n v="61"/>
    <x v="1"/>
    <n v="2135"/>
  </r>
  <r>
    <s v="ORD-00161"/>
    <d v="2024-04-12T00:00:00"/>
    <s v="CUST-0139"/>
    <x v="24"/>
    <s v="R018"/>
    <n v="8"/>
    <n v="4880"/>
    <n v="20.3"/>
    <n v="31114.880000000001"/>
    <s v="Completed"/>
    <x v="5"/>
    <s v="Beauty"/>
    <s v="SMB"/>
    <n v="65"/>
    <x v="3"/>
    <n v="2768"/>
  </r>
  <r>
    <s v="ORD-00162"/>
    <d v="2024-10-14T00:00:00"/>
    <s v="CUST-0184"/>
    <x v="9"/>
    <s v="R026"/>
    <n v="9"/>
    <n v="970"/>
    <n v="18.2"/>
    <n v="7141.14"/>
    <s v="Completed"/>
    <x v="0"/>
    <s v="Grocery"/>
    <s v="Retail"/>
    <n v="63"/>
    <x v="2"/>
    <n v="434"/>
  </r>
  <r>
    <s v="ORD-00163"/>
    <d v="2024-05-30T00:00:00"/>
    <s v="CUST-0119"/>
    <x v="41"/>
    <s v="R017"/>
    <n v="8"/>
    <n v="2660"/>
    <n v="17.600000000000001"/>
    <n v="17534.72"/>
    <s v="Completed"/>
    <x v="4"/>
    <s v="Electronics"/>
    <s v="SMB"/>
    <n v="43"/>
    <x v="3"/>
    <n v="1259"/>
  </r>
  <r>
    <s v="ORD-00164"/>
    <d v="2024-05-02T00:00:00"/>
    <s v="CUST-0280"/>
    <x v="1"/>
    <s v="R015"/>
    <n v="2"/>
    <n v="820"/>
    <n v="18.100000000000001"/>
    <n v="1343.16"/>
    <s v="Cancelled"/>
    <x v="2"/>
    <s v="Apparel"/>
    <s v="SMB"/>
    <n v="27"/>
    <x v="1"/>
    <n v="391"/>
  </r>
  <r>
    <s v="ORD-00165"/>
    <d v="2024-02-27T00:00:00"/>
    <s v="CUST-0240"/>
    <x v="44"/>
    <s v="R009"/>
    <n v="7"/>
    <n v="2030"/>
    <n v="23.7"/>
    <n v="10842.23"/>
    <s v="Pending"/>
    <x v="1"/>
    <s v="Home"/>
    <s v="Corporate"/>
    <n v="35"/>
    <x v="1"/>
    <n v="1143"/>
  </r>
  <r>
    <s v="ORD-00166"/>
    <d v="2024-08-29T00:00:00"/>
    <s v="CUST-0067"/>
    <x v="43"/>
    <s v="R009"/>
    <n v="5"/>
    <n v="620"/>
    <n v="13.8"/>
    <n v="2672.2"/>
    <s v="Completed"/>
    <x v="2"/>
    <s v="Apparel"/>
    <s v="SMB"/>
    <n v="59"/>
    <x v="1"/>
    <n v="396"/>
  </r>
  <r>
    <s v="ORD-00167"/>
    <d v="2024-07-16T00:00:00"/>
    <s v="CUST-0117"/>
    <x v="34"/>
    <s v="R022"/>
    <n v="7"/>
    <n v="2270"/>
    <n v="5.5"/>
    <n v="15016.05"/>
    <s v="Completed"/>
    <x v="2"/>
    <s v="Grocery"/>
    <s v="SMB"/>
    <n v="34"/>
    <x v="3"/>
    <n v="1412"/>
  </r>
  <r>
    <s v="ORD-00168"/>
    <d v="2024-06-14T00:00:00"/>
    <s v="CUST-0101"/>
    <x v="2"/>
    <s v="R016"/>
    <n v="1"/>
    <n v="470"/>
    <n v="13.7"/>
    <n v="405.61"/>
    <s v="Pending"/>
    <x v="5"/>
    <s v="Sports"/>
    <s v="SMB"/>
    <n v="40"/>
    <x v="1"/>
    <n v="302"/>
  </r>
  <r>
    <s v="ORD-00169"/>
    <d v="2024-11-05T00:00:00"/>
    <s v="CUST-0184"/>
    <x v="49"/>
    <s v="R007"/>
    <n v="6"/>
    <n v="5330"/>
    <n v="17.899999999999999"/>
    <n v="26255.58"/>
    <s v="Completed"/>
    <x v="0"/>
    <s v="Electronics"/>
    <s v="Retail"/>
    <n v="63"/>
    <x v="0"/>
    <n v="2405"/>
  </r>
  <r>
    <s v="ORD-00170"/>
    <d v="2024-01-03T00:00:00"/>
    <s v="CUST-0087"/>
    <x v="33"/>
    <s v="R002"/>
    <n v="1"/>
    <n v="6080"/>
    <n v="25.5"/>
    <n v="4529.6000000000004"/>
    <s v="Completed"/>
    <x v="0"/>
    <s v="Beauty"/>
    <s v="SMB"/>
    <n v="49"/>
    <x v="0"/>
    <n v="2617"/>
  </r>
  <r>
    <s v="ORD-00171"/>
    <d v="2024-02-23T00:00:00"/>
    <s v="CUST-0261"/>
    <x v="31"/>
    <s v="R022"/>
    <n v="5"/>
    <n v="3780"/>
    <n v="28.6"/>
    <n v="13494.6"/>
    <s v="Completed"/>
    <x v="2"/>
    <s v="Grocery"/>
    <s v="Retail"/>
    <n v="54"/>
    <x v="3"/>
    <n v="2436"/>
  </r>
  <r>
    <s v="ORD-00172"/>
    <d v="2024-04-09T00:00:00"/>
    <s v="CUST-0027"/>
    <x v="43"/>
    <s v="R010"/>
    <n v="5"/>
    <n v="620"/>
    <n v="6.9"/>
    <n v="2886.1"/>
    <s v="Cancelled"/>
    <x v="5"/>
    <s v="Apparel"/>
    <s v="Corporate"/>
    <n v="52"/>
    <x v="1"/>
    <n v="396"/>
  </r>
  <r>
    <s v="ORD-00173"/>
    <d v="2024-05-07T00:00:00"/>
    <s v="CUST-0210"/>
    <x v="47"/>
    <s v="R027"/>
    <n v="8"/>
    <n v="2510"/>
    <n v="0.7"/>
    <n v="19939.439999999999"/>
    <s v="Completed"/>
    <x v="0"/>
    <s v="Apparel"/>
    <s v="Corporate"/>
    <n v="48"/>
    <x v="2"/>
    <n v="1075"/>
  </r>
  <r>
    <s v="ORD-00174"/>
    <d v="2024-01-15T00:00:00"/>
    <s v="CUST-0163"/>
    <x v="20"/>
    <s v="R020"/>
    <n v="1"/>
    <n v="2720"/>
    <n v="13.7"/>
    <n v="2347.36"/>
    <s v="Completed"/>
    <x v="0"/>
    <s v="Apparel"/>
    <s v="Retail"/>
    <n v="49"/>
    <x v="3"/>
    <n v="1962"/>
  </r>
  <r>
    <s v="ORD-00175"/>
    <d v="2024-09-11T00:00:00"/>
    <s v="CUST-0059"/>
    <x v="2"/>
    <s v="R018"/>
    <n v="9"/>
    <n v="470"/>
    <n v="23.6"/>
    <n v="3231.72"/>
    <s v="Completed"/>
    <x v="0"/>
    <s v="Sports"/>
    <s v="Corporate"/>
    <n v="29"/>
    <x v="3"/>
    <n v="302"/>
  </r>
  <r>
    <s v="ORD-00176"/>
    <d v="2024-12-07T00:00:00"/>
    <s v="CUST-0020"/>
    <x v="13"/>
    <s v="R018"/>
    <n v="10"/>
    <n v="3250"/>
    <n v="21"/>
    <n v="25675"/>
    <s v="Cancelled"/>
    <x v="5"/>
    <s v="Home"/>
    <s v="Retail"/>
    <n v="46"/>
    <x v="3"/>
    <n v="1556"/>
  </r>
  <r>
    <s v="ORD-00177"/>
    <d v="2024-12-23T00:00:00"/>
    <s v="CUST-0048"/>
    <x v="54"/>
    <s v="R028"/>
    <n v="6"/>
    <n v="5080"/>
    <n v="16.8"/>
    <n v="25359.360000000001"/>
    <s v="Pending"/>
    <x v="2"/>
    <s v="Home"/>
    <s v="Retail"/>
    <n v="59"/>
    <x v="2"/>
    <n v="2459"/>
  </r>
  <r>
    <s v="ORD-00178"/>
    <d v="2024-01-21T00:00:00"/>
    <s v="CUST-0172"/>
    <x v="25"/>
    <s v="R012"/>
    <n v="2"/>
    <n v="3570"/>
    <n v="6.7"/>
    <n v="6661.62"/>
    <s v="Cancelled"/>
    <x v="0"/>
    <s v="Electronics"/>
    <s v="Retail"/>
    <n v="65"/>
    <x v="1"/>
    <n v="1665"/>
  </r>
  <r>
    <s v="ORD-00179"/>
    <d v="2024-03-31T00:00:00"/>
    <s v="CUST-0124"/>
    <x v="32"/>
    <s v="R012"/>
    <n v="4"/>
    <n v="3640"/>
    <n v="18.399999999999999"/>
    <n v="11880.96"/>
    <s v="Completed"/>
    <x v="0"/>
    <s v="Apparel"/>
    <s v="Retail"/>
    <n v="57"/>
    <x v="1"/>
    <n v="2611"/>
  </r>
  <r>
    <s v="ORD-00180"/>
    <d v="2024-08-20T00:00:00"/>
    <s v="CUST-0184"/>
    <x v="37"/>
    <s v="R001"/>
    <n v="8"/>
    <n v="4070"/>
    <n v="6.6"/>
    <n v="30411.040000000001"/>
    <s v="Completed"/>
    <x v="0"/>
    <s v="Grocery"/>
    <s v="Retail"/>
    <n v="63"/>
    <x v="0"/>
    <n v="2027"/>
  </r>
  <r>
    <s v="ORD-00181"/>
    <d v="2024-04-10T00:00:00"/>
    <s v="CUST-0259"/>
    <x v="55"/>
    <s v="R012"/>
    <n v="6"/>
    <n v="3450"/>
    <n v="14.4"/>
    <n v="17719.2"/>
    <s v="Pending"/>
    <x v="3"/>
    <s v="Apparel"/>
    <s v="Retail"/>
    <n v="34"/>
    <x v="1"/>
    <n v="1748"/>
  </r>
  <r>
    <s v="ORD-00182"/>
    <d v="2024-05-31T00:00:00"/>
    <s v="CUST-0204"/>
    <x v="54"/>
    <s v="R029"/>
    <n v="7"/>
    <n v="5080"/>
    <n v="25.4"/>
    <n v="26527.759999999998"/>
    <s v="Pending"/>
    <x v="5"/>
    <s v="Home"/>
    <s v="Retail"/>
    <n v="60"/>
    <x v="2"/>
    <n v="2459"/>
  </r>
  <r>
    <s v="ORD-00183"/>
    <d v="2024-02-11T00:00:00"/>
    <s v="CUST-0032"/>
    <x v="28"/>
    <s v="R028"/>
    <n v="10"/>
    <n v="2760"/>
    <n v="20.100000000000001"/>
    <n v="22052.400000000001"/>
    <s v="Completed"/>
    <x v="5"/>
    <s v="Grocery"/>
    <s v="Retail"/>
    <n v="28"/>
    <x v="2"/>
    <n v="1435"/>
  </r>
  <r>
    <s v="ORD-00184"/>
    <d v="2024-06-13T00:00:00"/>
    <s v="CUST-0239"/>
    <x v="21"/>
    <s v="R016"/>
    <n v="6"/>
    <n v="1650"/>
    <n v="11.3"/>
    <n v="8781.2999999999993"/>
    <s v="Pending"/>
    <x v="3"/>
    <s v="Beauty"/>
    <s v="Retail"/>
    <n v="61"/>
    <x v="1"/>
    <n v="1222"/>
  </r>
  <r>
    <s v="ORD-00185"/>
    <d v="2024-01-04T00:00:00"/>
    <s v="CUST-0191"/>
    <x v="35"/>
    <s v="R007"/>
    <n v="9"/>
    <n v="3870"/>
    <n v="27.5"/>
    <n v="25251.75"/>
    <s v="Completed"/>
    <x v="5"/>
    <s v="Electronics"/>
    <s v="SMB"/>
    <n v="43"/>
    <x v="0"/>
    <n v="1559"/>
  </r>
  <r>
    <s v="ORD-00186"/>
    <d v="2024-08-28T00:00:00"/>
    <s v="CUST-0284"/>
    <x v="57"/>
    <s v="R022"/>
    <n v="2"/>
    <n v="1090"/>
    <n v="18.7"/>
    <n v="1772.34"/>
    <s v="Refunded"/>
    <x v="5"/>
    <s v="Home"/>
    <s v="SMB"/>
    <n v="65"/>
    <x v="3"/>
    <n v="464"/>
  </r>
  <r>
    <s v="ORD-00187"/>
    <d v="2024-09-29T00:00:00"/>
    <s v="CUST-0274"/>
    <x v="51"/>
    <s v="R025"/>
    <n v="4"/>
    <n v="960"/>
    <n v="23.4"/>
    <n v="2941.44"/>
    <s v="Completed"/>
    <x v="4"/>
    <s v="Beauty"/>
    <s v="Corporate"/>
    <n v="36"/>
    <x v="2"/>
    <n v="675"/>
  </r>
  <r>
    <s v="ORD-00188"/>
    <d v="2024-09-04T00:00:00"/>
    <s v="CUST-0234"/>
    <x v="22"/>
    <s v="R021"/>
    <n v="3"/>
    <n v="3350"/>
    <n v="17.899999999999999"/>
    <n v="8251.0499999999993"/>
    <s v="Completed"/>
    <x v="4"/>
    <s v="Beauty"/>
    <s v="Retail"/>
    <n v="34"/>
    <x v="3"/>
    <n v="1728"/>
  </r>
  <r>
    <s v="ORD-00189"/>
    <d v="2024-11-09T00:00:00"/>
    <s v="CUST-0264"/>
    <x v="34"/>
    <s v="R005"/>
    <n v="4"/>
    <n v="2270"/>
    <n v="29"/>
    <n v="6446.8"/>
    <s v="Completed"/>
    <x v="0"/>
    <s v="Grocery"/>
    <s v="Retail"/>
    <n v="59"/>
    <x v="0"/>
    <n v="1412"/>
  </r>
  <r>
    <s v="ORD-00190"/>
    <d v="2024-06-17T00:00:00"/>
    <s v="CUST-0192"/>
    <x v="39"/>
    <s v="R023"/>
    <n v="9"/>
    <n v="4610"/>
    <n v="28.3"/>
    <n v="29748.33"/>
    <s v="Pending"/>
    <x v="4"/>
    <s v="Home"/>
    <s v="Retail"/>
    <n v="55"/>
    <x v="3"/>
    <n v="1850"/>
  </r>
  <r>
    <s v="ORD-00191"/>
    <d v="2024-09-03T00:00:00"/>
    <s v="CUST-0041"/>
    <x v="4"/>
    <s v="R009"/>
    <n v="3"/>
    <n v="3160"/>
    <n v="7.3"/>
    <n v="8787.9599999999991"/>
    <s v="Completed"/>
    <x v="4"/>
    <s v="Apparel"/>
    <s v="SMB"/>
    <n v="26"/>
    <x v="1"/>
    <n v="1886"/>
  </r>
  <r>
    <s v="ORD-00192"/>
    <d v="2024-10-08T00:00:00"/>
    <s v="CUST-0043"/>
    <x v="34"/>
    <s v="R004"/>
    <n v="8"/>
    <n v="2270"/>
    <n v="15.6"/>
    <n v="15327.04"/>
    <s v="Completed"/>
    <x v="5"/>
    <s v="Grocery"/>
    <s v="Retail"/>
    <n v="61"/>
    <x v="0"/>
    <n v="1412"/>
  </r>
  <r>
    <s v="ORD-00193"/>
    <d v="2024-07-10T00:00:00"/>
    <s v="CUST-0147"/>
    <x v="40"/>
    <s v="R028"/>
    <n v="8"/>
    <n v="3020"/>
    <n v="16.3"/>
    <n v="20221.919999999998"/>
    <s v="Cancelled"/>
    <x v="0"/>
    <s v="Beauty"/>
    <s v="Retail"/>
    <n v="56"/>
    <x v="2"/>
    <n v="1626"/>
  </r>
  <r>
    <s v="ORD-00194"/>
    <d v="2024-11-21T00:00:00"/>
    <s v="CUST-0056"/>
    <x v="58"/>
    <s v="R030"/>
    <n v="7"/>
    <n v="6940"/>
    <n v="8.5"/>
    <n v="44450.7"/>
    <s v="Completed"/>
    <x v="4"/>
    <s v="Sports"/>
    <s v="SMB"/>
    <n v="46"/>
    <x v="2"/>
    <n v="2827"/>
  </r>
  <r>
    <s v="ORD-00195"/>
    <d v="2024-09-11T00:00:00"/>
    <s v="CUST-0059"/>
    <x v="36"/>
    <s v="R012"/>
    <n v="8"/>
    <n v="1540"/>
    <n v="21"/>
    <n v="9732.7999999999993"/>
    <s v="Completed"/>
    <x v="0"/>
    <s v="Beauty"/>
    <s v="Corporate"/>
    <n v="29"/>
    <x v="1"/>
    <n v="647"/>
  </r>
  <r>
    <s v="ORD-00196"/>
    <d v="2024-03-29T00:00:00"/>
    <s v="CUST-0047"/>
    <x v="19"/>
    <s v="R029"/>
    <n v="6"/>
    <n v="2480"/>
    <n v="27.9"/>
    <n v="10728.48"/>
    <s v="Completed"/>
    <x v="0"/>
    <s v="Apparel"/>
    <s v="Retail"/>
    <n v="49"/>
    <x v="2"/>
    <n v="1173"/>
  </r>
  <r>
    <s v="ORD-00197"/>
    <d v="2024-01-29T00:00:00"/>
    <s v="CUST-0162"/>
    <x v="14"/>
    <s v="R022"/>
    <n v="4"/>
    <n v="190"/>
    <n v="21.5"/>
    <n v="596.6"/>
    <s v="Completed"/>
    <x v="3"/>
    <s v="Sports"/>
    <s v="Corporate"/>
    <n v="35"/>
    <x v="3"/>
    <n v="147"/>
  </r>
  <r>
    <s v="ORD-00198"/>
    <d v="2024-03-04T00:00:00"/>
    <s v="CUST-0121"/>
    <x v="27"/>
    <s v="R014"/>
    <n v="1"/>
    <n v="2860"/>
    <n v="15.3"/>
    <n v="2422.42"/>
    <s v="Completed"/>
    <x v="2"/>
    <s v="Sports"/>
    <s v="SMB"/>
    <n v="55"/>
    <x v="1"/>
    <n v="2028"/>
  </r>
  <r>
    <s v="ORD-00199"/>
    <d v="2024-02-28T00:00:00"/>
    <s v="CUST-0075"/>
    <x v="47"/>
    <s v="R015"/>
    <n v="4"/>
    <n v="2510"/>
    <n v="10.1"/>
    <n v="9025.9599999999991"/>
    <s v="Refunded"/>
    <x v="3"/>
    <s v="Apparel"/>
    <s v="Corporate"/>
    <n v="55"/>
    <x v="1"/>
    <n v="1075"/>
  </r>
  <r>
    <s v="ORD-00200"/>
    <d v="2024-10-22T00:00:00"/>
    <s v="CUST-0025"/>
    <x v="25"/>
    <s v="R003"/>
    <n v="2"/>
    <n v="3570"/>
    <n v="11.6"/>
    <n v="6311.76"/>
    <s v="Pending"/>
    <x v="4"/>
    <s v="Electronics"/>
    <s v="Retail"/>
    <n v="23"/>
    <x v="0"/>
    <n v="1665"/>
  </r>
  <r>
    <s v="ORD-00201"/>
    <d v="2024-02-22T00:00:00"/>
    <s v="CUST-0048"/>
    <x v="30"/>
    <s v="R016"/>
    <n v="7"/>
    <n v="3730"/>
    <n v="2.5"/>
    <n v="25457.25"/>
    <s v="Cancelled"/>
    <x v="2"/>
    <s v="Home"/>
    <s v="Retail"/>
    <n v="59"/>
    <x v="1"/>
    <n v="2135"/>
  </r>
  <r>
    <s v="ORD-00202"/>
    <d v="2024-07-19T00:00:00"/>
    <s v="CUST-0251"/>
    <x v="5"/>
    <s v="R030"/>
    <n v="6"/>
    <n v="370"/>
    <n v="9.9"/>
    <n v="2000.22"/>
    <s v="Completed"/>
    <x v="3"/>
    <s v="Home"/>
    <s v="Retail"/>
    <n v="44"/>
    <x v="2"/>
    <n v="288"/>
  </r>
  <r>
    <s v="ORD-00203"/>
    <d v="2024-07-17T00:00:00"/>
    <s v="CUST-0125"/>
    <x v="41"/>
    <s v="R014"/>
    <n v="4"/>
    <n v="2660"/>
    <n v="29.7"/>
    <n v="7479.92"/>
    <s v="Completed"/>
    <x v="2"/>
    <s v="Electronics"/>
    <s v="Retail"/>
    <n v="45"/>
    <x v="1"/>
    <n v="1259"/>
  </r>
  <r>
    <s v="ORD-00204"/>
    <d v="2024-09-03T00:00:00"/>
    <s v="CUST-0025"/>
    <x v="28"/>
    <s v="R015"/>
    <n v="6"/>
    <n v="2760"/>
    <n v="0.9"/>
    <n v="16410.96"/>
    <s v="Completed"/>
    <x v="4"/>
    <s v="Grocery"/>
    <s v="Retail"/>
    <n v="23"/>
    <x v="1"/>
    <n v="1435"/>
  </r>
  <r>
    <s v="ORD-00205"/>
    <d v="2024-10-26T00:00:00"/>
    <s v="CUST-0068"/>
    <x v="22"/>
    <s v="R009"/>
    <n v="6"/>
    <n v="3350"/>
    <n v="17.899999999999999"/>
    <n v="16502.099999999999"/>
    <s v="Completed"/>
    <x v="2"/>
    <s v="Beauty"/>
    <s v="SMB"/>
    <n v="48"/>
    <x v="1"/>
    <n v="1728"/>
  </r>
  <r>
    <s v="ORD-00206"/>
    <d v="2024-01-28T00:00:00"/>
    <s v="CUST-0080"/>
    <x v="42"/>
    <s v="R017"/>
    <n v="8"/>
    <n v="300"/>
    <n v="20.6"/>
    <n v="1905.6"/>
    <s v="Refunded"/>
    <x v="0"/>
    <s v="Electronics"/>
    <s v="SMB"/>
    <n v="30"/>
    <x v="3"/>
    <n v="128"/>
  </r>
  <r>
    <s v="ORD-00207"/>
    <d v="2024-08-23T00:00:00"/>
    <s v="CUST-0251"/>
    <x v="20"/>
    <s v="R002"/>
    <n v="5"/>
    <n v="2720"/>
    <n v="17.100000000000001"/>
    <n v="11274.4"/>
    <s v="Pending"/>
    <x v="3"/>
    <s v="Apparel"/>
    <s v="Retail"/>
    <n v="44"/>
    <x v="0"/>
    <n v="1962"/>
  </r>
  <r>
    <s v="ORD-00208"/>
    <d v="2024-10-07T00:00:00"/>
    <s v="CUST-0077"/>
    <x v="35"/>
    <s v="R015"/>
    <n v="1"/>
    <n v="3870"/>
    <n v="23.5"/>
    <n v="2960.55"/>
    <s v="Pending"/>
    <x v="5"/>
    <s v="Electronics"/>
    <s v="SMB"/>
    <n v="48"/>
    <x v="1"/>
    <n v="1559"/>
  </r>
  <r>
    <s v="ORD-00209"/>
    <d v="2024-12-11T00:00:00"/>
    <s v="CUST-0232"/>
    <x v="30"/>
    <s v="R012"/>
    <n v="3"/>
    <n v="3730"/>
    <n v="0.7"/>
    <n v="11111.67"/>
    <s v="Pending"/>
    <x v="5"/>
    <s v="Home"/>
    <s v="Retail"/>
    <n v="38"/>
    <x v="1"/>
    <n v="2135"/>
  </r>
  <r>
    <s v="ORD-00210"/>
    <d v="2024-01-24T00:00:00"/>
    <s v="CUST-0277"/>
    <x v="19"/>
    <s v="R012"/>
    <n v="8"/>
    <n v="2480"/>
    <n v="18.2"/>
    <n v="16229.12"/>
    <s v="Cancelled"/>
    <x v="1"/>
    <s v="Apparel"/>
    <s v="Corporate"/>
    <n v="34"/>
    <x v="1"/>
    <n v="1173"/>
  </r>
  <r>
    <s v="ORD-00211"/>
    <d v="2024-03-23T00:00:00"/>
    <s v="CUST-0149"/>
    <x v="6"/>
    <s v="R019"/>
    <n v="2"/>
    <n v="960"/>
    <n v="2.2000000000000002"/>
    <n v="1877.76"/>
    <s v="Completed"/>
    <x v="5"/>
    <s v="Sports"/>
    <s v="Retail"/>
    <n v="44"/>
    <x v="3"/>
    <n v="705"/>
  </r>
  <r>
    <s v="ORD-00212"/>
    <d v="2024-02-13T00:00:00"/>
    <s v="CUST-0178"/>
    <x v="24"/>
    <s v="R018"/>
    <n v="8"/>
    <n v="4880"/>
    <n v="11.9"/>
    <n v="34394.239999999998"/>
    <s v="Completed"/>
    <x v="5"/>
    <s v="Beauty"/>
    <s v="Retail"/>
    <n v="25"/>
    <x v="3"/>
    <n v="2768"/>
  </r>
  <r>
    <s v="ORD-00213"/>
    <d v="2024-12-30T00:00:00"/>
    <s v="CUST-0246"/>
    <x v="0"/>
    <s v="R030"/>
    <n v="2"/>
    <n v="3620"/>
    <n v="1.1000000000000001"/>
    <n v="7160.36"/>
    <s v="Pending"/>
    <x v="2"/>
    <s v="Apparel"/>
    <s v="SMB"/>
    <n v="29"/>
    <x v="2"/>
    <n v="2509"/>
  </r>
  <r>
    <s v="ORD-00214"/>
    <d v="2024-10-08T00:00:00"/>
    <s v="CUST-0033"/>
    <x v="53"/>
    <s v="R008"/>
    <n v="8"/>
    <n v="3970"/>
    <n v="18.100000000000001"/>
    <n v="26011.439999999999"/>
    <s v="Completed"/>
    <x v="2"/>
    <s v="Electronics"/>
    <s v="Retail"/>
    <n v="35"/>
    <x v="0"/>
    <n v="2865"/>
  </r>
  <r>
    <s v="ORD-00215"/>
    <d v="2024-08-30T00:00:00"/>
    <s v="CUST-0159"/>
    <x v="34"/>
    <s v="R026"/>
    <n v="8"/>
    <n v="2270"/>
    <n v="19.600000000000001"/>
    <n v="14600.64"/>
    <s v="Completed"/>
    <x v="5"/>
    <s v="Grocery"/>
    <s v="Retail"/>
    <n v="32"/>
    <x v="2"/>
    <n v="1412"/>
  </r>
  <r>
    <s v="ORD-00216"/>
    <d v="2024-12-13T00:00:00"/>
    <s v="CUST-0175"/>
    <x v="31"/>
    <s v="R013"/>
    <n v="1"/>
    <n v="3780"/>
    <n v="22.6"/>
    <n v="2925.72"/>
    <s v="Completed"/>
    <x v="2"/>
    <s v="Grocery"/>
    <s v="Corporate"/>
    <n v="55"/>
    <x v="1"/>
    <n v="2436"/>
  </r>
  <r>
    <s v="ORD-00217"/>
    <d v="2024-12-27T00:00:00"/>
    <s v="CUST-0079"/>
    <x v="37"/>
    <s v="R022"/>
    <n v="9"/>
    <n v="4070"/>
    <n v="28.2"/>
    <n v="26300.34"/>
    <s v="Completed"/>
    <x v="3"/>
    <s v="Grocery"/>
    <s v="Corporate"/>
    <n v="60"/>
    <x v="3"/>
    <n v="2027"/>
  </r>
  <r>
    <s v="ORD-00218"/>
    <d v="2024-05-12T00:00:00"/>
    <s v="CUST-0173"/>
    <x v="41"/>
    <s v="R006"/>
    <n v="9"/>
    <n v="2660"/>
    <n v="13.1"/>
    <n v="20803.86"/>
    <s v="Pending"/>
    <x v="3"/>
    <s v="Electronics"/>
    <s v="Retail"/>
    <n v="65"/>
    <x v="0"/>
    <n v="1259"/>
  </r>
  <r>
    <s v="ORD-00219"/>
    <d v="2024-04-18T00:00:00"/>
    <s v="CUST-0050"/>
    <x v="25"/>
    <s v="R004"/>
    <n v="4"/>
    <n v="3570"/>
    <n v="1.5"/>
    <n v="14065.8"/>
    <s v="Cancelled"/>
    <x v="3"/>
    <s v="Electronics"/>
    <s v="Retail"/>
    <n v="37"/>
    <x v="0"/>
    <n v="1665"/>
  </r>
  <r>
    <s v="ORD-00220"/>
    <d v="2024-08-27T00:00:00"/>
    <s v="CUST-0097"/>
    <x v="51"/>
    <s v="R001"/>
    <n v="2"/>
    <n v="960"/>
    <n v="18.600000000000001"/>
    <n v="1562.88"/>
    <s v="Completed"/>
    <x v="3"/>
    <s v="Beauty"/>
    <s v="Retail"/>
    <n v="65"/>
    <x v="0"/>
    <n v="675"/>
  </r>
  <r>
    <s v="ORD-00221"/>
    <d v="2024-09-11T00:00:00"/>
    <s v="CUST-0026"/>
    <x v="16"/>
    <s v="R018"/>
    <n v="2"/>
    <n v="3450"/>
    <n v="3.7"/>
    <n v="6644.7"/>
    <s v="Completed"/>
    <x v="0"/>
    <s v="Beauty"/>
    <s v="Retail"/>
    <n v="62"/>
    <x v="3"/>
    <n v="2420"/>
  </r>
  <r>
    <s v="ORD-00222"/>
    <d v="2024-11-12T00:00:00"/>
    <s v="CUST-0185"/>
    <x v="26"/>
    <s v="R007"/>
    <n v="6"/>
    <n v="5100"/>
    <n v="1.2"/>
    <n v="30232.799999999999"/>
    <s v="Completed"/>
    <x v="5"/>
    <s v="Beauty"/>
    <s v="SMB"/>
    <n v="43"/>
    <x v="0"/>
    <n v="2237"/>
  </r>
  <r>
    <s v="ORD-00223"/>
    <d v="2024-11-18T00:00:00"/>
    <s v="CUST-0135"/>
    <x v="42"/>
    <s v="R005"/>
    <n v="9"/>
    <n v="300"/>
    <n v="25.4"/>
    <n v="2014.2"/>
    <s v="Cancelled"/>
    <x v="0"/>
    <s v="Electronics"/>
    <s v="SMB"/>
    <n v="24"/>
    <x v="0"/>
    <n v="128"/>
  </r>
  <r>
    <s v="ORD-00224"/>
    <d v="2024-04-23T00:00:00"/>
    <s v="CUST-0010"/>
    <x v="24"/>
    <s v="R020"/>
    <n v="7"/>
    <n v="4880"/>
    <n v="16.899999999999999"/>
    <n v="28386.959999999999"/>
    <s v="Pending"/>
    <x v="3"/>
    <s v="Beauty"/>
    <s v="SMB"/>
    <n v="61"/>
    <x v="3"/>
    <n v="2768"/>
  </r>
  <r>
    <s v="ORD-00225"/>
    <d v="2024-07-31T00:00:00"/>
    <s v="CUST-0271"/>
    <x v="13"/>
    <s v="R023"/>
    <n v="9"/>
    <n v="3250"/>
    <n v="10.8"/>
    <n v="26091"/>
    <s v="Cancelled"/>
    <x v="4"/>
    <s v="Home"/>
    <s v="Corporate"/>
    <n v="41"/>
    <x v="3"/>
    <n v="1556"/>
  </r>
  <r>
    <s v="ORD-00226"/>
    <d v="2024-01-07T00:00:00"/>
    <s v="CUST-0172"/>
    <x v="16"/>
    <s v="R006"/>
    <n v="3"/>
    <n v="3450"/>
    <n v="5.4"/>
    <n v="9791.1"/>
    <s v="Pending"/>
    <x v="0"/>
    <s v="Beauty"/>
    <s v="Retail"/>
    <n v="65"/>
    <x v="0"/>
    <n v="2420"/>
  </r>
  <r>
    <s v="ORD-00227"/>
    <d v="2024-02-24T00:00:00"/>
    <s v="CUST-0296"/>
    <x v="33"/>
    <s v="R021"/>
    <n v="5"/>
    <n v="6080"/>
    <n v="18"/>
    <n v="24928"/>
    <s v="Completed"/>
    <x v="2"/>
    <s v="Beauty"/>
    <s v="Corporate"/>
    <n v="47"/>
    <x v="3"/>
    <n v="2617"/>
  </r>
  <r>
    <s v="ORD-00228"/>
    <d v="2024-07-14T00:00:00"/>
    <s v="CUST-0080"/>
    <x v="33"/>
    <s v="R022"/>
    <n v="7"/>
    <n v="6080"/>
    <n v="9.1999999999999993"/>
    <n v="38644.480000000003"/>
    <s v="Completed"/>
    <x v="0"/>
    <s v="Beauty"/>
    <s v="SMB"/>
    <n v="30"/>
    <x v="3"/>
    <n v="2617"/>
  </r>
  <r>
    <s v="ORD-00229"/>
    <d v="2024-10-20T00:00:00"/>
    <s v="CUST-0232"/>
    <x v="10"/>
    <s v="R014"/>
    <n v="5"/>
    <n v="2270"/>
    <n v="0.4"/>
    <n v="11304.6"/>
    <s v="Cancelled"/>
    <x v="5"/>
    <s v="Grocery"/>
    <s v="Retail"/>
    <n v="38"/>
    <x v="1"/>
    <n v="1203"/>
  </r>
  <r>
    <s v="ORD-00230"/>
    <d v="2024-03-22T00:00:00"/>
    <s v="CUST-0070"/>
    <x v="24"/>
    <s v="R016"/>
    <n v="10"/>
    <n v="4880"/>
    <n v="24.5"/>
    <n v="36844"/>
    <s v="Refunded"/>
    <x v="3"/>
    <s v="Beauty"/>
    <s v="Retail"/>
    <n v="42"/>
    <x v="1"/>
    <n v="2768"/>
  </r>
  <r>
    <s v="ORD-00231"/>
    <d v="2024-01-02T00:00:00"/>
    <s v="CUST-0142"/>
    <x v="50"/>
    <s v="R002"/>
    <n v="2"/>
    <n v="2380"/>
    <n v="2.2999999999999998"/>
    <n v="4650.5200000000004"/>
    <s v="Completed"/>
    <x v="1"/>
    <s v="Grocery"/>
    <s v="Corporate"/>
    <n v="55"/>
    <x v="0"/>
    <n v="1182"/>
  </r>
  <r>
    <s v="ORD-00232"/>
    <d v="2024-07-25T00:00:00"/>
    <s v="CUST-0161"/>
    <x v="23"/>
    <s v="R025"/>
    <n v="1"/>
    <n v="1010"/>
    <n v="29.9"/>
    <n v="708.01"/>
    <s v="Completed"/>
    <x v="1"/>
    <s v="Sports"/>
    <s v="Retail"/>
    <n v="38"/>
    <x v="2"/>
    <n v="516"/>
  </r>
  <r>
    <s v="ORD-00233"/>
    <d v="2024-12-17T00:00:00"/>
    <s v="CUST-0020"/>
    <x v="58"/>
    <s v="R029"/>
    <n v="7"/>
    <n v="6940"/>
    <n v="25.8"/>
    <n v="36046.36"/>
    <s v="Completed"/>
    <x v="5"/>
    <s v="Sports"/>
    <s v="Retail"/>
    <n v="46"/>
    <x v="2"/>
    <n v="2827"/>
  </r>
  <r>
    <s v="ORD-00234"/>
    <d v="2024-09-07T00:00:00"/>
    <s v="CUST-0173"/>
    <x v="52"/>
    <s v="R024"/>
    <n v="6"/>
    <n v="2290"/>
    <n v="25.9"/>
    <n v="10181.34"/>
    <s v="Pending"/>
    <x v="3"/>
    <s v="Beauty"/>
    <s v="Retail"/>
    <n v="65"/>
    <x v="2"/>
    <n v="1219"/>
  </r>
  <r>
    <s v="ORD-00235"/>
    <d v="2024-08-04T00:00:00"/>
    <s v="CUST-0280"/>
    <x v="5"/>
    <s v="R014"/>
    <n v="2"/>
    <n v="370"/>
    <n v="3.9"/>
    <n v="711.14"/>
    <s v="Completed"/>
    <x v="2"/>
    <s v="Home"/>
    <s v="SMB"/>
    <n v="27"/>
    <x v="1"/>
    <n v="288"/>
  </r>
  <r>
    <s v="ORD-00236"/>
    <d v="2024-03-02T00:00:00"/>
    <s v="CUST-0073"/>
    <x v="34"/>
    <s v="R020"/>
    <n v="1"/>
    <n v="2270"/>
    <n v="25.3"/>
    <n v="1695.69"/>
    <s v="Completed"/>
    <x v="0"/>
    <s v="Grocery"/>
    <s v="Corporate"/>
    <n v="40"/>
    <x v="3"/>
    <n v="1412"/>
  </r>
  <r>
    <s v="ORD-00237"/>
    <d v="2024-02-22T00:00:00"/>
    <s v="CUST-0242"/>
    <x v="33"/>
    <s v="R002"/>
    <n v="4"/>
    <n v="6080"/>
    <n v="28.8"/>
    <n v="17315.84"/>
    <s v="Pending"/>
    <x v="1"/>
    <s v="Beauty"/>
    <s v="SMB"/>
    <n v="59"/>
    <x v="0"/>
    <n v="2617"/>
  </r>
  <r>
    <s v="ORD-00238"/>
    <d v="2024-04-07T00:00:00"/>
    <s v="CUST-0234"/>
    <x v="49"/>
    <s v="R018"/>
    <n v="2"/>
    <n v="5330"/>
    <n v="23.8"/>
    <n v="8122.92"/>
    <s v="Pending"/>
    <x v="4"/>
    <s v="Electronics"/>
    <s v="Retail"/>
    <n v="34"/>
    <x v="3"/>
    <n v="2405"/>
  </r>
  <r>
    <s v="ORD-00239"/>
    <d v="2024-02-22T00:00:00"/>
    <s v="CUST-0085"/>
    <x v="37"/>
    <s v="R024"/>
    <n v="2"/>
    <n v="4070"/>
    <n v="4.3"/>
    <n v="7789.98"/>
    <s v="Completed"/>
    <x v="1"/>
    <s v="Grocery"/>
    <s v="Retail"/>
    <n v="26"/>
    <x v="2"/>
    <n v="2027"/>
  </r>
  <r>
    <s v="ORD-00240"/>
    <d v="2024-07-07T00:00:00"/>
    <s v="CUST-0228"/>
    <x v="42"/>
    <s v="R004"/>
    <n v="6"/>
    <n v="300"/>
    <n v="17.399999999999999"/>
    <n v="1486.8"/>
    <s v="Cancelled"/>
    <x v="0"/>
    <s v="Electronics"/>
    <s v="Corporate"/>
    <n v="37"/>
    <x v="0"/>
    <n v="128"/>
  </r>
  <r>
    <s v="ORD-00241"/>
    <d v="2024-07-15T00:00:00"/>
    <s v="CUST-0147"/>
    <x v="24"/>
    <s v="R014"/>
    <n v="1"/>
    <n v="4880"/>
    <n v="17.5"/>
    <n v="4026"/>
    <s v="Completed"/>
    <x v="0"/>
    <s v="Beauty"/>
    <s v="Retail"/>
    <n v="56"/>
    <x v="1"/>
    <n v="2768"/>
  </r>
  <r>
    <s v="ORD-00242"/>
    <d v="2024-02-04T00:00:00"/>
    <s v="CUST-0171"/>
    <x v="27"/>
    <s v="R027"/>
    <n v="3"/>
    <n v="2860"/>
    <n v="20.100000000000001"/>
    <n v="6855.42"/>
    <s v="Completed"/>
    <x v="1"/>
    <s v="Sports"/>
    <s v="Corporate"/>
    <n v="30"/>
    <x v="2"/>
    <n v="2028"/>
  </r>
  <r>
    <s v="ORD-00243"/>
    <d v="2024-12-01T00:00:00"/>
    <s v="CUST-0051"/>
    <x v="36"/>
    <s v="R002"/>
    <n v="3"/>
    <n v="1540"/>
    <n v="20.9"/>
    <n v="3654.42"/>
    <s v="Completed"/>
    <x v="0"/>
    <s v="Beauty"/>
    <s v="SMB"/>
    <n v="54"/>
    <x v="0"/>
    <n v="647"/>
  </r>
  <r>
    <s v="ORD-00244"/>
    <d v="2024-10-11T00:00:00"/>
    <s v="CUST-0285"/>
    <x v="11"/>
    <s v="R010"/>
    <n v="10"/>
    <n v="2640"/>
    <n v="11.2"/>
    <n v="23443.200000000001"/>
    <s v="Pending"/>
    <x v="5"/>
    <s v="Electronics"/>
    <s v="Retail"/>
    <n v="22"/>
    <x v="1"/>
    <n v="1149"/>
  </r>
  <r>
    <s v="ORD-00245"/>
    <d v="2024-01-26T00:00:00"/>
    <s v="CUST-0114"/>
    <x v="4"/>
    <s v="R013"/>
    <n v="1"/>
    <n v="3160"/>
    <n v="11.5"/>
    <n v="2796.6"/>
    <s v="Completed"/>
    <x v="4"/>
    <s v="Apparel"/>
    <s v="Corporate"/>
    <n v="42"/>
    <x v="1"/>
    <n v="1886"/>
  </r>
  <r>
    <s v="ORD-00246"/>
    <d v="2024-12-24T00:00:00"/>
    <s v="CUST-0295"/>
    <x v="18"/>
    <s v="R007"/>
    <n v="4"/>
    <n v="1080"/>
    <n v="20.7"/>
    <n v="3425.76"/>
    <s v="Pending"/>
    <x v="2"/>
    <s v="Home"/>
    <s v="SMB"/>
    <n v="48"/>
    <x v="0"/>
    <n v="519"/>
  </r>
  <r>
    <s v="ORD-00247"/>
    <d v="2024-10-20T00:00:00"/>
    <s v="CUST-0218"/>
    <x v="23"/>
    <s v="R013"/>
    <n v="4"/>
    <n v="1010"/>
    <n v="29.5"/>
    <n v="2848.2"/>
    <s v="Pending"/>
    <x v="3"/>
    <s v="Sports"/>
    <s v="Retail"/>
    <n v="39"/>
    <x v="1"/>
    <n v="516"/>
  </r>
  <r>
    <s v="ORD-00248"/>
    <d v="2024-09-10T00:00:00"/>
    <s v="CUST-0090"/>
    <x v="12"/>
    <s v="R027"/>
    <n v="7"/>
    <n v="2600"/>
    <n v="6.6"/>
    <n v="16998.8"/>
    <s v="Completed"/>
    <x v="4"/>
    <s v="Electronics"/>
    <s v="Corporate"/>
    <n v="26"/>
    <x v="2"/>
    <n v="1052"/>
  </r>
  <r>
    <s v="ORD-00249"/>
    <d v="2024-04-13T00:00:00"/>
    <s v="CUST-0194"/>
    <x v="47"/>
    <s v="R009"/>
    <n v="4"/>
    <n v="2510"/>
    <n v="1"/>
    <n v="9939.6"/>
    <s v="Completed"/>
    <x v="2"/>
    <s v="Apparel"/>
    <s v="SMB"/>
    <n v="55"/>
    <x v="1"/>
    <n v="1075"/>
  </r>
  <r>
    <s v="ORD-00250"/>
    <d v="2024-12-10T00:00:00"/>
    <s v="CUST-0231"/>
    <x v="37"/>
    <s v="R022"/>
    <n v="9"/>
    <n v="4070"/>
    <n v="6.7"/>
    <n v="34175.79"/>
    <s v="Cancelled"/>
    <x v="1"/>
    <s v="Grocery"/>
    <s v="Retail"/>
    <n v="61"/>
    <x v="3"/>
    <n v="2027"/>
  </r>
  <r>
    <s v="ORD-00251"/>
    <d v="2024-11-16T00:00:00"/>
    <s v="CUST-0055"/>
    <x v="1"/>
    <s v="R010"/>
    <n v="6"/>
    <n v="820"/>
    <n v="14"/>
    <n v="4231.2"/>
    <s v="Completed"/>
    <x v="4"/>
    <s v="Apparel"/>
    <s v="Retail"/>
    <n v="34"/>
    <x v="1"/>
    <n v="391"/>
  </r>
  <r>
    <s v="ORD-00252"/>
    <d v="2024-07-22T00:00:00"/>
    <s v="CUST-0262"/>
    <x v="9"/>
    <s v="R005"/>
    <n v="2"/>
    <n v="970"/>
    <n v="23.8"/>
    <n v="1478.28"/>
    <s v="Completed"/>
    <x v="3"/>
    <s v="Grocery"/>
    <s v="Retail"/>
    <n v="52"/>
    <x v="0"/>
    <n v="434"/>
  </r>
  <r>
    <s v="ORD-00253"/>
    <d v="2024-02-15T00:00:00"/>
    <s v="CUST-0155"/>
    <x v="37"/>
    <s v="R012"/>
    <n v="4"/>
    <n v="4070"/>
    <n v="19"/>
    <n v="13186.8"/>
    <s v="Pending"/>
    <x v="0"/>
    <s v="Grocery"/>
    <s v="Corporate"/>
    <n v="40"/>
    <x v="1"/>
    <n v="2027"/>
  </r>
  <r>
    <s v="ORD-00254"/>
    <d v="2024-02-11T00:00:00"/>
    <s v="CUST-0169"/>
    <x v="16"/>
    <s v="R017"/>
    <n v="3"/>
    <n v="3450"/>
    <n v="4.4000000000000004"/>
    <n v="9894.6"/>
    <s v="Cancelled"/>
    <x v="4"/>
    <s v="Beauty"/>
    <s v="SMB"/>
    <n v="42"/>
    <x v="3"/>
    <n v="2420"/>
  </r>
  <r>
    <s v="ORD-00255"/>
    <d v="2024-08-07T00:00:00"/>
    <s v="CUST-0208"/>
    <x v="31"/>
    <s v="R010"/>
    <n v="5"/>
    <n v="3780"/>
    <n v="13.5"/>
    <n v="16348.5"/>
    <s v="Completed"/>
    <x v="3"/>
    <s v="Grocery"/>
    <s v="Retail"/>
    <n v="49"/>
    <x v="1"/>
    <n v="2436"/>
  </r>
  <r>
    <s v="ORD-00256"/>
    <d v="2024-10-30T00:00:00"/>
    <s v="CUST-0249"/>
    <x v="6"/>
    <s v="R004"/>
    <n v="1"/>
    <n v="960"/>
    <n v="29.2"/>
    <n v="679.68"/>
    <s v="Completed"/>
    <x v="3"/>
    <s v="Sports"/>
    <s v="Retail"/>
    <n v="44"/>
    <x v="0"/>
    <n v="705"/>
  </r>
  <r>
    <s v="ORD-00257"/>
    <d v="2024-01-30T00:00:00"/>
    <s v="CUST-0151"/>
    <x v="25"/>
    <s v="R022"/>
    <n v="10"/>
    <n v="3570"/>
    <n v="10.7"/>
    <n v="31880.1"/>
    <s v="Completed"/>
    <x v="3"/>
    <s v="Electronics"/>
    <s v="Retail"/>
    <n v="53"/>
    <x v="3"/>
    <n v="1665"/>
  </r>
  <r>
    <s v="ORD-00258"/>
    <d v="2024-08-07T00:00:00"/>
    <s v="CUST-0115"/>
    <x v="25"/>
    <s v="R024"/>
    <n v="7"/>
    <n v="3570"/>
    <n v="12.2"/>
    <n v="21941.22"/>
    <s v="Completed"/>
    <x v="3"/>
    <s v="Electronics"/>
    <s v="SMB"/>
    <n v="65"/>
    <x v="2"/>
    <n v="1665"/>
  </r>
  <r>
    <s v="ORD-00259"/>
    <d v="2024-10-10T00:00:00"/>
    <s v="CUST-0041"/>
    <x v="18"/>
    <s v="R014"/>
    <n v="6"/>
    <n v="1080"/>
    <n v="19.8"/>
    <n v="5196.96"/>
    <s v="Completed"/>
    <x v="4"/>
    <s v="Home"/>
    <s v="SMB"/>
    <n v="26"/>
    <x v="1"/>
    <n v="519"/>
  </r>
  <r>
    <s v="ORD-00260"/>
    <d v="2024-12-23T00:00:00"/>
    <s v="CUST-0101"/>
    <x v="55"/>
    <s v="R010"/>
    <n v="8"/>
    <n v="3450"/>
    <n v="19"/>
    <n v="22356"/>
    <s v="Completed"/>
    <x v="5"/>
    <s v="Apparel"/>
    <s v="SMB"/>
    <n v="40"/>
    <x v="1"/>
    <n v="1748"/>
  </r>
  <r>
    <s v="ORD-00261"/>
    <d v="2024-03-20T00:00:00"/>
    <s v="CUST-0198"/>
    <x v="41"/>
    <s v="R023"/>
    <n v="4"/>
    <n v="2660"/>
    <n v="18.8"/>
    <n v="8639.68"/>
    <s v="Pending"/>
    <x v="1"/>
    <s v="Electronics"/>
    <s v="Corporate"/>
    <n v="22"/>
    <x v="3"/>
    <n v="1259"/>
  </r>
  <r>
    <s v="ORD-00262"/>
    <d v="2024-08-18T00:00:00"/>
    <s v="CUST-0200"/>
    <x v="15"/>
    <s v="R009"/>
    <n v="4"/>
    <n v="2400"/>
    <n v="5.6"/>
    <n v="9062.4"/>
    <s v="Completed"/>
    <x v="5"/>
    <s v="Sports"/>
    <s v="Corporate"/>
    <n v="46"/>
    <x v="1"/>
    <n v="974"/>
  </r>
  <r>
    <s v="ORD-00263"/>
    <d v="2024-08-09T00:00:00"/>
    <s v="CUST-0110"/>
    <x v="12"/>
    <s v="R003"/>
    <n v="10"/>
    <n v="2600"/>
    <n v="24.7"/>
    <n v="19578"/>
    <s v="Completed"/>
    <x v="0"/>
    <s v="Electronics"/>
    <s v="Corporate"/>
    <n v="31"/>
    <x v="0"/>
    <n v="1052"/>
  </r>
  <r>
    <s v="ORD-00264"/>
    <d v="2024-08-09T00:00:00"/>
    <s v="CUST-0134"/>
    <x v="46"/>
    <s v="R004"/>
    <n v="3"/>
    <n v="4060"/>
    <n v="6.9"/>
    <n v="11339.58"/>
    <s v="Completed"/>
    <x v="2"/>
    <s v="Grocery"/>
    <s v="Retail"/>
    <n v="40"/>
    <x v="0"/>
    <n v="2911"/>
  </r>
  <r>
    <s v="ORD-00265"/>
    <d v="2024-06-22T00:00:00"/>
    <s v="CUST-0141"/>
    <x v="8"/>
    <s v="R023"/>
    <n v="6"/>
    <n v="5490"/>
    <n v="8.4"/>
    <n v="30173.040000000001"/>
    <s v="Completed"/>
    <x v="5"/>
    <s v="Home"/>
    <s v="Corporate"/>
    <n v="22"/>
    <x v="3"/>
    <n v="2549"/>
  </r>
  <r>
    <s v="ORD-00266"/>
    <d v="2024-04-25T00:00:00"/>
    <s v="CUST-0163"/>
    <x v="5"/>
    <s v="R018"/>
    <n v="6"/>
    <n v="370"/>
    <n v="15.1"/>
    <n v="1884.78"/>
    <s v="Completed"/>
    <x v="0"/>
    <s v="Home"/>
    <s v="Retail"/>
    <n v="49"/>
    <x v="3"/>
    <n v="288"/>
  </r>
  <r>
    <s v="ORD-00267"/>
    <d v="2024-04-23T00:00:00"/>
    <s v="CUST-0181"/>
    <x v="43"/>
    <s v="R023"/>
    <n v="5"/>
    <n v="620"/>
    <n v="13.1"/>
    <n v="2693.9"/>
    <s v="Cancelled"/>
    <x v="2"/>
    <s v="Apparel"/>
    <s v="SMB"/>
    <n v="38"/>
    <x v="3"/>
    <n v="396"/>
  </r>
  <r>
    <s v="ORD-00268"/>
    <d v="2024-02-10T00:00:00"/>
    <s v="CUST-0133"/>
    <x v="13"/>
    <s v="R029"/>
    <n v="9"/>
    <n v="3250"/>
    <n v="16.5"/>
    <n v="24423.75"/>
    <s v="Completed"/>
    <x v="1"/>
    <s v="Home"/>
    <s v="Retail"/>
    <n v="26"/>
    <x v="2"/>
    <n v="1556"/>
  </r>
  <r>
    <s v="ORD-00269"/>
    <d v="2024-01-08T00:00:00"/>
    <s v="CUST-0095"/>
    <x v="33"/>
    <s v="R011"/>
    <n v="1"/>
    <n v="6080"/>
    <n v="0.1"/>
    <n v="6073.92"/>
    <s v="Completed"/>
    <x v="3"/>
    <s v="Beauty"/>
    <s v="SMB"/>
    <n v="54"/>
    <x v="1"/>
    <n v="2617"/>
  </r>
  <r>
    <s v="ORD-00270"/>
    <d v="2024-04-04T00:00:00"/>
    <s v="CUST-0171"/>
    <x v="32"/>
    <s v="R014"/>
    <n v="8"/>
    <n v="3640"/>
    <n v="13.5"/>
    <n v="25188.799999999999"/>
    <s v="Completed"/>
    <x v="1"/>
    <s v="Apparel"/>
    <s v="Corporate"/>
    <n v="30"/>
    <x v="1"/>
    <n v="2611"/>
  </r>
  <r>
    <s v="ORD-00271"/>
    <d v="2024-06-29T00:00:00"/>
    <s v="CUST-0238"/>
    <x v="4"/>
    <s v="R005"/>
    <n v="9"/>
    <n v="3160"/>
    <n v="29.7"/>
    <n v="19993.32"/>
    <s v="Completed"/>
    <x v="2"/>
    <s v="Apparel"/>
    <s v="Retail"/>
    <n v="49"/>
    <x v="0"/>
    <n v="1886"/>
  </r>
  <r>
    <s v="ORD-00272"/>
    <d v="2024-05-16T00:00:00"/>
    <s v="CUST-0185"/>
    <x v="35"/>
    <s v="R007"/>
    <n v="2"/>
    <n v="3870"/>
    <n v="18.100000000000001"/>
    <n v="6339.06"/>
    <s v="Cancelled"/>
    <x v="5"/>
    <s v="Electronics"/>
    <s v="SMB"/>
    <n v="43"/>
    <x v="0"/>
    <n v="1559"/>
  </r>
  <r>
    <s v="ORD-00273"/>
    <d v="2024-05-18T00:00:00"/>
    <s v="CUST-0167"/>
    <x v="29"/>
    <s v="R030"/>
    <n v="3"/>
    <n v="660"/>
    <n v="9.1999999999999993"/>
    <n v="1797.84"/>
    <s v="Completed"/>
    <x v="2"/>
    <s v="Home"/>
    <s v="Retail"/>
    <n v="43"/>
    <x v="2"/>
    <n v="329"/>
  </r>
  <r>
    <s v="ORD-00274"/>
    <d v="2024-05-06T00:00:00"/>
    <s v="CUST-0224"/>
    <x v="46"/>
    <s v="R013"/>
    <n v="4"/>
    <n v="4060"/>
    <n v="28"/>
    <n v="11692.8"/>
    <s v="Completed"/>
    <x v="1"/>
    <s v="Grocery"/>
    <s v="Corporate"/>
    <n v="24"/>
    <x v="1"/>
    <n v="2911"/>
  </r>
  <r>
    <s v="ORD-00275"/>
    <d v="2024-03-09T00:00:00"/>
    <s v="CUST-0181"/>
    <x v="54"/>
    <s v="R016"/>
    <n v="2"/>
    <n v="5080"/>
    <n v="7.7"/>
    <n v="9377.68"/>
    <s v="Refunded"/>
    <x v="2"/>
    <s v="Home"/>
    <s v="SMB"/>
    <n v="38"/>
    <x v="1"/>
    <n v="2459"/>
  </r>
  <r>
    <s v="ORD-00276"/>
    <d v="2024-01-05T00:00:00"/>
    <s v="CUST-0020"/>
    <x v="25"/>
    <s v="R005"/>
    <n v="3"/>
    <n v="3570"/>
    <n v="9.5"/>
    <n v="9692.5499999999993"/>
    <s v="Completed"/>
    <x v="5"/>
    <s v="Electronics"/>
    <s v="Retail"/>
    <n v="46"/>
    <x v="0"/>
    <n v="1665"/>
  </r>
  <r>
    <s v="ORD-00277"/>
    <d v="2024-06-17T00:00:00"/>
    <s v="CUST-0183"/>
    <x v="43"/>
    <s v="R020"/>
    <n v="2"/>
    <n v="620"/>
    <n v="29.5"/>
    <n v="874.2"/>
    <s v="Completed"/>
    <x v="3"/>
    <s v="Apparel"/>
    <s v="SMB"/>
    <n v="27"/>
    <x v="3"/>
    <n v="396"/>
  </r>
  <r>
    <s v="ORD-00278"/>
    <d v="2024-12-12T00:00:00"/>
    <s v="CUST-0028"/>
    <x v="55"/>
    <s v="R013"/>
    <n v="3"/>
    <n v="3450"/>
    <n v="3"/>
    <n v="10039.5"/>
    <s v="Completed"/>
    <x v="4"/>
    <s v="Apparel"/>
    <s v="Retail"/>
    <n v="59"/>
    <x v="1"/>
    <n v="1748"/>
  </r>
  <r>
    <s v="ORD-00279"/>
    <d v="2024-04-26T00:00:00"/>
    <s v="CUST-0121"/>
    <x v="26"/>
    <s v="R006"/>
    <n v="7"/>
    <n v="5100"/>
    <n v="4.3"/>
    <n v="34164.9"/>
    <s v="Completed"/>
    <x v="2"/>
    <s v="Beauty"/>
    <s v="SMB"/>
    <n v="55"/>
    <x v="0"/>
    <n v="2237"/>
  </r>
  <r>
    <s v="ORD-00280"/>
    <d v="2024-09-06T00:00:00"/>
    <s v="CUST-0192"/>
    <x v="35"/>
    <s v="R003"/>
    <n v="9"/>
    <n v="3870"/>
    <n v="4.8"/>
    <n v="33158.160000000003"/>
    <s v="Completed"/>
    <x v="4"/>
    <s v="Electronics"/>
    <s v="Retail"/>
    <n v="55"/>
    <x v="0"/>
    <n v="1559"/>
  </r>
  <r>
    <s v="ORD-00281"/>
    <d v="2024-12-07T00:00:00"/>
    <s v="CUST-0155"/>
    <x v="38"/>
    <s v="R029"/>
    <n v="5"/>
    <n v="1220"/>
    <n v="4"/>
    <n v="5856"/>
    <s v="Cancelled"/>
    <x v="0"/>
    <s v="Electronics"/>
    <s v="Corporate"/>
    <n v="40"/>
    <x v="2"/>
    <n v="517"/>
  </r>
  <r>
    <s v="ORD-00282"/>
    <d v="2024-02-16T00:00:00"/>
    <s v="CUST-0159"/>
    <x v="8"/>
    <s v="R023"/>
    <n v="5"/>
    <n v="5490"/>
    <n v="19.8"/>
    <n v="22014.9"/>
    <s v="Completed"/>
    <x v="5"/>
    <s v="Home"/>
    <s v="Retail"/>
    <n v="32"/>
    <x v="3"/>
    <n v="2549"/>
  </r>
  <r>
    <s v="ORD-00283"/>
    <d v="2024-08-25T00:00:00"/>
    <s v="CUST-0025"/>
    <x v="21"/>
    <s v="R001"/>
    <n v="1"/>
    <n v="1650"/>
    <n v="26.2"/>
    <n v="1217.7"/>
    <s v="Completed"/>
    <x v="4"/>
    <s v="Beauty"/>
    <s v="Retail"/>
    <n v="23"/>
    <x v="0"/>
    <n v="1222"/>
  </r>
  <r>
    <s v="ORD-00284"/>
    <d v="2024-06-17T00:00:00"/>
    <s v="CUST-0297"/>
    <x v="41"/>
    <s v="R003"/>
    <n v="1"/>
    <n v="2660"/>
    <n v="21"/>
    <n v="2101.4"/>
    <s v="Completed"/>
    <x v="5"/>
    <s v="Electronics"/>
    <s v="Retail"/>
    <n v="50"/>
    <x v="0"/>
    <n v="1259"/>
  </r>
  <r>
    <s v="ORD-00285"/>
    <d v="2024-03-24T00:00:00"/>
    <s v="CUST-0108"/>
    <x v="45"/>
    <s v="R003"/>
    <n v="6"/>
    <n v="2210"/>
    <n v="9.8000000000000007"/>
    <n v="11960.52"/>
    <s v="Pending"/>
    <x v="4"/>
    <s v="Grocery"/>
    <s v="Corporate"/>
    <n v="59"/>
    <x v="0"/>
    <n v="1010"/>
  </r>
  <r>
    <s v="ORD-00286"/>
    <d v="2024-01-19T00:00:00"/>
    <s v="CUST-0121"/>
    <x v="12"/>
    <s v="R001"/>
    <n v="9"/>
    <n v="2600"/>
    <n v="15.7"/>
    <n v="19726.2"/>
    <s v="Completed"/>
    <x v="2"/>
    <s v="Electronics"/>
    <s v="SMB"/>
    <n v="55"/>
    <x v="0"/>
    <n v="1052"/>
  </r>
  <r>
    <s v="ORD-00287"/>
    <d v="2024-01-23T00:00:00"/>
    <s v="CUST-0160"/>
    <x v="40"/>
    <s v="R025"/>
    <n v="3"/>
    <n v="3020"/>
    <n v="22.6"/>
    <n v="7012.44"/>
    <s v="Completed"/>
    <x v="5"/>
    <s v="Beauty"/>
    <s v="Retail"/>
    <n v="27"/>
    <x v="2"/>
    <n v="1626"/>
  </r>
  <r>
    <s v="ORD-00288"/>
    <d v="2024-06-16T00:00:00"/>
    <s v="CUST-0230"/>
    <x v="5"/>
    <s v="R005"/>
    <n v="6"/>
    <n v="370"/>
    <n v="12.4"/>
    <n v="1944.72"/>
    <s v="Completed"/>
    <x v="0"/>
    <s v="Home"/>
    <s v="Corporate"/>
    <n v="33"/>
    <x v="0"/>
    <n v="288"/>
  </r>
  <r>
    <s v="ORD-00289"/>
    <d v="2024-01-21T00:00:00"/>
    <s v="CUST-0151"/>
    <x v="49"/>
    <s v="R006"/>
    <n v="8"/>
    <n v="5330"/>
    <n v="16.2"/>
    <n v="35732.32"/>
    <s v="Completed"/>
    <x v="3"/>
    <s v="Electronics"/>
    <s v="Retail"/>
    <n v="53"/>
    <x v="0"/>
    <n v="2405"/>
  </r>
  <r>
    <s v="ORD-00290"/>
    <d v="2024-07-27T00:00:00"/>
    <s v="CUST-0222"/>
    <x v="59"/>
    <s v="R030"/>
    <n v="4"/>
    <n v="3560"/>
    <n v="10.5"/>
    <n v="12744.8"/>
    <s v="Completed"/>
    <x v="1"/>
    <s v="Apparel"/>
    <s v="Retail"/>
    <n v="37"/>
    <x v="2"/>
    <n v="2629"/>
  </r>
  <r>
    <s v="ORD-00291"/>
    <d v="2024-04-07T00:00:00"/>
    <s v="CUST-0055"/>
    <x v="23"/>
    <s v="R030"/>
    <n v="10"/>
    <n v="1010"/>
    <n v="10.8"/>
    <n v="9009.2000000000007"/>
    <s v="Completed"/>
    <x v="4"/>
    <s v="Sports"/>
    <s v="Retail"/>
    <n v="34"/>
    <x v="2"/>
    <n v="516"/>
  </r>
  <r>
    <s v="ORD-00292"/>
    <d v="2024-11-23T00:00:00"/>
    <s v="CUST-0011"/>
    <x v="58"/>
    <s v="R006"/>
    <n v="8"/>
    <n v="6940"/>
    <n v="3.2"/>
    <n v="53743.360000000001"/>
    <s v="Cancelled"/>
    <x v="1"/>
    <s v="Sports"/>
    <s v="Corporate"/>
    <n v="41"/>
    <x v="0"/>
    <n v="2827"/>
  </r>
  <r>
    <s v="ORD-00335"/>
    <d v="2024-11-21T00:00:00"/>
    <s v="CUST-0020"/>
    <x v="4"/>
    <s v="R015"/>
    <n v="7"/>
    <n v="3160"/>
    <n v="3.6"/>
    <n v="21323.68"/>
    <s v="Completed"/>
    <x v="5"/>
    <s v="Apparel"/>
    <s v="Retail"/>
    <n v="46"/>
    <x v="1"/>
    <n v="1886"/>
  </r>
  <r>
    <s v="ORD-00294"/>
    <d v="2024-12-14T00:00:00"/>
    <s v="CUST-0163"/>
    <x v="3"/>
    <s v="R008"/>
    <n v="2"/>
    <n v="3660"/>
    <n v="30"/>
    <n v="5124"/>
    <s v="Pending"/>
    <x v="0"/>
    <s v="Grocery"/>
    <s v="Retail"/>
    <n v="49"/>
    <x v="0"/>
    <n v="2214"/>
  </r>
  <r>
    <s v="ORD-00295"/>
    <d v="2024-04-19T00:00:00"/>
    <s v="CUST-0081"/>
    <x v="10"/>
    <s v="R005"/>
    <n v="1"/>
    <n v="2270"/>
    <n v="4.8"/>
    <n v="2161.04"/>
    <s v="Cancelled"/>
    <x v="3"/>
    <s v="Grocery"/>
    <s v="Retail"/>
    <n v="25"/>
    <x v="0"/>
    <n v="1203"/>
  </r>
  <r>
    <s v="ORD-00296"/>
    <d v="2024-04-23T00:00:00"/>
    <s v="CUST-0053"/>
    <x v="56"/>
    <s v="R025"/>
    <n v="8"/>
    <n v="3780"/>
    <n v="13"/>
    <n v="26308.799999999999"/>
    <s v="Completed"/>
    <x v="2"/>
    <s v="Sports"/>
    <s v="Retail"/>
    <n v="53"/>
    <x v="2"/>
    <n v="1860"/>
  </r>
  <r>
    <s v="ORD-01770"/>
    <d v="2024-09-02T00:00:00"/>
    <s v="CUST-0115"/>
    <x v="32"/>
    <s v="R012"/>
    <n v="1"/>
    <n v="3640"/>
    <n v="15.3"/>
    <n v="3083.08"/>
    <s v="Pending"/>
    <x v="3"/>
    <s v="Apparel"/>
    <s v="SMB"/>
    <n v="65"/>
    <x v="1"/>
    <n v="2611"/>
  </r>
  <r>
    <s v="ORD-00298"/>
    <d v="2024-07-02T00:00:00"/>
    <s v="CUST-0166"/>
    <x v="38"/>
    <s v="R009"/>
    <n v="8"/>
    <n v="1220"/>
    <n v="28.2"/>
    <n v="7007.68"/>
    <s v="Completed"/>
    <x v="5"/>
    <s v="Electronics"/>
    <s v="Retail"/>
    <n v="31"/>
    <x v="1"/>
    <n v="517"/>
  </r>
  <r>
    <s v="ORD-00299"/>
    <d v="2024-11-28T00:00:00"/>
    <s v="CUST-0263"/>
    <x v="47"/>
    <s v="R030"/>
    <n v="3"/>
    <n v="2510"/>
    <n v="17.399999999999999"/>
    <n v="6219.78"/>
    <s v="Completed"/>
    <x v="3"/>
    <s v="Apparel"/>
    <s v="Retail"/>
    <n v="40"/>
    <x v="2"/>
    <n v="1075"/>
  </r>
  <r>
    <s v="ORD-00300"/>
    <d v="2024-12-09T00:00:00"/>
    <s v="CUST-0010"/>
    <x v="18"/>
    <s v="R004"/>
    <n v="1"/>
    <n v="1080"/>
    <n v="13.9"/>
    <n v="929.88"/>
    <s v="Completed"/>
    <x v="3"/>
    <s v="Home"/>
    <s v="SMB"/>
    <n v="61"/>
    <x v="0"/>
    <n v="519"/>
  </r>
  <r>
    <s v="ORD-00301"/>
    <d v="2024-04-13T00:00:00"/>
    <s v="CUST-0036"/>
    <x v="44"/>
    <s v="R016"/>
    <n v="7"/>
    <n v="2030"/>
    <n v="29.2"/>
    <n v="10060.68"/>
    <s v="Completed"/>
    <x v="3"/>
    <s v="Home"/>
    <s v="Retail"/>
    <n v="35"/>
    <x v="1"/>
    <n v="1143"/>
  </r>
  <r>
    <s v="ORD-00302"/>
    <d v="2024-05-03T00:00:00"/>
    <s v="CUST-0259"/>
    <x v="56"/>
    <s v="R020"/>
    <n v="6"/>
    <n v="3780"/>
    <n v="20.9"/>
    <n v="17939.88"/>
    <s v="Refunded"/>
    <x v="3"/>
    <s v="Sports"/>
    <s v="Retail"/>
    <n v="34"/>
    <x v="3"/>
    <n v="1860"/>
  </r>
  <r>
    <s v="ORD-00303"/>
    <d v="2024-12-27T00:00:00"/>
    <s v="CUST-0247"/>
    <x v="4"/>
    <s v="R016"/>
    <n v="1"/>
    <n v="3160"/>
    <n v="10.7"/>
    <n v="2821.88"/>
    <s v="Completed"/>
    <x v="0"/>
    <s v="Apparel"/>
    <s v="SMB"/>
    <n v="35"/>
    <x v="1"/>
    <n v="1886"/>
  </r>
  <r>
    <s v="ORD-00881"/>
    <d v="2024-09-29T00:00:00"/>
    <s v="CUST-0191"/>
    <x v="24"/>
    <s v="R010"/>
    <n v="5"/>
    <n v="4880"/>
    <n v="11.4"/>
    <n v="21618.400000000001"/>
    <s v="Completed"/>
    <x v="5"/>
    <s v="Beauty"/>
    <s v="SMB"/>
    <n v="43"/>
    <x v="1"/>
    <n v="2768"/>
  </r>
  <r>
    <s v="ORD-00305"/>
    <d v="2024-12-07T00:00:00"/>
    <s v="CUST-0167"/>
    <x v="30"/>
    <s v="R009"/>
    <n v="9"/>
    <n v="3730"/>
    <n v="10"/>
    <n v="30213"/>
    <s v="Completed"/>
    <x v="2"/>
    <s v="Home"/>
    <s v="Retail"/>
    <n v="43"/>
    <x v="1"/>
    <n v="2135"/>
  </r>
  <r>
    <s v="ORD-00306"/>
    <d v="2024-01-18T00:00:00"/>
    <s v="CUST-0196"/>
    <x v="54"/>
    <s v="R004"/>
    <n v="5"/>
    <n v="5080"/>
    <n v="15.3"/>
    <n v="21513.8"/>
    <s v="Completed"/>
    <x v="1"/>
    <s v="Home"/>
    <s v="Retail"/>
    <n v="26"/>
    <x v="0"/>
    <n v="2459"/>
  </r>
  <r>
    <s v="ORD-00307"/>
    <d v="2024-04-21T00:00:00"/>
    <s v="CUST-0182"/>
    <x v="52"/>
    <s v="R013"/>
    <n v="9"/>
    <n v="2290"/>
    <n v="3.3"/>
    <n v="19929.87"/>
    <s v="Pending"/>
    <x v="3"/>
    <s v="Beauty"/>
    <s v="Retail"/>
    <n v="54"/>
    <x v="1"/>
    <n v="1219"/>
  </r>
  <r>
    <s v="ORD-00308"/>
    <d v="2024-09-19T00:00:00"/>
    <s v="CUST-0246"/>
    <x v="41"/>
    <s v="R010"/>
    <n v="5"/>
    <n v="2660"/>
    <n v="8.3000000000000007"/>
    <n v="12196.1"/>
    <s v="Completed"/>
    <x v="2"/>
    <s v="Electronics"/>
    <s v="SMB"/>
    <n v="29"/>
    <x v="1"/>
    <n v="1259"/>
  </r>
  <r>
    <s v="ORD-00309"/>
    <d v="2024-08-25T00:00:00"/>
    <s v="CUST-0132"/>
    <x v="31"/>
    <s v="R025"/>
    <n v="6"/>
    <n v="3780"/>
    <n v="28.3"/>
    <n v="16261.56"/>
    <s v="Completed"/>
    <x v="2"/>
    <s v="Grocery"/>
    <s v="Retail"/>
    <n v="41"/>
    <x v="2"/>
    <n v="2436"/>
  </r>
  <r>
    <s v="ORD-00310"/>
    <d v="2024-01-09T00:00:00"/>
    <s v="CUST-0153"/>
    <x v="28"/>
    <s v="R028"/>
    <n v="5"/>
    <n v="2760"/>
    <n v="4.9000000000000004"/>
    <n v="13123.8"/>
    <s v="Completed"/>
    <x v="3"/>
    <s v="Grocery"/>
    <s v="Retail"/>
    <n v="35"/>
    <x v="2"/>
    <n v="1435"/>
  </r>
  <r>
    <s v="ORD-00311"/>
    <d v="2024-03-17T00:00:00"/>
    <s v="CUST-0139"/>
    <x v="36"/>
    <s v="R006"/>
    <n v="8"/>
    <n v="1540"/>
    <n v="29.4"/>
    <n v="8697.92"/>
    <s v="Cancelled"/>
    <x v="5"/>
    <s v="Beauty"/>
    <s v="SMB"/>
    <n v="65"/>
    <x v="0"/>
    <n v="647"/>
  </r>
  <r>
    <s v="ORD-00312"/>
    <d v="2024-03-23T00:00:00"/>
    <s v="CUST-0256"/>
    <x v="24"/>
    <s v="R022"/>
    <n v="1"/>
    <n v="4880"/>
    <n v="18.100000000000001"/>
    <n v="3996.72"/>
    <s v="Completed"/>
    <x v="5"/>
    <s v="Beauty"/>
    <s v="Retail"/>
    <n v="28"/>
    <x v="3"/>
    <n v="2768"/>
  </r>
  <r>
    <s v="ORD-00313"/>
    <d v="2024-10-27T00:00:00"/>
    <s v="CUST-0027"/>
    <x v="10"/>
    <s v="R015"/>
    <n v="8"/>
    <n v="2270"/>
    <n v="19.8"/>
    <n v="14564.32"/>
    <s v="Pending"/>
    <x v="5"/>
    <s v="Grocery"/>
    <s v="Corporate"/>
    <n v="52"/>
    <x v="1"/>
    <n v="1203"/>
  </r>
  <r>
    <s v="ORD-00314"/>
    <d v="2024-08-04T00:00:00"/>
    <s v="CUST-0151"/>
    <x v="19"/>
    <s v="R010"/>
    <n v="10"/>
    <n v="2480"/>
    <n v="24.4"/>
    <n v="18748.8"/>
    <s v="Pending"/>
    <x v="3"/>
    <s v="Apparel"/>
    <s v="Retail"/>
    <n v="53"/>
    <x v="1"/>
    <n v="1173"/>
  </r>
  <r>
    <s v="ORD-00315"/>
    <d v="2024-07-08T00:00:00"/>
    <s v="CUST-0204"/>
    <x v="40"/>
    <s v="R014"/>
    <n v="8"/>
    <n v="3020"/>
    <n v="15.2"/>
    <n v="20487.68"/>
    <s v="Pending"/>
    <x v="5"/>
    <s v="Beauty"/>
    <s v="Retail"/>
    <n v="60"/>
    <x v="1"/>
    <n v="1626"/>
  </r>
  <r>
    <s v="ORD-00316"/>
    <d v="2024-08-13T00:00:00"/>
    <s v="CUST-0084"/>
    <x v="36"/>
    <s v="R019"/>
    <n v="10"/>
    <n v="1540"/>
    <n v="0.6"/>
    <n v="15307.6"/>
    <s v="Completed"/>
    <x v="1"/>
    <s v="Beauty"/>
    <s v="Retail"/>
    <n v="28"/>
    <x v="3"/>
    <n v="647"/>
  </r>
  <r>
    <s v="ORD-00317"/>
    <d v="2024-12-06T00:00:00"/>
    <s v="CUST-0048"/>
    <x v="4"/>
    <s v="R001"/>
    <n v="7"/>
    <n v="3160"/>
    <n v="8.9"/>
    <n v="20151.32"/>
    <s v="Completed"/>
    <x v="2"/>
    <s v="Apparel"/>
    <s v="Retail"/>
    <n v="59"/>
    <x v="0"/>
    <n v="1886"/>
  </r>
  <r>
    <s v="ORD-00318"/>
    <d v="2024-10-27T00:00:00"/>
    <s v="CUST-0013"/>
    <x v="23"/>
    <s v="R013"/>
    <n v="6"/>
    <n v="1010"/>
    <n v="12.9"/>
    <n v="5278.26"/>
    <s v="Completed"/>
    <x v="2"/>
    <s v="Sports"/>
    <s v="Retail"/>
    <n v="41"/>
    <x v="1"/>
    <n v="516"/>
  </r>
  <r>
    <s v="ORD-00319"/>
    <d v="2024-06-07T00:00:00"/>
    <s v="CUST-0245"/>
    <x v="39"/>
    <s v="R020"/>
    <n v="4"/>
    <n v="4610"/>
    <n v="18.2"/>
    <n v="15083.92"/>
    <s v="Completed"/>
    <x v="5"/>
    <s v="Home"/>
    <s v="Retail"/>
    <n v="65"/>
    <x v="3"/>
    <n v="1850"/>
  </r>
  <r>
    <s v="ORD-00320"/>
    <d v="2024-02-21T00:00:00"/>
    <s v="CUST-0031"/>
    <x v="46"/>
    <s v="R029"/>
    <n v="6"/>
    <n v="4060"/>
    <n v="24.3"/>
    <n v="18440.52"/>
    <s v="Completed"/>
    <x v="5"/>
    <s v="Grocery"/>
    <s v="Retail"/>
    <n v="53"/>
    <x v="2"/>
    <n v="2911"/>
  </r>
  <r>
    <s v="ORD-00321"/>
    <d v="2024-08-05T00:00:00"/>
    <s v="CUST-0212"/>
    <x v="43"/>
    <s v="R001"/>
    <n v="5"/>
    <n v="620"/>
    <n v="10.7"/>
    <n v="2768.3"/>
    <s v="Refunded"/>
    <x v="1"/>
    <s v="Apparel"/>
    <s v="SMB"/>
    <n v="46"/>
    <x v="0"/>
    <n v="396"/>
  </r>
  <r>
    <s v="ORD-00322"/>
    <d v="2024-08-09T00:00:00"/>
    <s v="CUST-0104"/>
    <x v="59"/>
    <s v="R003"/>
    <n v="3"/>
    <n v="3560"/>
    <n v="4.0999999999999996"/>
    <n v="10242.120000000001"/>
    <s v="Completed"/>
    <x v="5"/>
    <s v="Apparel"/>
    <s v="Corporate"/>
    <n v="43"/>
    <x v="0"/>
    <n v="2629"/>
  </r>
  <r>
    <s v="ORD-00323"/>
    <d v="2024-07-27T00:00:00"/>
    <s v="CUST-0157"/>
    <x v="15"/>
    <s v="R012"/>
    <n v="2"/>
    <n v="2400"/>
    <n v="13"/>
    <n v="4176"/>
    <s v="Completed"/>
    <x v="0"/>
    <s v="Sports"/>
    <s v="Corporate"/>
    <n v="52"/>
    <x v="1"/>
    <n v="974"/>
  </r>
  <r>
    <s v="ORD-00324"/>
    <d v="2024-04-25T00:00:00"/>
    <s v="CUST-0004"/>
    <x v="58"/>
    <s v="R006"/>
    <n v="9"/>
    <n v="6940"/>
    <n v="26.2"/>
    <n v="46095.48"/>
    <s v="Completed"/>
    <x v="2"/>
    <s v="Sports"/>
    <s v="Retail"/>
    <n v="53"/>
    <x v="0"/>
    <n v="2827"/>
  </r>
  <r>
    <s v="ORD-00325"/>
    <d v="2024-04-03T00:00:00"/>
    <s v="CUST-0003"/>
    <x v="50"/>
    <s v="R025"/>
    <n v="9"/>
    <n v="2380"/>
    <n v="22.7"/>
    <n v="16557.66"/>
    <s v="Completed"/>
    <x v="3"/>
    <s v="Grocery"/>
    <s v="Retail"/>
    <n v="33"/>
    <x v="2"/>
    <n v="1182"/>
  </r>
  <r>
    <s v="ORD-00326"/>
    <d v="2024-09-07T00:00:00"/>
    <s v="CUST-0175"/>
    <x v="0"/>
    <s v="R028"/>
    <n v="6"/>
    <n v="3620"/>
    <n v="9.1999999999999993"/>
    <n v="19721.759999999998"/>
    <s v="Completed"/>
    <x v="2"/>
    <s v="Apparel"/>
    <s v="Corporate"/>
    <n v="55"/>
    <x v="2"/>
    <n v="2509"/>
  </r>
  <r>
    <s v="ORD-00327"/>
    <d v="2024-05-10T00:00:00"/>
    <s v="CUST-0104"/>
    <x v="33"/>
    <s v="R004"/>
    <n v="1"/>
    <n v="6080"/>
    <n v="29.4"/>
    <n v="4292.4799999999996"/>
    <s v="Cancelled"/>
    <x v="5"/>
    <s v="Beauty"/>
    <s v="Corporate"/>
    <n v="43"/>
    <x v="0"/>
    <n v="2617"/>
  </r>
  <r>
    <s v="ORD-00328"/>
    <d v="2024-02-21T00:00:00"/>
    <s v="CUST-0196"/>
    <x v="1"/>
    <s v="R018"/>
    <n v="6"/>
    <n v="820"/>
    <n v="29.1"/>
    <n v="3488.28"/>
    <s v="Completed"/>
    <x v="1"/>
    <s v="Apparel"/>
    <s v="Retail"/>
    <n v="26"/>
    <x v="3"/>
    <n v="391"/>
  </r>
  <r>
    <s v="ORD-00329"/>
    <d v="2024-12-20T00:00:00"/>
    <s v="CUST-0299"/>
    <x v="40"/>
    <s v="R024"/>
    <n v="9"/>
    <n v="3020"/>
    <n v="7.9"/>
    <n v="25032.78"/>
    <s v="Completed"/>
    <x v="3"/>
    <s v="Beauty"/>
    <s v="Corporate"/>
    <n v="51"/>
    <x v="2"/>
    <n v="1626"/>
  </r>
  <r>
    <s v="ORD-00330"/>
    <d v="2024-12-19T00:00:00"/>
    <s v="CUST-0066"/>
    <x v="35"/>
    <s v="R029"/>
    <n v="8"/>
    <n v="3870"/>
    <n v="11.9"/>
    <n v="27275.759999999998"/>
    <s v="Completed"/>
    <x v="2"/>
    <s v="Electronics"/>
    <s v="Retail"/>
    <n v="24"/>
    <x v="2"/>
    <n v="1559"/>
  </r>
  <r>
    <s v="ORD-00331"/>
    <d v="2024-08-24T00:00:00"/>
    <s v="CUST-0080"/>
    <x v="16"/>
    <s v="R030"/>
    <n v="6"/>
    <n v="3450"/>
    <n v="13.9"/>
    <n v="17822.7"/>
    <s v="Completed"/>
    <x v="0"/>
    <s v="Beauty"/>
    <s v="SMB"/>
    <n v="30"/>
    <x v="2"/>
    <n v="2420"/>
  </r>
  <r>
    <s v="ORD-00332"/>
    <d v="2024-12-29T00:00:00"/>
    <s v="CUST-0138"/>
    <x v="26"/>
    <s v="R008"/>
    <n v="9"/>
    <n v="5100"/>
    <n v="2.1"/>
    <n v="44936.1"/>
    <s v="Completed"/>
    <x v="1"/>
    <s v="Beauty"/>
    <s v="Retail"/>
    <n v="24"/>
    <x v="0"/>
    <n v="2237"/>
  </r>
  <r>
    <s v="ORD-00333"/>
    <d v="2024-08-14T00:00:00"/>
    <s v="CUST-0253"/>
    <x v="37"/>
    <s v="R008"/>
    <n v="2"/>
    <n v="4070"/>
    <n v="28.6"/>
    <n v="5811.96"/>
    <s v="Completed"/>
    <x v="2"/>
    <s v="Grocery"/>
    <s v="SMB"/>
    <n v="53"/>
    <x v="0"/>
    <n v="2027"/>
  </r>
  <r>
    <s v="ORD-00334"/>
    <d v="2024-02-17T00:00:00"/>
    <s v="CUST-0247"/>
    <x v="49"/>
    <s v="R007"/>
    <n v="9"/>
    <n v="5330"/>
    <n v="6.2"/>
    <n v="44995.86"/>
    <s v="Completed"/>
    <x v="0"/>
    <s v="Electronics"/>
    <s v="SMB"/>
    <n v="35"/>
    <x v="0"/>
    <n v="2405"/>
  </r>
  <r>
    <s v="ORD-00335"/>
    <d v="2024-01-28T00:00:00"/>
    <s v="CUST-0269"/>
    <x v="10"/>
    <s v="R020"/>
    <n v="6"/>
    <n v="2270"/>
    <n v="23.7"/>
    <n v="10392.06"/>
    <s v="Completed"/>
    <x v="0"/>
    <s v="Grocery"/>
    <s v="Retail"/>
    <n v="48"/>
    <x v="3"/>
    <n v="1203"/>
  </r>
  <r>
    <s v="ORD-00336"/>
    <d v="2024-11-22T00:00:00"/>
    <s v="CUST-0008"/>
    <x v="47"/>
    <s v="R024"/>
    <n v="5"/>
    <n v="2510"/>
    <n v="25"/>
    <n v="9412.5"/>
    <s v="Completed"/>
    <x v="0"/>
    <s v="Apparel"/>
    <s v="SMB"/>
    <n v="39"/>
    <x v="2"/>
    <n v="1075"/>
  </r>
  <r>
    <s v="ORD-00337"/>
    <d v="2024-02-13T00:00:00"/>
    <s v="CUST-0134"/>
    <x v="50"/>
    <s v="R019"/>
    <n v="9"/>
    <n v="2380"/>
    <n v="16.8"/>
    <n v="17821.439999999999"/>
    <s v="Completed"/>
    <x v="2"/>
    <s v="Grocery"/>
    <s v="Retail"/>
    <n v="40"/>
    <x v="3"/>
    <n v="1182"/>
  </r>
  <r>
    <s v="ORD-00338"/>
    <d v="2024-05-08T00:00:00"/>
    <s v="CUST-0016"/>
    <x v="55"/>
    <s v="R008"/>
    <n v="1"/>
    <n v="3450"/>
    <n v="1.5"/>
    <n v="3398.25"/>
    <s v="Refunded"/>
    <x v="2"/>
    <s v="Apparel"/>
    <s v="SMB"/>
    <n v="26"/>
    <x v="0"/>
    <n v="1748"/>
  </r>
  <r>
    <s v="ORD-00339"/>
    <d v="2024-01-04T00:00:00"/>
    <s v="CUST-0281"/>
    <x v="25"/>
    <s v="R002"/>
    <n v="5"/>
    <n v="3570"/>
    <n v="12.8"/>
    <n v="15565.2"/>
    <s v="Completed"/>
    <x v="4"/>
    <s v="Electronics"/>
    <s v="Corporate"/>
    <n v="57"/>
    <x v="0"/>
    <n v="1665"/>
  </r>
  <r>
    <s v="ORD-00340"/>
    <d v="2024-10-25T00:00:00"/>
    <s v="CUST-0267"/>
    <x v="49"/>
    <s v="R029"/>
    <n v="3"/>
    <n v="5330"/>
    <n v="16.2"/>
    <n v="13399.62"/>
    <s v="Completed"/>
    <x v="5"/>
    <s v="Electronics"/>
    <s v="Retail"/>
    <n v="27"/>
    <x v="2"/>
    <n v="2405"/>
  </r>
  <r>
    <s v="ORD-00341"/>
    <d v="2024-02-19T00:00:00"/>
    <s v="CUST-0279"/>
    <x v="3"/>
    <s v="R027"/>
    <n v="3"/>
    <n v="3660"/>
    <n v="25.3"/>
    <n v="8202.06"/>
    <s v="Completed"/>
    <x v="3"/>
    <s v="Grocery"/>
    <s v="Retail"/>
    <n v="56"/>
    <x v="2"/>
    <n v="2214"/>
  </r>
  <r>
    <s v="ORD-00342"/>
    <d v="2024-11-04T00:00:00"/>
    <s v="CUST-0036"/>
    <x v="23"/>
    <s v="R015"/>
    <n v="2"/>
    <n v="1010"/>
    <n v="29.2"/>
    <n v="1430.16"/>
    <s v="Completed"/>
    <x v="3"/>
    <s v="Sports"/>
    <s v="Retail"/>
    <n v="35"/>
    <x v="1"/>
    <n v="516"/>
  </r>
  <r>
    <s v="ORD-00343"/>
    <d v="2024-08-02T00:00:00"/>
    <s v="CUST-0295"/>
    <x v="18"/>
    <s v="R015"/>
    <n v="1"/>
    <n v="1080"/>
    <n v="1.8"/>
    <n v="1060.56"/>
    <s v="Completed"/>
    <x v="2"/>
    <s v="Home"/>
    <s v="SMB"/>
    <n v="48"/>
    <x v="1"/>
    <n v="519"/>
  </r>
  <r>
    <s v="ORD-00344"/>
    <d v="2024-05-02T00:00:00"/>
    <s v="CUST-0106"/>
    <x v="17"/>
    <s v="R010"/>
    <n v="8"/>
    <n v="3450"/>
    <n v="20.399999999999999"/>
    <n v="21969.599999999999"/>
    <s v="Completed"/>
    <x v="0"/>
    <s v="Sports"/>
    <s v="Retail"/>
    <n v="22"/>
    <x v="1"/>
    <n v="2467"/>
  </r>
  <r>
    <s v="ORD-00593"/>
    <d v="2024-09-18T00:00:00"/>
    <s v="CUST-0070"/>
    <x v="58"/>
    <s v="R015"/>
    <n v="8"/>
    <n v="6940"/>
    <n v="19.399999999999999"/>
    <n v="44749.120000000003"/>
    <s v="Completed"/>
    <x v="3"/>
    <s v="Sports"/>
    <s v="Retail"/>
    <n v="42"/>
    <x v="1"/>
    <n v="2827"/>
  </r>
  <r>
    <s v="ORD-00346"/>
    <d v="2024-05-22T00:00:00"/>
    <s v="CUST-0062"/>
    <x v="36"/>
    <s v="R003"/>
    <n v="2"/>
    <n v="1540"/>
    <n v="9.3000000000000007"/>
    <n v="2793.56"/>
    <s v="Completed"/>
    <x v="0"/>
    <s v="Beauty"/>
    <s v="Retail"/>
    <n v="54"/>
    <x v="0"/>
    <n v="647"/>
  </r>
  <r>
    <s v="ORD-00347"/>
    <d v="2024-06-03T00:00:00"/>
    <s v="CUST-0241"/>
    <x v="11"/>
    <s v="R015"/>
    <n v="4"/>
    <n v="2640"/>
    <n v="23.2"/>
    <n v="8110.08"/>
    <s v="Refunded"/>
    <x v="0"/>
    <s v="Electronics"/>
    <s v="Corporate"/>
    <n v="47"/>
    <x v="1"/>
    <n v="1149"/>
  </r>
  <r>
    <s v="ORD-00348"/>
    <d v="2024-11-30T00:00:00"/>
    <s v="CUST-0001"/>
    <x v="48"/>
    <s v="R024"/>
    <n v="6"/>
    <n v="5410"/>
    <n v="29.4"/>
    <n v="22916.76"/>
    <s v="Completed"/>
    <x v="0"/>
    <s v="Sports"/>
    <s v="Retail"/>
    <n v="36"/>
    <x v="2"/>
    <n v="2265"/>
  </r>
  <r>
    <s v="ORD-00349"/>
    <d v="2024-06-16T00:00:00"/>
    <s v="CUST-0181"/>
    <x v="25"/>
    <s v="R027"/>
    <n v="1"/>
    <n v="3570"/>
    <n v="4.3"/>
    <n v="3416.49"/>
    <s v="Completed"/>
    <x v="2"/>
    <s v="Electronics"/>
    <s v="SMB"/>
    <n v="38"/>
    <x v="2"/>
    <n v="1665"/>
  </r>
  <r>
    <s v="ORD-00350"/>
    <d v="2024-08-16T00:00:00"/>
    <s v="CUST-0044"/>
    <x v="5"/>
    <s v="R028"/>
    <n v="2"/>
    <n v="370"/>
    <n v="7.2"/>
    <n v="686.72"/>
    <s v="Completed"/>
    <x v="5"/>
    <s v="Home"/>
    <s v="SMB"/>
    <n v="29"/>
    <x v="2"/>
    <n v="288"/>
  </r>
  <r>
    <s v="ORD-00351"/>
    <d v="2024-01-23T00:00:00"/>
    <s v="CUST-0218"/>
    <x v="47"/>
    <s v="R017"/>
    <n v="1"/>
    <n v="2510"/>
    <n v="2.4"/>
    <n v="2449.7600000000002"/>
    <s v="Completed"/>
    <x v="3"/>
    <s v="Apparel"/>
    <s v="Retail"/>
    <n v="39"/>
    <x v="3"/>
    <n v="1075"/>
  </r>
  <r>
    <s v="ORD-00352"/>
    <d v="2024-07-07T00:00:00"/>
    <s v="CUST-0061"/>
    <x v="32"/>
    <s v="R022"/>
    <n v="8"/>
    <n v="3640"/>
    <n v="28.7"/>
    <n v="20762.560000000001"/>
    <s v="Pending"/>
    <x v="5"/>
    <s v="Apparel"/>
    <s v="Retail"/>
    <n v="64"/>
    <x v="3"/>
    <n v="2611"/>
  </r>
  <r>
    <s v="ORD-00353"/>
    <d v="2024-08-16T00:00:00"/>
    <s v="CUST-0143"/>
    <x v="21"/>
    <s v="R029"/>
    <n v="5"/>
    <n v="1650"/>
    <n v="13.4"/>
    <n v="7144.5"/>
    <s v="Pending"/>
    <x v="1"/>
    <s v="Beauty"/>
    <s v="SMB"/>
    <n v="52"/>
    <x v="2"/>
    <n v="1222"/>
  </r>
  <r>
    <s v="ORD-00354"/>
    <d v="2024-03-09T00:00:00"/>
    <s v="CUST-0164"/>
    <x v="51"/>
    <s v="R024"/>
    <n v="9"/>
    <n v="960"/>
    <n v="28.6"/>
    <n v="6168.96"/>
    <s v="Pending"/>
    <x v="1"/>
    <s v="Beauty"/>
    <s v="Retail"/>
    <n v="60"/>
    <x v="2"/>
    <n v="675"/>
  </r>
  <r>
    <s v="ORD-00355"/>
    <d v="2024-07-13T00:00:00"/>
    <s v="CUST-0152"/>
    <x v="31"/>
    <s v="R021"/>
    <n v="4"/>
    <n v="3780"/>
    <n v="25.3"/>
    <n v="11294.64"/>
    <s v="Completed"/>
    <x v="4"/>
    <s v="Grocery"/>
    <s v="SMB"/>
    <n v="64"/>
    <x v="3"/>
    <n v="2436"/>
  </r>
  <r>
    <s v="ORD-00356"/>
    <d v="2024-09-09T00:00:00"/>
    <s v="CUST-0143"/>
    <x v="21"/>
    <s v="R014"/>
    <n v="4"/>
    <n v="1650"/>
    <n v="13.7"/>
    <n v="5695.8"/>
    <s v="Cancelled"/>
    <x v="1"/>
    <s v="Beauty"/>
    <s v="SMB"/>
    <n v="52"/>
    <x v="1"/>
    <n v="1222"/>
  </r>
  <r>
    <s v="ORD-00357"/>
    <d v="2024-10-15T00:00:00"/>
    <s v="CUST-0232"/>
    <x v="0"/>
    <s v="R012"/>
    <n v="6"/>
    <n v="3620"/>
    <n v="21.3"/>
    <n v="17093.64"/>
    <s v="Pending"/>
    <x v="5"/>
    <s v="Apparel"/>
    <s v="Retail"/>
    <n v="38"/>
    <x v="1"/>
    <n v="2509"/>
  </r>
  <r>
    <s v="ORD-00358"/>
    <d v="2024-01-21T00:00:00"/>
    <s v="CUST-0067"/>
    <x v="34"/>
    <s v="R030"/>
    <n v="10"/>
    <n v="2270"/>
    <n v="17.7"/>
    <n v="18682.099999999999"/>
    <s v="Completed"/>
    <x v="2"/>
    <s v="Grocery"/>
    <s v="SMB"/>
    <n v="59"/>
    <x v="2"/>
    <n v="1412"/>
  </r>
  <r>
    <s v="ORD-00359"/>
    <d v="2024-06-04T00:00:00"/>
    <s v="CUST-0292"/>
    <x v="36"/>
    <s v="R013"/>
    <n v="9"/>
    <n v="1540"/>
    <n v="10.7"/>
    <n v="12376.98"/>
    <s v="Completed"/>
    <x v="4"/>
    <s v="Beauty"/>
    <s v="Retail"/>
    <n v="32"/>
    <x v="1"/>
    <n v="647"/>
  </r>
  <r>
    <s v="ORD-00360"/>
    <d v="2024-11-11T00:00:00"/>
    <s v="CUST-0118"/>
    <x v="27"/>
    <s v="R021"/>
    <n v="9"/>
    <n v="2860"/>
    <n v="12.9"/>
    <n v="22419.54"/>
    <s v="Completed"/>
    <x v="5"/>
    <s v="Sports"/>
    <s v="Retail"/>
    <n v="26"/>
    <x v="3"/>
    <n v="2028"/>
  </r>
  <r>
    <s v="ORD-00361"/>
    <d v="2024-03-28T00:00:00"/>
    <s v="CUST-0212"/>
    <x v="45"/>
    <s v="R016"/>
    <n v="5"/>
    <n v="2210"/>
    <n v="5.0999999999999996"/>
    <n v="10486.45"/>
    <s v="Completed"/>
    <x v="1"/>
    <s v="Grocery"/>
    <s v="SMB"/>
    <n v="46"/>
    <x v="1"/>
    <n v="1010"/>
  </r>
  <r>
    <s v="ORD-00362"/>
    <d v="2024-10-26T00:00:00"/>
    <s v="CUST-0287"/>
    <x v="38"/>
    <s v="R029"/>
    <n v="1"/>
    <n v="1220"/>
    <n v="16.100000000000001"/>
    <n v="1023.58"/>
    <s v="Completed"/>
    <x v="1"/>
    <s v="Electronics"/>
    <s v="SMB"/>
    <n v="53"/>
    <x v="2"/>
    <n v="517"/>
  </r>
  <r>
    <s v="ORD-00363"/>
    <d v="2024-09-26T00:00:00"/>
    <s v="CUST-0030"/>
    <x v="25"/>
    <s v="R006"/>
    <n v="2"/>
    <n v="3570"/>
    <n v="1.1000000000000001"/>
    <n v="7061.46"/>
    <s v="Completed"/>
    <x v="4"/>
    <s v="Electronics"/>
    <s v="Corporate"/>
    <n v="43"/>
    <x v="0"/>
    <n v="1665"/>
  </r>
  <r>
    <s v="ORD-00364"/>
    <d v="2024-01-17T00:00:00"/>
    <s v="CUST-0270"/>
    <x v="55"/>
    <s v="R016"/>
    <n v="10"/>
    <n v="3450"/>
    <n v="12.6"/>
    <n v="30153"/>
    <s v="Completed"/>
    <x v="4"/>
    <s v="Apparel"/>
    <s v="Retail"/>
    <n v="29"/>
    <x v="1"/>
    <n v="1748"/>
  </r>
  <r>
    <s v="ORD-00365"/>
    <d v="2024-09-28T00:00:00"/>
    <s v="CUST-0001"/>
    <x v="45"/>
    <s v="R021"/>
    <n v="4"/>
    <n v="2210"/>
    <n v="5.4"/>
    <n v="8362.64"/>
    <s v="Completed"/>
    <x v="0"/>
    <s v="Grocery"/>
    <s v="Retail"/>
    <n v="36"/>
    <x v="3"/>
    <n v="1010"/>
  </r>
  <r>
    <s v="ORD-00366"/>
    <d v="2024-07-03T00:00:00"/>
    <s v="CUST-0215"/>
    <x v="57"/>
    <s v="R014"/>
    <n v="6"/>
    <n v="1090"/>
    <n v="2.9"/>
    <n v="6350.34"/>
    <s v="Cancelled"/>
    <x v="5"/>
    <s v="Home"/>
    <s v="Retail"/>
    <n v="52"/>
    <x v="1"/>
    <n v="464"/>
  </r>
  <r>
    <s v="ORD-00367"/>
    <d v="2024-03-13T00:00:00"/>
    <s v="CUST-0225"/>
    <x v="36"/>
    <s v="R017"/>
    <n v="8"/>
    <n v="1540"/>
    <n v="17.899999999999999"/>
    <n v="10114.719999999999"/>
    <s v="Pending"/>
    <x v="1"/>
    <s v="Beauty"/>
    <s v="SMB"/>
    <n v="26"/>
    <x v="3"/>
    <n v="647"/>
  </r>
  <r>
    <s v="ORD-00368"/>
    <d v="2024-03-20T00:00:00"/>
    <s v="CUST-0163"/>
    <x v="12"/>
    <s v="R028"/>
    <n v="9"/>
    <n v="2600"/>
    <n v="4.0999999999999996"/>
    <n v="22440.6"/>
    <s v="Completed"/>
    <x v="0"/>
    <s v="Electronics"/>
    <s v="Retail"/>
    <n v="49"/>
    <x v="2"/>
    <n v="1052"/>
  </r>
  <r>
    <s v="ORD-00369"/>
    <d v="2024-11-27T00:00:00"/>
    <s v="CUST-0196"/>
    <x v="14"/>
    <s v="R007"/>
    <n v="2"/>
    <n v="190"/>
    <n v="4.8"/>
    <n v="361.76"/>
    <s v="Completed"/>
    <x v="1"/>
    <s v="Sports"/>
    <s v="Retail"/>
    <n v="26"/>
    <x v="0"/>
    <n v="147"/>
  </r>
  <r>
    <s v="ORD-00370"/>
    <d v="2024-05-29T00:00:00"/>
    <s v="CUST-0002"/>
    <x v="19"/>
    <s v="R014"/>
    <n v="9"/>
    <n v="2480"/>
    <n v="28.3"/>
    <n v="16003.44"/>
    <s v="Completed"/>
    <x v="0"/>
    <s v="Apparel"/>
    <s v="Corporate"/>
    <n v="42"/>
    <x v="1"/>
    <n v="1173"/>
  </r>
  <r>
    <s v="ORD-00371"/>
    <d v="2024-05-30T00:00:00"/>
    <s v="CUST-0057"/>
    <x v="52"/>
    <s v="R006"/>
    <n v="7"/>
    <n v="2290"/>
    <n v="25"/>
    <n v="12022.5"/>
    <s v="Cancelled"/>
    <x v="0"/>
    <s v="Beauty"/>
    <s v="Retail"/>
    <n v="35"/>
    <x v="0"/>
    <n v="1219"/>
  </r>
  <r>
    <s v="ORD-00372"/>
    <d v="2024-10-02T00:00:00"/>
    <s v="CUST-0112"/>
    <x v="36"/>
    <s v="R015"/>
    <n v="9"/>
    <n v="1540"/>
    <n v="23.3"/>
    <n v="10630.62"/>
    <s v="Completed"/>
    <x v="5"/>
    <s v="Beauty"/>
    <s v="Retail"/>
    <n v="64"/>
    <x v="1"/>
    <n v="647"/>
  </r>
  <r>
    <s v="ORD-00373"/>
    <d v="2024-12-27T00:00:00"/>
    <s v="CUST-0131"/>
    <x v="54"/>
    <s v="R025"/>
    <n v="2"/>
    <n v="5080"/>
    <n v="2.5"/>
    <n v="9906"/>
    <s v="Cancelled"/>
    <x v="2"/>
    <s v="Home"/>
    <s v="SMB"/>
    <n v="28"/>
    <x v="2"/>
    <n v="2459"/>
  </r>
  <r>
    <s v="ORD-00374"/>
    <d v="2024-02-09T00:00:00"/>
    <s v="CUST-0124"/>
    <x v="47"/>
    <s v="R016"/>
    <n v="4"/>
    <n v="2510"/>
    <n v="23.6"/>
    <n v="7670.56"/>
    <s v="Completed"/>
    <x v="0"/>
    <s v="Apparel"/>
    <s v="Retail"/>
    <n v="57"/>
    <x v="1"/>
    <n v="1075"/>
  </r>
  <r>
    <s v="ORD-00375"/>
    <d v="2024-02-10T00:00:00"/>
    <s v="CUST-0131"/>
    <x v="52"/>
    <s v="R011"/>
    <n v="5"/>
    <n v="2290"/>
    <n v="17"/>
    <n v="9503.5"/>
    <s v="Completed"/>
    <x v="2"/>
    <s v="Beauty"/>
    <s v="SMB"/>
    <n v="28"/>
    <x v="1"/>
    <n v="1219"/>
  </r>
  <r>
    <s v="ORD-00376"/>
    <d v="2024-02-18T00:00:00"/>
    <s v="CUST-0084"/>
    <x v="2"/>
    <s v="R006"/>
    <n v="8"/>
    <n v="470"/>
    <n v="9.3000000000000007"/>
    <n v="3410.32"/>
    <s v="Completed"/>
    <x v="1"/>
    <s v="Sports"/>
    <s v="Retail"/>
    <n v="28"/>
    <x v="0"/>
    <n v="302"/>
  </r>
  <r>
    <s v="ORD-00377"/>
    <d v="2024-09-29T00:00:00"/>
    <s v="CUST-0082"/>
    <x v="26"/>
    <s v="R009"/>
    <n v="8"/>
    <n v="5100"/>
    <n v="4.5999999999999996"/>
    <n v="38923.199999999997"/>
    <s v="Completed"/>
    <x v="5"/>
    <s v="Beauty"/>
    <s v="SMB"/>
    <n v="36"/>
    <x v="1"/>
    <n v="2237"/>
  </r>
  <r>
    <s v="ORD-00378"/>
    <d v="2024-01-05T00:00:00"/>
    <s v="CUST-0242"/>
    <x v="49"/>
    <s v="R010"/>
    <n v="7"/>
    <n v="5330"/>
    <n v="2.5"/>
    <n v="36377.25"/>
    <s v="Completed"/>
    <x v="1"/>
    <s v="Electronics"/>
    <s v="SMB"/>
    <n v="59"/>
    <x v="1"/>
    <n v="2405"/>
  </r>
  <r>
    <s v="ORD-00379"/>
    <d v="2024-03-13T00:00:00"/>
    <s v="CUST-0074"/>
    <x v="44"/>
    <s v="R028"/>
    <n v="10"/>
    <n v="2030"/>
    <n v="8.5"/>
    <n v="18574.5"/>
    <s v="Completed"/>
    <x v="4"/>
    <s v="Home"/>
    <s v="Retail"/>
    <n v="27"/>
    <x v="2"/>
    <n v="1143"/>
  </r>
  <r>
    <s v="ORD-00380"/>
    <d v="2024-09-25T00:00:00"/>
    <s v="CUST-0221"/>
    <x v="54"/>
    <s v="R003"/>
    <n v="8"/>
    <n v="5080"/>
    <n v="9.6"/>
    <n v="36738.559999999998"/>
    <s v="Cancelled"/>
    <x v="2"/>
    <s v="Home"/>
    <s v="SMB"/>
    <n v="29"/>
    <x v="0"/>
    <n v="2459"/>
  </r>
  <r>
    <s v="ORD-00381"/>
    <d v="2024-03-27T00:00:00"/>
    <s v="CUST-0101"/>
    <x v="50"/>
    <s v="R014"/>
    <n v="1"/>
    <n v="2380"/>
    <n v="11.6"/>
    <n v="2103.92"/>
    <s v="Pending"/>
    <x v="5"/>
    <s v="Grocery"/>
    <s v="SMB"/>
    <n v="40"/>
    <x v="1"/>
    <n v="1182"/>
  </r>
  <r>
    <s v="ORD-00382"/>
    <d v="2024-10-25T00:00:00"/>
    <s v="CUST-0203"/>
    <x v="36"/>
    <s v="R027"/>
    <n v="8"/>
    <n v="1540"/>
    <n v="27.8"/>
    <n v="8895.0400000000009"/>
    <s v="Completed"/>
    <x v="1"/>
    <s v="Beauty"/>
    <s v="SMB"/>
    <n v="55"/>
    <x v="2"/>
    <n v="647"/>
  </r>
  <r>
    <s v="ORD-00383"/>
    <d v="2024-10-26T00:00:00"/>
    <s v="CUST-0209"/>
    <x v="10"/>
    <s v="R024"/>
    <n v="1"/>
    <n v="2270"/>
    <n v="6.5"/>
    <n v="2122.4499999999998"/>
    <s v="Pending"/>
    <x v="0"/>
    <s v="Grocery"/>
    <s v="Retail"/>
    <n v="31"/>
    <x v="2"/>
    <n v="1203"/>
  </r>
  <r>
    <s v="ORD-00384"/>
    <d v="2024-07-30T00:00:00"/>
    <s v="CUST-0094"/>
    <x v="19"/>
    <s v="R028"/>
    <n v="6"/>
    <n v="2480"/>
    <n v="25.9"/>
    <n v="11026.08"/>
    <s v="Completed"/>
    <x v="0"/>
    <s v="Apparel"/>
    <s v="SMB"/>
    <n v="60"/>
    <x v="2"/>
    <n v="1173"/>
  </r>
  <r>
    <s v="ORD-00385"/>
    <d v="2024-11-12T00:00:00"/>
    <s v="CUST-0248"/>
    <x v="59"/>
    <s v="R019"/>
    <n v="3"/>
    <n v="3560"/>
    <n v="0.4"/>
    <n v="10637.28"/>
    <s v="Refunded"/>
    <x v="1"/>
    <s v="Apparel"/>
    <s v="SMB"/>
    <n v="57"/>
    <x v="3"/>
    <n v="2629"/>
  </r>
  <r>
    <s v="ORD-00386"/>
    <d v="2024-05-10T00:00:00"/>
    <s v="CUST-0297"/>
    <x v="41"/>
    <s v="R006"/>
    <n v="4"/>
    <n v="2660"/>
    <n v="19.7"/>
    <n v="8543.92"/>
    <s v="Cancelled"/>
    <x v="5"/>
    <s v="Electronics"/>
    <s v="Retail"/>
    <n v="50"/>
    <x v="0"/>
    <n v="1259"/>
  </r>
  <r>
    <s v="ORD-00387"/>
    <d v="2024-04-04T00:00:00"/>
    <s v="CUST-0107"/>
    <x v="38"/>
    <s v="R013"/>
    <n v="10"/>
    <n v="1220"/>
    <n v="10.1"/>
    <n v="10967.8"/>
    <s v="Cancelled"/>
    <x v="0"/>
    <s v="Electronics"/>
    <s v="Retail"/>
    <n v="50"/>
    <x v="1"/>
    <n v="517"/>
  </r>
  <r>
    <s v="ORD-00388"/>
    <d v="2024-10-19T00:00:00"/>
    <s v="CUST-0247"/>
    <x v="12"/>
    <s v="R014"/>
    <n v="8"/>
    <n v="2600"/>
    <n v="26.7"/>
    <n v="15246.4"/>
    <s v="Completed"/>
    <x v="0"/>
    <s v="Electronics"/>
    <s v="SMB"/>
    <n v="35"/>
    <x v="1"/>
    <n v="1052"/>
  </r>
  <r>
    <s v="ORD-00389"/>
    <d v="2024-05-28T00:00:00"/>
    <s v="CUST-0047"/>
    <x v="55"/>
    <s v="R020"/>
    <n v="10"/>
    <n v="3450"/>
    <n v="20.399999999999999"/>
    <n v="27462"/>
    <s v="Completed"/>
    <x v="0"/>
    <s v="Apparel"/>
    <s v="Retail"/>
    <n v="49"/>
    <x v="3"/>
    <n v="1748"/>
  </r>
  <r>
    <s v="ORD-00390"/>
    <d v="2024-05-28T00:00:00"/>
    <s v="CUST-0118"/>
    <x v="58"/>
    <s v="R019"/>
    <n v="1"/>
    <n v="6940"/>
    <n v="9.6999999999999993"/>
    <n v="6266.82"/>
    <s v="Completed"/>
    <x v="5"/>
    <s v="Sports"/>
    <s v="Retail"/>
    <n v="26"/>
    <x v="3"/>
    <n v="2827"/>
  </r>
  <r>
    <s v="ORD-00391"/>
    <d v="2024-03-07T00:00:00"/>
    <s v="CUST-0019"/>
    <x v="22"/>
    <s v="R006"/>
    <n v="10"/>
    <n v="3350"/>
    <n v="3.2"/>
    <n v="32428"/>
    <s v="Completed"/>
    <x v="1"/>
    <s v="Beauty"/>
    <s v="Retail"/>
    <n v="22"/>
    <x v="0"/>
    <n v="1728"/>
  </r>
  <r>
    <s v="ORD-00392"/>
    <d v="2024-04-05T00:00:00"/>
    <s v="CUST-0290"/>
    <x v="36"/>
    <s v="R026"/>
    <n v="7"/>
    <n v="1540"/>
    <n v="0.5"/>
    <n v="10726.1"/>
    <s v="Completed"/>
    <x v="2"/>
    <s v="Beauty"/>
    <s v="Retail"/>
    <n v="63"/>
    <x v="2"/>
    <n v="647"/>
  </r>
  <r>
    <s v="ORD-00393"/>
    <d v="2024-12-29T00:00:00"/>
    <s v="CUST-9557"/>
    <x v="0"/>
    <s v="R026"/>
    <n v="10"/>
    <n v="3620"/>
    <n v="22"/>
    <n v="28236"/>
    <s v="Completed"/>
    <x v="0"/>
    <s v="Apparel"/>
    <e v="#N/A"/>
    <e v="#N/A"/>
    <x v="2"/>
    <n v="2509"/>
  </r>
  <r>
    <s v="ORD-00394"/>
    <d v="2024-12-03T00:00:00"/>
    <s v="CUST-0291"/>
    <x v="2"/>
    <s v="R026"/>
    <n v="2"/>
    <n v="470"/>
    <n v="26.5"/>
    <n v="690.9"/>
    <s v="Pending"/>
    <x v="0"/>
    <s v="Sports"/>
    <s v="SMB"/>
    <n v="29"/>
    <x v="2"/>
    <n v="302"/>
  </r>
  <r>
    <s v="ORD-00395"/>
    <d v="2024-02-01T00:00:00"/>
    <s v="CUST-0045"/>
    <x v="3"/>
    <s v="R010"/>
    <n v="6"/>
    <n v="3660"/>
    <n v="1.5"/>
    <n v="21630.6"/>
    <s v="Completed"/>
    <x v="1"/>
    <s v="Grocery"/>
    <s v="SMB"/>
    <n v="39"/>
    <x v="1"/>
    <n v="2214"/>
  </r>
  <r>
    <s v="ORD-00396"/>
    <d v="2024-05-20T00:00:00"/>
    <s v="CUST-0281"/>
    <x v="58"/>
    <s v="R017"/>
    <n v="10"/>
    <n v="6940"/>
    <n v="1.9"/>
    <n v="68081.399999999994"/>
    <s v="Completed"/>
    <x v="4"/>
    <s v="Sports"/>
    <s v="Corporate"/>
    <n v="57"/>
    <x v="3"/>
    <n v="2827"/>
  </r>
  <r>
    <s v="ORD-00397"/>
    <d v="2024-04-15T00:00:00"/>
    <s v="CUST-0073"/>
    <x v="52"/>
    <s v="R005"/>
    <n v="8"/>
    <n v="2290"/>
    <n v="27.9"/>
    <n v="13208.72"/>
    <s v="Completed"/>
    <x v="0"/>
    <s v="Beauty"/>
    <s v="Corporate"/>
    <n v="40"/>
    <x v="0"/>
    <n v="1219"/>
  </r>
  <r>
    <s v="ORD-00398"/>
    <d v="2024-10-08T00:00:00"/>
    <s v="CUST-0043"/>
    <x v="4"/>
    <s v="R024"/>
    <n v="9"/>
    <n v="3160"/>
    <n v="10.199999999999999"/>
    <n v="25539.119999999999"/>
    <s v="Completed"/>
    <x v="5"/>
    <s v="Apparel"/>
    <s v="Retail"/>
    <n v="61"/>
    <x v="2"/>
    <n v="1886"/>
  </r>
  <r>
    <s v="ORD-00399"/>
    <d v="2024-01-16T00:00:00"/>
    <s v="CUST-0154"/>
    <x v="54"/>
    <s v="R028"/>
    <n v="6"/>
    <n v="5080"/>
    <n v="25.4"/>
    <n v="22738.080000000002"/>
    <s v="Completed"/>
    <x v="0"/>
    <s v="Home"/>
    <s v="Retail"/>
    <n v="36"/>
    <x v="2"/>
    <n v="2459"/>
  </r>
  <r>
    <s v="ORD-00400"/>
    <d v="2024-11-24T00:00:00"/>
    <s v="CUST-0061"/>
    <x v="28"/>
    <s v="R012"/>
    <n v="6"/>
    <n v="2760"/>
    <n v="21.3"/>
    <n v="13032.72"/>
    <s v="Completed"/>
    <x v="5"/>
    <s v="Grocery"/>
    <s v="Retail"/>
    <n v="64"/>
    <x v="1"/>
    <n v="1435"/>
  </r>
  <r>
    <s v="ORD-00401"/>
    <d v="2024-06-19T00:00:00"/>
    <s v="CUST-9654"/>
    <x v="38"/>
    <s v="R012"/>
    <n v="5"/>
    <n v="1220"/>
    <n v="7.6"/>
    <n v="5636.4"/>
    <s v="Completed"/>
    <x v="3"/>
    <s v="Electronics"/>
    <e v="#N/A"/>
    <e v="#N/A"/>
    <x v="1"/>
    <n v="517"/>
  </r>
  <r>
    <s v="ORD-00402"/>
    <d v="2024-11-26T00:00:00"/>
    <s v="CUST-0189"/>
    <x v="24"/>
    <s v="R028"/>
    <n v="5"/>
    <n v="4880"/>
    <n v="8.5"/>
    <n v="22326"/>
    <s v="Completed"/>
    <x v="1"/>
    <s v="Beauty"/>
    <s v="Retail"/>
    <n v="41"/>
    <x v="2"/>
    <n v="2768"/>
  </r>
  <r>
    <s v="ORD-00403"/>
    <d v="2024-10-31T00:00:00"/>
    <s v="CUST-0152"/>
    <x v="37"/>
    <s v="R022"/>
    <n v="7"/>
    <n v="4070"/>
    <n v="28"/>
    <n v="20512.8"/>
    <s v="Completed"/>
    <x v="4"/>
    <s v="Grocery"/>
    <s v="SMB"/>
    <n v="64"/>
    <x v="3"/>
    <n v="2027"/>
  </r>
  <r>
    <s v="ORD-00404"/>
    <d v="2024-08-02T00:00:00"/>
    <s v="CUST-0284"/>
    <x v="53"/>
    <s v="R028"/>
    <n v="2"/>
    <n v="3970"/>
    <n v="14"/>
    <n v="6828.4"/>
    <s v="Completed"/>
    <x v="5"/>
    <s v="Electronics"/>
    <s v="SMB"/>
    <n v="65"/>
    <x v="2"/>
    <n v="2865"/>
  </r>
  <r>
    <s v="ORD-00405"/>
    <d v="2024-02-27T00:00:00"/>
    <s v="CUST-0175"/>
    <x v="41"/>
    <s v="R018"/>
    <n v="9"/>
    <n v="2660"/>
    <n v="10.1"/>
    <n v="21522.06"/>
    <s v="Completed"/>
    <x v="2"/>
    <s v="Electronics"/>
    <s v="Corporate"/>
    <n v="55"/>
    <x v="3"/>
    <n v="1259"/>
  </r>
  <r>
    <s v="ORD-00406"/>
    <d v="2024-04-25T00:00:00"/>
    <s v="CUST-0093"/>
    <x v="27"/>
    <s v="R022"/>
    <n v="9"/>
    <n v="2860"/>
    <n v="10.1"/>
    <n v="23140.26"/>
    <s v="Refunded"/>
    <x v="0"/>
    <s v="Sports"/>
    <s v="Retail"/>
    <n v="36"/>
    <x v="3"/>
    <n v="2028"/>
  </r>
  <r>
    <s v="ORD-00407"/>
    <d v="2024-10-26T00:00:00"/>
    <s v="CUST-0033"/>
    <x v="38"/>
    <s v="R007"/>
    <n v="7"/>
    <n v="1220"/>
    <n v="23.5"/>
    <n v="6533.1"/>
    <s v="Refunded"/>
    <x v="2"/>
    <s v="Electronics"/>
    <s v="Retail"/>
    <n v="35"/>
    <x v="0"/>
    <n v="517"/>
  </r>
  <r>
    <s v="ORD-00408"/>
    <d v="2024-10-19T00:00:00"/>
    <s v="CUST-0294"/>
    <x v="34"/>
    <s v="R026"/>
    <n v="1"/>
    <n v="2270"/>
    <n v="5.8"/>
    <n v="2138.34"/>
    <s v="Cancelled"/>
    <x v="2"/>
    <s v="Grocery"/>
    <s v="Corporate"/>
    <n v="31"/>
    <x v="2"/>
    <n v="1412"/>
  </r>
  <r>
    <s v="ORD-00409"/>
    <d v="2024-10-16T00:00:00"/>
    <s v="CUST-0115"/>
    <x v="29"/>
    <s v="R002"/>
    <n v="2"/>
    <n v="660"/>
    <n v="2.2999999999999998"/>
    <n v="1289.6400000000001"/>
    <s v="Completed"/>
    <x v="3"/>
    <s v="Home"/>
    <s v="SMB"/>
    <n v="65"/>
    <x v="0"/>
    <n v="329"/>
  </r>
  <r>
    <s v="ORD-00410"/>
    <d v="2024-05-29T00:00:00"/>
    <s v="CUST-0219"/>
    <x v="4"/>
    <s v="R014"/>
    <n v="1"/>
    <n v="3160"/>
    <n v="5.6"/>
    <n v="2983.04"/>
    <s v="Completed"/>
    <x v="1"/>
    <s v="Apparel"/>
    <s v="Corporate"/>
    <n v="38"/>
    <x v="1"/>
    <n v="1886"/>
  </r>
  <r>
    <s v="ORD-00411"/>
    <d v="2024-04-26T00:00:00"/>
    <s v="CUST-0180"/>
    <x v="12"/>
    <s v="R013"/>
    <n v="1"/>
    <n v="2600"/>
    <n v="1"/>
    <n v="2574"/>
    <s v="Completed"/>
    <x v="1"/>
    <s v="Electronics"/>
    <s v="Retail"/>
    <n v="36"/>
    <x v="1"/>
    <n v="1052"/>
  </r>
  <r>
    <s v="ORD-00412"/>
    <d v="2024-08-11T00:00:00"/>
    <s v="CUST-0148"/>
    <x v="39"/>
    <s v="R014"/>
    <n v="4"/>
    <n v="4610"/>
    <n v="18.7"/>
    <n v="14991.72"/>
    <s v="Completed"/>
    <x v="1"/>
    <s v="Home"/>
    <s v="Retail"/>
    <n v="32"/>
    <x v="1"/>
    <n v="1850"/>
  </r>
  <r>
    <s v="ORD-00413"/>
    <d v="2024-04-30T00:00:00"/>
    <s v="CUST-0026"/>
    <x v="32"/>
    <s v="R018"/>
    <n v="3"/>
    <n v="3640"/>
    <n v="9.6999999999999993"/>
    <n v="9860.76"/>
    <s v="Cancelled"/>
    <x v="0"/>
    <s v="Apparel"/>
    <s v="Retail"/>
    <n v="62"/>
    <x v="3"/>
    <n v="2611"/>
  </r>
  <r>
    <s v="ORD-00414"/>
    <d v="2024-06-05T00:00:00"/>
    <s v="CUST-0246"/>
    <x v="20"/>
    <s v="R004"/>
    <n v="6"/>
    <n v="2720"/>
    <n v="13"/>
    <n v="14198.4"/>
    <s v="Pending"/>
    <x v="2"/>
    <s v="Apparel"/>
    <s v="SMB"/>
    <n v="29"/>
    <x v="0"/>
    <n v="1962"/>
  </r>
  <r>
    <s v="ORD-00415"/>
    <d v="2024-12-18T00:00:00"/>
    <s v="CUST-0125"/>
    <x v="56"/>
    <s v="R008"/>
    <n v="5"/>
    <n v="3780"/>
    <n v="15.2"/>
    <n v="16027.2"/>
    <s v="Completed"/>
    <x v="2"/>
    <s v="Sports"/>
    <s v="Retail"/>
    <n v="45"/>
    <x v="0"/>
    <n v="1860"/>
  </r>
  <r>
    <s v="ORD-00416"/>
    <d v="2024-04-25T00:00:00"/>
    <s v="CUST-0190"/>
    <x v="57"/>
    <s v="R030"/>
    <n v="9"/>
    <n v="1090"/>
    <n v="28.5"/>
    <n v="7014.15"/>
    <s v="Completed"/>
    <x v="5"/>
    <s v="Home"/>
    <s v="Retail"/>
    <n v="52"/>
    <x v="2"/>
    <n v="464"/>
  </r>
  <r>
    <s v="ORD-00417"/>
    <d v="2024-10-16T00:00:00"/>
    <s v="CUST-0085"/>
    <x v="57"/>
    <s v="R028"/>
    <n v="6"/>
    <n v="1090"/>
    <n v="28.7"/>
    <n v="4663.0200000000004"/>
    <s v="Completed"/>
    <x v="1"/>
    <s v="Home"/>
    <s v="Retail"/>
    <n v="26"/>
    <x v="2"/>
    <n v="464"/>
  </r>
  <r>
    <s v="ORD-00418"/>
    <d v="2024-03-15T00:00:00"/>
    <s v="CUST-0249"/>
    <x v="47"/>
    <s v="R030"/>
    <n v="5"/>
    <n v="2510"/>
    <n v="25"/>
    <n v="9412.5"/>
    <s v="Completed"/>
    <x v="3"/>
    <s v="Apparel"/>
    <s v="Retail"/>
    <n v="44"/>
    <x v="2"/>
    <n v="1075"/>
  </r>
  <r>
    <s v="ORD-00419"/>
    <d v="2024-10-12T00:00:00"/>
    <s v="CUST-0012"/>
    <x v="53"/>
    <s v="R010"/>
    <n v="5"/>
    <n v="3970"/>
    <n v="26"/>
    <n v="14689"/>
    <s v="Completed"/>
    <x v="0"/>
    <s v="Electronics"/>
    <s v="Retail"/>
    <n v="43"/>
    <x v="1"/>
    <n v="2865"/>
  </r>
  <r>
    <s v="ORD-00420"/>
    <d v="2024-02-11T00:00:00"/>
    <s v="CUST-0251"/>
    <x v="37"/>
    <s v="R001"/>
    <n v="9"/>
    <n v="4070"/>
    <n v="15.7"/>
    <n v="30879.09"/>
    <s v="Completed"/>
    <x v="3"/>
    <s v="Grocery"/>
    <s v="Retail"/>
    <n v="44"/>
    <x v="0"/>
    <n v="2027"/>
  </r>
  <r>
    <s v="ORD-00421"/>
    <d v="2024-05-06T00:00:00"/>
    <s v="CUST-0088"/>
    <x v="8"/>
    <s v="R004"/>
    <n v="6"/>
    <n v="5490"/>
    <n v="8.5"/>
    <n v="30140.1"/>
    <s v="Refunded"/>
    <x v="1"/>
    <s v="Home"/>
    <s v="Retail"/>
    <n v="24"/>
    <x v="0"/>
    <n v="2549"/>
  </r>
  <r>
    <s v="ORD-00422"/>
    <d v="2024-11-19T00:00:00"/>
    <s v="CUST-0037"/>
    <x v="23"/>
    <s v="R022"/>
    <n v="9"/>
    <n v="1010"/>
    <n v="3.6"/>
    <n v="8762.76"/>
    <s v="Completed"/>
    <x v="4"/>
    <s v="Sports"/>
    <s v="Retail"/>
    <n v="52"/>
    <x v="3"/>
    <n v="516"/>
  </r>
  <r>
    <s v="ORD-00423"/>
    <d v="2024-12-05T00:00:00"/>
    <s v="CUST-0039"/>
    <x v="3"/>
    <s v="R008"/>
    <n v="6"/>
    <n v="3660"/>
    <n v="10.8"/>
    <n v="19588.32"/>
    <s v="Completed"/>
    <x v="4"/>
    <s v="Grocery"/>
    <s v="Retail"/>
    <n v="37"/>
    <x v="0"/>
    <n v="2214"/>
  </r>
  <r>
    <s v="ORD-00424"/>
    <d v="2024-08-20T00:00:00"/>
    <s v="CUST-0106"/>
    <x v="16"/>
    <s v="R016"/>
    <n v="6"/>
    <n v="3450"/>
    <n v="10.7"/>
    <n v="18485.099999999999"/>
    <s v="Completed"/>
    <x v="0"/>
    <s v="Beauty"/>
    <s v="Retail"/>
    <n v="22"/>
    <x v="1"/>
    <n v="2420"/>
  </r>
  <r>
    <s v="ORD-00425"/>
    <d v="2024-03-28T00:00:00"/>
    <s v="CUST-0222"/>
    <x v="37"/>
    <s v="R011"/>
    <n v="10"/>
    <n v="4070"/>
    <n v="23.4"/>
    <n v="31176.2"/>
    <s v="Refunded"/>
    <x v="1"/>
    <s v="Grocery"/>
    <s v="Retail"/>
    <n v="37"/>
    <x v="1"/>
    <n v="2027"/>
  </r>
  <r>
    <s v="ORD-00426"/>
    <d v="2024-06-11T00:00:00"/>
    <s v="CUST-0130"/>
    <x v="25"/>
    <s v="R025"/>
    <n v="9"/>
    <n v="3570"/>
    <n v="15.2"/>
    <n v="27246.240000000002"/>
    <s v="Completed"/>
    <x v="4"/>
    <s v="Electronics"/>
    <s v="Corporate"/>
    <n v="41"/>
    <x v="2"/>
    <n v="1665"/>
  </r>
  <r>
    <s v="ORD-00427"/>
    <d v="2024-09-27T00:00:00"/>
    <s v="CUST-0281"/>
    <x v="58"/>
    <s v="R005"/>
    <n v="10"/>
    <n v="6940"/>
    <n v="21.8"/>
    <n v="54270.8"/>
    <s v="Pending"/>
    <x v="4"/>
    <s v="Sports"/>
    <s v="Corporate"/>
    <n v="57"/>
    <x v="0"/>
    <n v="2827"/>
  </r>
  <r>
    <s v="ORD-00428"/>
    <d v="2024-07-16T00:00:00"/>
    <s v="CUST-0094"/>
    <x v="21"/>
    <s v="R014"/>
    <n v="9"/>
    <n v="1650"/>
    <n v="24.3"/>
    <n v="11241.45"/>
    <s v="Completed"/>
    <x v="0"/>
    <s v="Beauty"/>
    <s v="SMB"/>
    <n v="60"/>
    <x v="1"/>
    <n v="1222"/>
  </r>
  <r>
    <s v="ORD-00429"/>
    <d v="2024-11-28T00:00:00"/>
    <s v="CUST-0271"/>
    <x v="7"/>
    <s v="R014"/>
    <n v="10"/>
    <n v="1430"/>
    <n v="25.2"/>
    <n v="10696.4"/>
    <s v="Completed"/>
    <x v="4"/>
    <s v="Electronics"/>
    <s v="Corporate"/>
    <n v="41"/>
    <x v="1"/>
    <n v="861"/>
  </r>
  <r>
    <s v="ORD-00430"/>
    <d v="2024-07-07T00:00:00"/>
    <s v="CUST-0110"/>
    <x v="46"/>
    <s v="R010"/>
    <n v="4"/>
    <n v="4060"/>
    <n v="1.6"/>
    <n v="15980.16"/>
    <s v="Completed"/>
    <x v="0"/>
    <s v="Grocery"/>
    <s v="Corporate"/>
    <n v="31"/>
    <x v="1"/>
    <n v="2911"/>
  </r>
  <r>
    <s v="ORD-00431"/>
    <d v="2024-05-08T00:00:00"/>
    <s v="CUST-0262"/>
    <x v="5"/>
    <s v="R005"/>
    <n v="9"/>
    <n v="370"/>
    <n v="17"/>
    <n v="2763.9"/>
    <s v="Completed"/>
    <x v="3"/>
    <s v="Home"/>
    <s v="Retail"/>
    <n v="52"/>
    <x v="0"/>
    <n v="288"/>
  </r>
  <r>
    <s v="ORD-00432"/>
    <d v="2024-01-31T00:00:00"/>
    <s v="CUST-0157"/>
    <x v="36"/>
    <s v="R010"/>
    <n v="1"/>
    <n v="1540"/>
    <n v="24"/>
    <n v="1170.4000000000001"/>
    <s v="Cancelled"/>
    <x v="0"/>
    <s v="Beauty"/>
    <s v="Corporate"/>
    <n v="52"/>
    <x v="1"/>
    <n v="647"/>
  </r>
  <r>
    <s v="ORD-00433"/>
    <d v="2024-03-31T00:00:00"/>
    <s v="CUST-0135"/>
    <x v="12"/>
    <s v="R025"/>
    <n v="9"/>
    <n v="2600"/>
    <n v="7.7"/>
    <n v="21598.2"/>
    <s v="Completed"/>
    <x v="0"/>
    <s v="Electronics"/>
    <s v="SMB"/>
    <n v="24"/>
    <x v="2"/>
    <n v="1052"/>
  </r>
  <r>
    <s v="ORD-00434"/>
    <d v="2024-07-24T00:00:00"/>
    <s v="CUST-0136"/>
    <x v="47"/>
    <s v="R015"/>
    <n v="8"/>
    <n v="2510"/>
    <n v="3.7"/>
    <n v="19337.04"/>
    <s v="Completed"/>
    <x v="1"/>
    <s v="Apparel"/>
    <s v="SMB"/>
    <n v="26"/>
    <x v="1"/>
    <n v="1075"/>
  </r>
  <r>
    <s v="ORD-00435"/>
    <d v="2024-08-06T00:00:00"/>
    <s v="CUST-0110"/>
    <x v="49"/>
    <s v="R003"/>
    <n v="6"/>
    <n v="5330"/>
    <n v="8.4"/>
    <n v="29293.68"/>
    <s v="Completed"/>
    <x v="0"/>
    <s v="Electronics"/>
    <s v="Corporate"/>
    <n v="31"/>
    <x v="0"/>
    <n v="2405"/>
  </r>
  <r>
    <s v="ORD-00436"/>
    <d v="2024-08-18T00:00:00"/>
    <s v="CUST-0192"/>
    <x v="54"/>
    <s v="R014"/>
    <n v="5"/>
    <n v="5080"/>
    <n v="10.3"/>
    <n v="22783.8"/>
    <s v="Completed"/>
    <x v="4"/>
    <s v="Home"/>
    <s v="Retail"/>
    <n v="55"/>
    <x v="1"/>
    <n v="2459"/>
  </r>
  <r>
    <s v="ORD-00437"/>
    <d v="2024-03-30T00:00:00"/>
    <s v="CUST-0169"/>
    <x v="37"/>
    <s v="R025"/>
    <n v="3"/>
    <n v="4070"/>
    <n v="23.7"/>
    <n v="9316.23"/>
    <s v="Completed"/>
    <x v="4"/>
    <s v="Grocery"/>
    <s v="SMB"/>
    <n v="42"/>
    <x v="2"/>
    <n v="2027"/>
  </r>
  <r>
    <s v="ORD-00438"/>
    <d v="2024-08-07T00:00:00"/>
    <s v="CUST-0086"/>
    <x v="43"/>
    <s v="R013"/>
    <n v="4"/>
    <n v="620"/>
    <n v="18.8"/>
    <n v="2013.76"/>
    <s v="Completed"/>
    <x v="5"/>
    <s v="Apparel"/>
    <s v="Corporate"/>
    <n v="56"/>
    <x v="1"/>
    <n v="396"/>
  </r>
  <r>
    <s v="ORD-00439"/>
    <d v="2024-12-02T00:00:00"/>
    <s v="CUST-0217"/>
    <x v="11"/>
    <s v="R017"/>
    <n v="10"/>
    <n v="2640"/>
    <n v="12.7"/>
    <n v="23047.200000000001"/>
    <s v="Completed"/>
    <x v="0"/>
    <s v="Electronics"/>
    <s v="SMB"/>
    <n v="59"/>
    <x v="3"/>
    <n v="1149"/>
  </r>
  <r>
    <s v="ORD-00440"/>
    <d v="2024-02-04T00:00:00"/>
    <s v="CUST-0119"/>
    <x v="37"/>
    <s v="R030"/>
    <n v="2"/>
    <n v="4070"/>
    <n v="29"/>
    <n v="5779.4"/>
    <s v="Completed"/>
    <x v="4"/>
    <s v="Grocery"/>
    <s v="SMB"/>
    <n v="43"/>
    <x v="2"/>
    <n v="2027"/>
  </r>
  <r>
    <s v="ORD-00441"/>
    <d v="2024-09-26T00:00:00"/>
    <s v="CUST-0011"/>
    <x v="23"/>
    <s v="R007"/>
    <n v="8"/>
    <n v="1010"/>
    <n v="25.4"/>
    <n v="6027.68"/>
    <s v="Completed"/>
    <x v="1"/>
    <s v="Sports"/>
    <s v="Corporate"/>
    <n v="41"/>
    <x v="0"/>
    <n v="516"/>
  </r>
  <r>
    <s v="ORD-00442"/>
    <d v="2024-12-03T00:00:00"/>
    <s v="CUST-0059"/>
    <x v="13"/>
    <s v="R005"/>
    <n v="8"/>
    <n v="3250"/>
    <n v="5.4"/>
    <n v="24596"/>
    <s v="Completed"/>
    <x v="0"/>
    <s v="Home"/>
    <s v="Corporate"/>
    <n v="29"/>
    <x v="0"/>
    <n v="1556"/>
  </r>
  <r>
    <s v="ORD-00443"/>
    <d v="2024-06-17T00:00:00"/>
    <s v="CUST-0210"/>
    <x v="7"/>
    <s v="R009"/>
    <n v="7"/>
    <n v="1430"/>
    <n v="19.3"/>
    <n v="8078.07"/>
    <s v="Completed"/>
    <x v="0"/>
    <s v="Electronics"/>
    <s v="Corporate"/>
    <n v="48"/>
    <x v="1"/>
    <n v="861"/>
  </r>
  <r>
    <s v="ORD-00444"/>
    <d v="2024-11-01T00:00:00"/>
    <s v="CUST-0145"/>
    <x v="40"/>
    <s v="R018"/>
    <n v="9"/>
    <n v="3020"/>
    <n v="15"/>
    <n v="23103"/>
    <s v="Completed"/>
    <x v="4"/>
    <s v="Beauty"/>
    <s v="SMB"/>
    <n v="44"/>
    <x v="3"/>
    <n v="1626"/>
  </r>
  <r>
    <s v="ORD-00445"/>
    <d v="2024-02-02T00:00:00"/>
    <s v="CUST-9626"/>
    <x v="41"/>
    <s v="R002"/>
    <n v="2"/>
    <n v="2660"/>
    <n v="21.4"/>
    <n v="4181.5200000000004"/>
    <s v="Completed"/>
    <x v="1"/>
    <s v="Electronics"/>
    <e v="#N/A"/>
    <e v="#N/A"/>
    <x v="0"/>
    <n v="1259"/>
  </r>
  <r>
    <s v="ORD-00446"/>
    <d v="2024-07-17T00:00:00"/>
    <s v="CUST-0250"/>
    <x v="25"/>
    <s v="R019"/>
    <n v="10"/>
    <n v="3570"/>
    <n v="20.3"/>
    <n v="28452.9"/>
    <s v="Completed"/>
    <x v="2"/>
    <s v="Electronics"/>
    <s v="Retail"/>
    <n v="31"/>
    <x v="3"/>
    <n v="1665"/>
  </r>
  <r>
    <s v="ORD-00447"/>
    <d v="2024-02-08T00:00:00"/>
    <s v="CUST-0241"/>
    <x v="22"/>
    <s v="R010"/>
    <n v="4"/>
    <n v="3350"/>
    <n v="28.1"/>
    <n v="9634.6"/>
    <s v="Completed"/>
    <x v="0"/>
    <s v="Beauty"/>
    <s v="Corporate"/>
    <n v="47"/>
    <x v="1"/>
    <n v="1728"/>
  </r>
  <r>
    <s v="ORD-00448"/>
    <d v="2024-02-14T00:00:00"/>
    <s v="CUST-0071"/>
    <x v="19"/>
    <s v="R021"/>
    <n v="1"/>
    <n v="2480"/>
    <n v="13.5"/>
    <n v="2145.1999999999998"/>
    <s v="Completed"/>
    <x v="2"/>
    <s v="Apparel"/>
    <s v="Corporate"/>
    <n v="46"/>
    <x v="3"/>
    <n v="1173"/>
  </r>
  <r>
    <s v="ORD-00449"/>
    <d v="2024-12-23T00:00:00"/>
    <s v="CUST-0017"/>
    <x v="48"/>
    <s v="R015"/>
    <n v="10"/>
    <n v="5410"/>
    <n v="26.1"/>
    <n v="39979.9"/>
    <s v="Completed"/>
    <x v="2"/>
    <s v="Sports"/>
    <s v="SMB"/>
    <n v="38"/>
    <x v="1"/>
    <n v="2265"/>
  </r>
  <r>
    <s v="ORD-00450"/>
    <d v="2024-10-21T00:00:00"/>
    <s v="CUST-0007"/>
    <x v="29"/>
    <s v="R023"/>
    <n v="2"/>
    <n v="660"/>
    <n v="5"/>
    <n v="1254"/>
    <s v="Completed"/>
    <x v="4"/>
    <s v="Home"/>
    <s v="Retail"/>
    <n v="47"/>
    <x v="3"/>
    <n v="329"/>
  </r>
  <r>
    <s v="ORD-00451"/>
    <d v="2024-12-21T00:00:00"/>
    <s v="CUST-0054"/>
    <x v="23"/>
    <s v="R007"/>
    <n v="10"/>
    <n v="1010"/>
    <n v="10"/>
    <n v="9090"/>
    <s v="Completed"/>
    <x v="3"/>
    <s v="Sports"/>
    <s v="Corporate"/>
    <n v="62"/>
    <x v="0"/>
    <n v="516"/>
  </r>
  <r>
    <s v="ORD-00452"/>
    <d v="2024-07-23T00:00:00"/>
    <s v="CUST-0038"/>
    <x v="52"/>
    <s v="R001"/>
    <n v="3"/>
    <n v="2290"/>
    <n v="8.9"/>
    <n v="6258.57"/>
    <s v="Completed"/>
    <x v="3"/>
    <s v="Beauty"/>
    <s v="Retail"/>
    <n v="57"/>
    <x v="0"/>
    <n v="1219"/>
  </r>
  <r>
    <s v="ORD-00453"/>
    <d v="2024-03-18T00:00:00"/>
    <s v="CUST-0066"/>
    <x v="16"/>
    <s v="R001"/>
    <n v="9"/>
    <n v="3450"/>
    <n v="24.3"/>
    <n v="23504.85"/>
    <s v="Completed"/>
    <x v="2"/>
    <s v="Beauty"/>
    <s v="Retail"/>
    <n v="24"/>
    <x v="0"/>
    <n v="2420"/>
  </r>
  <r>
    <s v="ORD-00454"/>
    <d v="2024-04-07T00:00:00"/>
    <s v="CUST-0161"/>
    <x v="32"/>
    <s v="R003"/>
    <n v="10"/>
    <n v="3640"/>
    <n v="21.4"/>
    <n v="28610.400000000001"/>
    <s v="Cancelled"/>
    <x v="1"/>
    <s v="Apparel"/>
    <s v="Retail"/>
    <n v="38"/>
    <x v="0"/>
    <n v="2611"/>
  </r>
  <r>
    <s v="ORD-00455"/>
    <d v="2024-02-14T00:00:00"/>
    <s v="CUST-0072"/>
    <x v="50"/>
    <s v="R015"/>
    <n v="5"/>
    <n v="2380"/>
    <n v="12.2"/>
    <n v="10448.200000000001"/>
    <s v="Completed"/>
    <x v="3"/>
    <s v="Grocery"/>
    <s v="Corporate"/>
    <n v="62"/>
    <x v="1"/>
    <n v="1182"/>
  </r>
  <r>
    <s v="ORD-00456"/>
    <d v="2024-08-01T00:00:00"/>
    <s v="CUST-0232"/>
    <x v="48"/>
    <s v="R017"/>
    <n v="10"/>
    <n v="5410"/>
    <n v="29.8"/>
    <n v="37978.199999999997"/>
    <s v="Completed"/>
    <x v="5"/>
    <s v="Sports"/>
    <s v="Retail"/>
    <n v="38"/>
    <x v="3"/>
    <n v="2265"/>
  </r>
  <r>
    <s v="ORD-00457"/>
    <d v="2024-03-24T00:00:00"/>
    <s v="CUST-0054"/>
    <x v="21"/>
    <s v="R021"/>
    <n v="3"/>
    <n v="1650"/>
    <n v="9.4"/>
    <n v="4484.7"/>
    <s v="Cancelled"/>
    <x v="3"/>
    <s v="Beauty"/>
    <s v="Corporate"/>
    <n v="62"/>
    <x v="3"/>
    <n v="1222"/>
  </r>
  <r>
    <s v="ORD-00458"/>
    <d v="2024-04-01T00:00:00"/>
    <s v="CUST-0214"/>
    <x v="12"/>
    <s v="R022"/>
    <n v="7"/>
    <n v="2600"/>
    <n v="19.899999999999999"/>
    <n v="14578.2"/>
    <s v="Pending"/>
    <x v="3"/>
    <s v="Electronics"/>
    <s v="Retail"/>
    <n v="22"/>
    <x v="3"/>
    <n v="1052"/>
  </r>
  <r>
    <s v="ORD-00135"/>
    <d v="2024-07-01T00:00:00"/>
    <s v="CUST-0236"/>
    <x v="39"/>
    <s v="R002"/>
    <n v="4"/>
    <n v="4610"/>
    <n v="13.2"/>
    <n v="16005.92"/>
    <s v="Completed"/>
    <x v="5"/>
    <s v="Home"/>
    <s v="SMB"/>
    <n v="28"/>
    <x v="0"/>
    <n v="1850"/>
  </r>
  <r>
    <s v="ORD-00460"/>
    <d v="2024-03-10T00:00:00"/>
    <s v="CUST-0031"/>
    <x v="39"/>
    <s v="R021"/>
    <n v="9"/>
    <n v="4610"/>
    <n v="25.8"/>
    <n v="30785.58"/>
    <s v="Completed"/>
    <x v="5"/>
    <s v="Home"/>
    <s v="Retail"/>
    <n v="53"/>
    <x v="3"/>
    <n v="1850"/>
  </r>
  <r>
    <s v="ORD-00461"/>
    <d v="2024-09-15T00:00:00"/>
    <s v="CUST-0123"/>
    <x v="42"/>
    <s v="R014"/>
    <n v="5"/>
    <n v="300"/>
    <n v="11.8"/>
    <n v="1323"/>
    <s v="Completed"/>
    <x v="1"/>
    <s v="Electronics"/>
    <s v="Corporate"/>
    <n v="44"/>
    <x v="1"/>
    <n v="128"/>
  </r>
  <r>
    <s v="ORD-00462"/>
    <d v="2024-07-12T00:00:00"/>
    <s v="CUST-0019"/>
    <x v="55"/>
    <s v="R020"/>
    <n v="3"/>
    <n v="3450"/>
    <n v="14.2"/>
    <n v="8880.2999999999993"/>
    <s v="Completed"/>
    <x v="1"/>
    <s v="Apparel"/>
    <s v="Retail"/>
    <n v="22"/>
    <x v="3"/>
    <n v="1748"/>
  </r>
  <r>
    <s v="ORD-00463"/>
    <d v="2024-08-19T00:00:00"/>
    <s v="CUST-0171"/>
    <x v="20"/>
    <s v="R028"/>
    <n v="2"/>
    <n v="2720"/>
    <n v="14.6"/>
    <n v="4645.76"/>
    <s v="Cancelled"/>
    <x v="1"/>
    <s v="Apparel"/>
    <s v="Corporate"/>
    <n v="30"/>
    <x v="2"/>
    <n v="1962"/>
  </r>
  <r>
    <s v="ORD-00464"/>
    <d v="2024-11-30T00:00:00"/>
    <s v="CUST-0166"/>
    <x v="41"/>
    <s v="R017"/>
    <n v="7"/>
    <n v="2660"/>
    <n v="27.4"/>
    <n v="13518.12"/>
    <s v="Cancelled"/>
    <x v="5"/>
    <s v="Electronics"/>
    <s v="Retail"/>
    <n v="31"/>
    <x v="3"/>
    <n v="1259"/>
  </r>
  <r>
    <s v="ORD-00465"/>
    <d v="2024-01-11T00:00:00"/>
    <s v="CUST-0151"/>
    <x v="17"/>
    <s v="R005"/>
    <n v="8"/>
    <n v="3450"/>
    <n v="20.399999999999999"/>
    <n v="21969.599999999999"/>
    <s v="Completed"/>
    <x v="3"/>
    <s v="Sports"/>
    <s v="Retail"/>
    <n v="53"/>
    <x v="0"/>
    <n v="2467"/>
  </r>
  <r>
    <s v="ORD-00466"/>
    <d v="2024-05-15T00:00:00"/>
    <s v="CUST-0027"/>
    <x v="48"/>
    <s v="R016"/>
    <n v="2"/>
    <n v="5410"/>
    <n v="7.2"/>
    <n v="10040.959999999999"/>
    <s v="Completed"/>
    <x v="5"/>
    <s v="Sports"/>
    <s v="Corporate"/>
    <n v="52"/>
    <x v="1"/>
    <n v="2265"/>
  </r>
  <r>
    <s v="ORD-00467"/>
    <d v="2024-01-24T00:00:00"/>
    <s v="CUST-0171"/>
    <x v="35"/>
    <s v="R013"/>
    <n v="3"/>
    <n v="3870"/>
    <n v="4.2"/>
    <n v="11122.38"/>
    <s v="Completed"/>
    <x v="1"/>
    <s v="Electronics"/>
    <s v="Corporate"/>
    <n v="30"/>
    <x v="1"/>
    <n v="1559"/>
  </r>
  <r>
    <s v="ORD-00468"/>
    <d v="2024-02-06T00:00:00"/>
    <s v="CUST-0094"/>
    <x v="10"/>
    <s v="R005"/>
    <n v="10"/>
    <n v="2270"/>
    <n v="17.3"/>
    <n v="18772.900000000001"/>
    <s v="Completed"/>
    <x v="0"/>
    <s v="Grocery"/>
    <s v="SMB"/>
    <n v="60"/>
    <x v="0"/>
    <n v="1203"/>
  </r>
  <r>
    <s v="ORD-00469"/>
    <d v="2024-04-12T00:00:00"/>
    <s v="CUST-0223"/>
    <x v="49"/>
    <s v="R025"/>
    <n v="1"/>
    <n v="5330"/>
    <n v="24.2"/>
    <n v="4040.14"/>
    <s v="Completed"/>
    <x v="4"/>
    <s v="Electronics"/>
    <s v="Retail"/>
    <n v="46"/>
    <x v="2"/>
    <n v="2405"/>
  </r>
  <r>
    <s v="ORD-00470"/>
    <d v="2024-05-02T00:00:00"/>
    <s v="CUST-0281"/>
    <x v="22"/>
    <s v="R015"/>
    <n v="2"/>
    <n v="3350"/>
    <n v="23.4"/>
    <n v="5132.2"/>
    <s v="Completed"/>
    <x v="4"/>
    <s v="Beauty"/>
    <s v="Corporate"/>
    <n v="57"/>
    <x v="1"/>
    <n v="1728"/>
  </r>
  <r>
    <s v="ORD-00471"/>
    <d v="2024-04-11T00:00:00"/>
    <s v="CUST-0148"/>
    <x v="40"/>
    <s v="R006"/>
    <n v="7"/>
    <n v="3020"/>
    <n v="23.7"/>
    <n v="16129.82"/>
    <s v="Completed"/>
    <x v="1"/>
    <s v="Beauty"/>
    <s v="Retail"/>
    <n v="32"/>
    <x v="0"/>
    <n v="1626"/>
  </r>
  <r>
    <s v="ORD-00472"/>
    <d v="2024-08-31T00:00:00"/>
    <s v="CUST-0010"/>
    <x v="4"/>
    <s v="R020"/>
    <n v="7"/>
    <n v="3160"/>
    <n v="22.8"/>
    <n v="17076.64"/>
    <s v="Completed"/>
    <x v="3"/>
    <s v="Apparel"/>
    <s v="SMB"/>
    <n v="61"/>
    <x v="3"/>
    <n v="1886"/>
  </r>
  <r>
    <s v="ORD-00473"/>
    <d v="2024-09-06T00:00:00"/>
    <s v="CUST-0254"/>
    <x v="2"/>
    <s v="R020"/>
    <n v="2"/>
    <n v="470"/>
    <n v="28.8"/>
    <n v="669.28"/>
    <s v="Cancelled"/>
    <x v="4"/>
    <s v="Sports"/>
    <s v="Retail"/>
    <n v="35"/>
    <x v="3"/>
    <n v="302"/>
  </r>
  <r>
    <s v="ORD-00474"/>
    <d v="2024-06-11T00:00:00"/>
    <s v="CUST-0126"/>
    <x v="13"/>
    <s v="R021"/>
    <n v="2"/>
    <n v="3250"/>
    <n v="24.7"/>
    <n v="4894.5"/>
    <s v="Completed"/>
    <x v="3"/>
    <s v="Home"/>
    <s v="Retail"/>
    <n v="37"/>
    <x v="3"/>
    <n v="1556"/>
  </r>
  <r>
    <s v="ORD-00475"/>
    <d v="2024-12-05T00:00:00"/>
    <s v="CUST-0018"/>
    <x v="23"/>
    <s v="R023"/>
    <n v="2"/>
    <n v="1010"/>
    <n v="5.2"/>
    <n v="1914.96"/>
    <s v="Cancelled"/>
    <x v="0"/>
    <s v="Sports"/>
    <s v="SMB"/>
    <n v="54"/>
    <x v="3"/>
    <n v="516"/>
  </r>
  <r>
    <s v="ORD-00476"/>
    <d v="2024-10-23T00:00:00"/>
    <s v="CUST-0089"/>
    <x v="42"/>
    <s v="R001"/>
    <n v="9"/>
    <n v="300"/>
    <n v="7.9"/>
    <n v="2486.6999999999998"/>
    <s v="Completed"/>
    <x v="3"/>
    <s v="Electronics"/>
    <s v="SMB"/>
    <n v="43"/>
    <x v="0"/>
    <n v="128"/>
  </r>
  <r>
    <s v="ORD-00477"/>
    <d v="2024-06-26T00:00:00"/>
    <s v="CUST-0157"/>
    <x v="26"/>
    <s v="R006"/>
    <n v="10"/>
    <n v="5100"/>
    <n v="26.3"/>
    <n v="37587"/>
    <s v="Pending"/>
    <x v="0"/>
    <s v="Beauty"/>
    <s v="Corporate"/>
    <n v="52"/>
    <x v="0"/>
    <n v="2237"/>
  </r>
  <r>
    <s v="ORD-00478"/>
    <d v="2024-09-17T00:00:00"/>
    <s v="CUST-0201"/>
    <x v="22"/>
    <s v="R028"/>
    <n v="1"/>
    <n v="3350"/>
    <n v="8.5"/>
    <n v="3065.25"/>
    <s v="Cancelled"/>
    <x v="5"/>
    <s v="Beauty"/>
    <s v="Retail"/>
    <n v="31"/>
    <x v="2"/>
    <n v="1728"/>
  </r>
  <r>
    <s v="ORD-01195"/>
    <d v="2024-09-19T00:00:00"/>
    <s v="CUST-0091"/>
    <x v="13"/>
    <s v="R022"/>
    <n v="2"/>
    <n v="3250"/>
    <n v="25.7"/>
    <n v="4829.5"/>
    <s v="Refunded"/>
    <x v="2"/>
    <s v="Home"/>
    <s v="Retail"/>
    <n v="55"/>
    <x v="3"/>
    <n v="1556"/>
  </r>
  <r>
    <s v="ORD-00480"/>
    <d v="2024-03-01T00:00:00"/>
    <s v="CUST-0052"/>
    <x v="3"/>
    <s v="R008"/>
    <n v="10"/>
    <n v="3660"/>
    <n v="12"/>
    <n v="32208"/>
    <s v="Completed"/>
    <x v="0"/>
    <s v="Grocery"/>
    <s v="Retail"/>
    <n v="38"/>
    <x v="0"/>
    <n v="2214"/>
  </r>
  <r>
    <s v="ORD-00481"/>
    <d v="2024-08-17T00:00:00"/>
    <s v="CUST-0069"/>
    <x v="15"/>
    <s v="R009"/>
    <n v="1"/>
    <n v="2400"/>
    <n v="24.5"/>
    <n v="1812"/>
    <s v="Completed"/>
    <x v="1"/>
    <s v="Sports"/>
    <s v="Retail"/>
    <n v="51"/>
    <x v="1"/>
    <n v="974"/>
  </r>
  <r>
    <s v="ORD-00482"/>
    <d v="2024-07-23T00:00:00"/>
    <s v="CUST-0294"/>
    <x v="57"/>
    <s v="R010"/>
    <n v="1"/>
    <n v="1090"/>
    <n v="18.399999999999999"/>
    <n v="889.44"/>
    <s v="Completed"/>
    <x v="2"/>
    <s v="Home"/>
    <s v="Corporate"/>
    <n v="31"/>
    <x v="1"/>
    <n v="464"/>
  </r>
  <r>
    <s v="ORD-00483"/>
    <d v="2024-04-22T00:00:00"/>
    <s v="CUST-0019"/>
    <x v="56"/>
    <s v="R015"/>
    <n v="6"/>
    <n v="3780"/>
    <n v="15.9"/>
    <n v="19073.88"/>
    <s v="Completed"/>
    <x v="1"/>
    <s v="Sports"/>
    <s v="Retail"/>
    <n v="22"/>
    <x v="1"/>
    <n v="1860"/>
  </r>
  <r>
    <s v="ORD-00484"/>
    <d v="2024-02-08T00:00:00"/>
    <s v="CUST-0087"/>
    <x v="22"/>
    <s v="R019"/>
    <n v="3"/>
    <n v="3350"/>
    <n v="18.8"/>
    <n v="8160.6"/>
    <s v="Refunded"/>
    <x v="0"/>
    <s v="Beauty"/>
    <s v="SMB"/>
    <n v="49"/>
    <x v="3"/>
    <n v="1728"/>
  </r>
  <r>
    <s v="ORD-00485"/>
    <d v="2024-02-01T00:00:00"/>
    <s v="CUST-0281"/>
    <x v="18"/>
    <s v="R030"/>
    <n v="3"/>
    <n v="1080"/>
    <n v="3.4"/>
    <n v="3129.84"/>
    <s v="Completed"/>
    <x v="4"/>
    <s v="Home"/>
    <s v="Corporate"/>
    <n v="57"/>
    <x v="2"/>
    <n v="519"/>
  </r>
  <r>
    <s v="ORD-00486"/>
    <d v="2024-08-15T00:00:00"/>
    <s v="CUST-0248"/>
    <x v="37"/>
    <s v="R022"/>
    <n v="6"/>
    <n v="4070"/>
    <n v="27.7"/>
    <n v="17655.66"/>
    <s v="Pending"/>
    <x v="1"/>
    <s v="Grocery"/>
    <s v="SMB"/>
    <n v="57"/>
    <x v="3"/>
    <n v="2027"/>
  </r>
  <r>
    <s v="ORD-00487"/>
    <d v="2024-08-10T00:00:00"/>
    <s v="CUST-0019"/>
    <x v="36"/>
    <s v="R026"/>
    <n v="5"/>
    <n v="1540"/>
    <n v="24.9"/>
    <n v="5782.7"/>
    <s v="Completed"/>
    <x v="1"/>
    <s v="Beauty"/>
    <s v="Retail"/>
    <n v="22"/>
    <x v="2"/>
    <n v="647"/>
  </r>
  <r>
    <s v="ORD-00488"/>
    <d v="2024-07-24T00:00:00"/>
    <s v="CUST-0092"/>
    <x v="28"/>
    <s v="R028"/>
    <n v="6"/>
    <n v="2760"/>
    <n v="29.9"/>
    <n v="11608.56"/>
    <s v="Completed"/>
    <x v="4"/>
    <s v="Grocery"/>
    <s v="SMB"/>
    <n v="28"/>
    <x v="2"/>
    <n v="1435"/>
  </r>
  <r>
    <s v="ORD-00489"/>
    <d v="2024-12-13T00:00:00"/>
    <s v="CUST-0195"/>
    <x v="53"/>
    <s v="R022"/>
    <n v="8"/>
    <n v="3970"/>
    <n v="23.7"/>
    <n v="24232.880000000001"/>
    <s v="Completed"/>
    <x v="4"/>
    <s v="Electronics"/>
    <s v="Retail"/>
    <n v="28"/>
    <x v="3"/>
    <n v="2865"/>
  </r>
  <r>
    <s v="ORD-00490"/>
    <d v="2024-09-27T00:00:00"/>
    <s v="CUST-0126"/>
    <x v="55"/>
    <s v="R021"/>
    <n v="1"/>
    <n v="3450"/>
    <n v="7.4"/>
    <n v="3194.7"/>
    <s v="Completed"/>
    <x v="3"/>
    <s v="Apparel"/>
    <s v="Retail"/>
    <n v="37"/>
    <x v="3"/>
    <n v="1748"/>
  </r>
  <r>
    <s v="ORD-00491"/>
    <d v="2024-01-17T00:00:00"/>
    <s v="CUST-0274"/>
    <x v="59"/>
    <s v="R005"/>
    <n v="3"/>
    <n v="3560"/>
    <n v="15.2"/>
    <n v="9056.64"/>
    <s v="Completed"/>
    <x v="4"/>
    <s v="Apparel"/>
    <s v="Corporate"/>
    <n v="36"/>
    <x v="0"/>
    <n v="2629"/>
  </r>
  <r>
    <s v="ORD-00492"/>
    <d v="2024-05-16T00:00:00"/>
    <s v="CUST-0059"/>
    <x v="25"/>
    <s v="R030"/>
    <n v="4"/>
    <n v="3570"/>
    <n v="18.899999999999999"/>
    <n v="11581.08"/>
    <s v="Completed"/>
    <x v="0"/>
    <s v="Electronics"/>
    <s v="Corporate"/>
    <n v="29"/>
    <x v="2"/>
    <n v="1665"/>
  </r>
  <r>
    <s v="ORD-00493"/>
    <d v="2024-06-29T00:00:00"/>
    <s v="CUST-0264"/>
    <x v="6"/>
    <s v="R025"/>
    <n v="9"/>
    <n v="960"/>
    <n v="14"/>
    <n v="7430.4"/>
    <s v="Refunded"/>
    <x v="0"/>
    <s v="Sports"/>
    <s v="Retail"/>
    <n v="59"/>
    <x v="2"/>
    <n v="705"/>
  </r>
  <r>
    <s v="ORD-00494"/>
    <d v="2024-04-24T00:00:00"/>
    <s v="CUST-0157"/>
    <x v="16"/>
    <s v="R016"/>
    <n v="9"/>
    <n v="3450"/>
    <n v="6"/>
    <n v="29187"/>
    <s v="Cancelled"/>
    <x v="0"/>
    <s v="Beauty"/>
    <s v="Corporate"/>
    <n v="52"/>
    <x v="1"/>
    <n v="2420"/>
  </r>
  <r>
    <s v="ORD-00495"/>
    <d v="2024-06-14T00:00:00"/>
    <s v="CUST-0028"/>
    <x v="22"/>
    <s v="R012"/>
    <n v="7"/>
    <n v="3350"/>
    <n v="14"/>
    <n v="20167"/>
    <s v="Cancelled"/>
    <x v="4"/>
    <s v="Beauty"/>
    <s v="Retail"/>
    <n v="59"/>
    <x v="1"/>
    <n v="1728"/>
  </r>
  <r>
    <s v="ORD-00496"/>
    <d v="2024-01-07T00:00:00"/>
    <s v="CUST-0033"/>
    <x v="51"/>
    <s v="R004"/>
    <n v="6"/>
    <n v="960"/>
    <n v="10.1"/>
    <n v="5178.24"/>
    <s v="Completed"/>
    <x v="2"/>
    <s v="Beauty"/>
    <s v="Retail"/>
    <n v="35"/>
    <x v="0"/>
    <n v="675"/>
  </r>
  <r>
    <s v="ORD-00497"/>
    <d v="2024-02-15T00:00:00"/>
    <s v="CUST-0280"/>
    <x v="42"/>
    <s v="R016"/>
    <n v="7"/>
    <n v="300"/>
    <n v="21.9"/>
    <n v="1640.1"/>
    <s v="Completed"/>
    <x v="2"/>
    <s v="Electronics"/>
    <s v="SMB"/>
    <n v="27"/>
    <x v="1"/>
    <n v="128"/>
  </r>
  <r>
    <s v="ORD-00498"/>
    <d v="2024-04-07T00:00:00"/>
    <s v="CUST-0232"/>
    <x v="50"/>
    <s v="R019"/>
    <n v="2"/>
    <n v="2380"/>
    <n v="6.8"/>
    <n v="4436.32"/>
    <s v="Completed"/>
    <x v="5"/>
    <s v="Grocery"/>
    <s v="Retail"/>
    <n v="38"/>
    <x v="3"/>
    <n v="1182"/>
  </r>
  <r>
    <s v="ORD-00499"/>
    <d v="2024-01-07T00:00:00"/>
    <s v="CUST-0270"/>
    <x v="6"/>
    <s v="R024"/>
    <n v="5"/>
    <n v="960"/>
    <n v="15"/>
    <n v="4080"/>
    <s v="Cancelled"/>
    <x v="4"/>
    <s v="Sports"/>
    <s v="Retail"/>
    <n v="29"/>
    <x v="2"/>
    <n v="705"/>
  </r>
  <r>
    <s v="ORD-00500"/>
    <d v="2024-10-12T00:00:00"/>
    <s v="CUST-0203"/>
    <x v="56"/>
    <s v="R012"/>
    <n v="10"/>
    <n v="3780"/>
    <n v="24.1"/>
    <n v="28690.2"/>
    <s v="Refunded"/>
    <x v="1"/>
    <s v="Sports"/>
    <s v="SMB"/>
    <n v="55"/>
    <x v="1"/>
    <n v="1860"/>
  </r>
  <r>
    <s v="ORD-00501"/>
    <d v="2024-03-04T00:00:00"/>
    <s v="CUST-0069"/>
    <x v="36"/>
    <s v="R020"/>
    <n v="4"/>
    <n v="1540"/>
    <n v="14.2"/>
    <n v="5285.28"/>
    <s v="Cancelled"/>
    <x v="1"/>
    <s v="Beauty"/>
    <s v="Retail"/>
    <n v="51"/>
    <x v="3"/>
    <n v="647"/>
  </r>
  <r>
    <s v="ORD-00502"/>
    <d v="2024-06-20T00:00:00"/>
    <s v="CUST-0037"/>
    <x v="47"/>
    <s v="R005"/>
    <n v="10"/>
    <n v="2510"/>
    <n v="20.8"/>
    <n v="19879.2"/>
    <s v="Completed"/>
    <x v="4"/>
    <s v="Apparel"/>
    <s v="Retail"/>
    <n v="52"/>
    <x v="0"/>
    <n v="1075"/>
  </r>
  <r>
    <s v="ORD-00503"/>
    <d v="2024-03-23T00:00:00"/>
    <s v="CUST-0149"/>
    <x v="46"/>
    <s v="R014"/>
    <n v="9"/>
    <n v="4060"/>
    <n v="27.1"/>
    <n v="26637.66"/>
    <s v="Completed"/>
    <x v="5"/>
    <s v="Grocery"/>
    <s v="Retail"/>
    <n v="44"/>
    <x v="1"/>
    <n v="2911"/>
  </r>
  <r>
    <s v="ORD-00504"/>
    <d v="2024-12-12T00:00:00"/>
    <s v="CUST-0131"/>
    <x v="15"/>
    <s v="R025"/>
    <n v="4"/>
    <n v="2400"/>
    <n v="19.100000000000001"/>
    <n v="7766.4"/>
    <s v="Completed"/>
    <x v="2"/>
    <s v="Sports"/>
    <s v="SMB"/>
    <n v="28"/>
    <x v="2"/>
    <n v="974"/>
  </r>
  <r>
    <s v="ORD-00505"/>
    <d v="2024-08-21T00:00:00"/>
    <s v="CUST-0071"/>
    <x v="24"/>
    <s v="R022"/>
    <n v="8"/>
    <n v="4880"/>
    <n v="9.1999999999999993"/>
    <n v="35448.32"/>
    <s v="Cancelled"/>
    <x v="2"/>
    <s v="Beauty"/>
    <s v="Corporate"/>
    <n v="46"/>
    <x v="3"/>
    <n v="2768"/>
  </r>
  <r>
    <s v="ORD-00506"/>
    <d v="2024-10-21T00:00:00"/>
    <s v="CUST-0249"/>
    <x v="26"/>
    <s v="R019"/>
    <n v="9"/>
    <n v="5100"/>
    <n v="11.1"/>
    <n v="40805.1"/>
    <s v="Cancelled"/>
    <x v="3"/>
    <s v="Beauty"/>
    <s v="Retail"/>
    <n v="44"/>
    <x v="3"/>
    <n v="2237"/>
  </r>
  <r>
    <s v="ORD-00507"/>
    <d v="2024-12-11T00:00:00"/>
    <s v="CUST-0181"/>
    <x v="42"/>
    <s v="R028"/>
    <n v="4"/>
    <n v="300"/>
    <n v="16.7"/>
    <n v="999.6"/>
    <s v="Completed"/>
    <x v="2"/>
    <s v="Electronics"/>
    <s v="SMB"/>
    <n v="38"/>
    <x v="2"/>
    <n v="128"/>
  </r>
  <r>
    <s v="ORD-00508"/>
    <d v="2024-05-31T00:00:00"/>
    <s v="CUST-0085"/>
    <x v="19"/>
    <s v="R014"/>
    <n v="6"/>
    <n v="2480"/>
    <n v="3.3"/>
    <n v="14388.96"/>
    <s v="Completed"/>
    <x v="1"/>
    <s v="Apparel"/>
    <s v="Retail"/>
    <n v="26"/>
    <x v="1"/>
    <n v="1173"/>
  </r>
  <r>
    <s v="ORD-00509"/>
    <d v="2024-10-04T00:00:00"/>
    <s v="CUST-0180"/>
    <x v="21"/>
    <s v="R023"/>
    <n v="10"/>
    <n v="1650"/>
    <n v="22.9"/>
    <n v="12721.5"/>
    <s v="Refunded"/>
    <x v="1"/>
    <s v="Beauty"/>
    <s v="Retail"/>
    <n v="36"/>
    <x v="3"/>
    <n v="1222"/>
  </r>
  <r>
    <s v="ORD-00510"/>
    <d v="2024-01-28T00:00:00"/>
    <s v="CUST-0103"/>
    <x v="45"/>
    <s v="R012"/>
    <n v="3"/>
    <n v="2210"/>
    <n v="11.1"/>
    <n v="5894.07"/>
    <s v="Completed"/>
    <x v="5"/>
    <s v="Grocery"/>
    <s v="Corporate"/>
    <n v="54"/>
    <x v="1"/>
    <n v="1010"/>
  </r>
  <r>
    <s v="ORD-00511"/>
    <d v="2024-04-24T00:00:00"/>
    <s v="CUST-0174"/>
    <x v="19"/>
    <s v="R005"/>
    <n v="10"/>
    <n v="2480"/>
    <n v="13"/>
    <n v="21576"/>
    <s v="Pending"/>
    <x v="0"/>
    <s v="Apparel"/>
    <s v="Retail"/>
    <n v="54"/>
    <x v="0"/>
    <n v="1173"/>
  </r>
  <r>
    <s v="ORD-00512"/>
    <d v="2024-12-03T00:00:00"/>
    <s v="CUST-0071"/>
    <x v="49"/>
    <s v="R023"/>
    <n v="10"/>
    <n v="5330"/>
    <n v="0.7"/>
    <n v="52926.9"/>
    <s v="Completed"/>
    <x v="2"/>
    <s v="Electronics"/>
    <s v="Corporate"/>
    <n v="46"/>
    <x v="3"/>
    <n v="2405"/>
  </r>
  <r>
    <s v="ORD-00513"/>
    <d v="2024-11-16T00:00:00"/>
    <s v="CUST-0266"/>
    <x v="37"/>
    <s v="R012"/>
    <n v="9"/>
    <n v="4070"/>
    <n v="15.6"/>
    <n v="30915.72"/>
    <s v="Completed"/>
    <x v="0"/>
    <s v="Grocery"/>
    <s v="Retail"/>
    <n v="65"/>
    <x v="1"/>
    <n v="2027"/>
  </r>
  <r>
    <s v="ORD-00514"/>
    <d v="2024-11-17T00:00:00"/>
    <s v="CUST-0148"/>
    <x v="20"/>
    <s v="R001"/>
    <n v="5"/>
    <n v="2720"/>
    <n v="10.3"/>
    <n v="12199.2"/>
    <s v="Cancelled"/>
    <x v="1"/>
    <s v="Apparel"/>
    <s v="Retail"/>
    <n v="32"/>
    <x v="0"/>
    <n v="1962"/>
  </r>
  <r>
    <s v="ORD-00515"/>
    <d v="2024-07-11T00:00:00"/>
    <s v="CUST-0030"/>
    <x v="27"/>
    <s v="R029"/>
    <n v="6"/>
    <n v="2860"/>
    <n v="28.9"/>
    <n v="12200.76"/>
    <s v="Completed"/>
    <x v="4"/>
    <s v="Sports"/>
    <s v="Corporate"/>
    <n v="43"/>
    <x v="2"/>
    <n v="2028"/>
  </r>
  <r>
    <s v="ORD-00516"/>
    <d v="2024-12-30T00:00:00"/>
    <s v="CUST-0128"/>
    <x v="0"/>
    <s v="R012"/>
    <n v="5"/>
    <n v="3620"/>
    <n v="18.2"/>
    <n v="14805.8"/>
    <s v="Completed"/>
    <x v="5"/>
    <s v="Apparel"/>
    <s v="Retail"/>
    <n v="35"/>
    <x v="1"/>
    <n v="2509"/>
  </r>
  <r>
    <s v="ORD-00517"/>
    <d v="2024-05-20T00:00:00"/>
    <s v="CUST-0056"/>
    <x v="21"/>
    <s v="R018"/>
    <n v="3"/>
    <n v="1650"/>
    <n v="10.7"/>
    <n v="4420.3500000000004"/>
    <s v="Completed"/>
    <x v="4"/>
    <s v="Beauty"/>
    <s v="SMB"/>
    <n v="46"/>
    <x v="3"/>
    <n v="1222"/>
  </r>
  <r>
    <s v="ORD-00518"/>
    <d v="2024-07-22T00:00:00"/>
    <s v="CUST-0178"/>
    <x v="14"/>
    <s v="R029"/>
    <n v="8"/>
    <n v="190"/>
    <n v="18"/>
    <n v="1246.4000000000001"/>
    <s v="Pending"/>
    <x v="5"/>
    <s v="Sports"/>
    <s v="Retail"/>
    <n v="25"/>
    <x v="2"/>
    <n v="147"/>
  </r>
  <r>
    <s v="ORD-00519"/>
    <d v="2024-05-31T00:00:00"/>
    <s v="CUST-0237"/>
    <x v="52"/>
    <s v="R029"/>
    <n v="7"/>
    <n v="2290"/>
    <n v="12.5"/>
    <n v="14026.25"/>
    <s v="Completed"/>
    <x v="3"/>
    <s v="Beauty"/>
    <s v="Retail"/>
    <n v="49"/>
    <x v="2"/>
    <n v="1219"/>
  </r>
  <r>
    <s v="ORD-00520"/>
    <d v="2024-12-12T00:00:00"/>
    <s v="CUST-0143"/>
    <x v="49"/>
    <s v="R017"/>
    <n v="2"/>
    <n v="5330"/>
    <n v="26.5"/>
    <n v="7835.1"/>
    <s v="Completed"/>
    <x v="1"/>
    <s v="Electronics"/>
    <s v="SMB"/>
    <n v="52"/>
    <x v="3"/>
    <n v="2405"/>
  </r>
  <r>
    <s v="ORD-00521"/>
    <d v="2024-07-03T00:00:00"/>
    <s v="CUST-0233"/>
    <x v="49"/>
    <s v="R015"/>
    <n v="4"/>
    <n v="5330"/>
    <n v="25.6"/>
    <n v="15862.08"/>
    <s v="Completed"/>
    <x v="3"/>
    <s v="Electronics"/>
    <s v="SMB"/>
    <n v="65"/>
    <x v="1"/>
    <n v="2405"/>
  </r>
  <r>
    <s v="ORD-00522"/>
    <d v="2024-10-01T00:00:00"/>
    <s v="CUST-0161"/>
    <x v="54"/>
    <s v="R006"/>
    <n v="4"/>
    <n v="5080"/>
    <n v="28.6"/>
    <n v="14508.48"/>
    <s v="Completed"/>
    <x v="1"/>
    <s v="Home"/>
    <s v="Retail"/>
    <n v="38"/>
    <x v="0"/>
    <n v="2459"/>
  </r>
  <r>
    <s v="ORD-00523"/>
    <d v="2024-04-10T00:00:00"/>
    <s v="CUST-0087"/>
    <x v="5"/>
    <s v="R002"/>
    <n v="4"/>
    <n v="370"/>
    <n v="12.6"/>
    <n v="1293.52"/>
    <s v="Pending"/>
    <x v="0"/>
    <s v="Home"/>
    <s v="SMB"/>
    <n v="49"/>
    <x v="0"/>
    <n v="288"/>
  </r>
  <r>
    <s v="ORD-00524"/>
    <d v="2024-09-26T00:00:00"/>
    <s v="CUST-0235"/>
    <x v="2"/>
    <s v="R013"/>
    <n v="9"/>
    <n v="470"/>
    <n v="3.6"/>
    <n v="4077.72"/>
    <s v="Completed"/>
    <x v="1"/>
    <s v="Sports"/>
    <s v="Retail"/>
    <n v="31"/>
    <x v="1"/>
    <n v="302"/>
  </r>
  <r>
    <s v="ORD-00525"/>
    <d v="2024-12-08T00:00:00"/>
    <s v="CUST-0183"/>
    <x v="48"/>
    <s v="R027"/>
    <n v="4"/>
    <n v="5410"/>
    <n v="11.3"/>
    <n v="19194.68"/>
    <s v="Refunded"/>
    <x v="3"/>
    <s v="Sports"/>
    <s v="SMB"/>
    <n v="27"/>
    <x v="2"/>
    <n v="2265"/>
  </r>
  <r>
    <s v="ORD-00526"/>
    <d v="2024-01-20T00:00:00"/>
    <s v="CUST-0199"/>
    <x v="0"/>
    <s v="R007"/>
    <n v="10"/>
    <n v="3620"/>
    <n v="2.5"/>
    <n v="35295"/>
    <s v="Completed"/>
    <x v="5"/>
    <s v="Apparel"/>
    <s v="SMB"/>
    <n v="31"/>
    <x v="0"/>
    <n v="2509"/>
  </r>
  <r>
    <s v="ORD-00527"/>
    <d v="2024-03-29T00:00:00"/>
    <s v="CUST-0034"/>
    <x v="28"/>
    <s v="R030"/>
    <n v="1"/>
    <n v="2760"/>
    <n v="22.2"/>
    <n v="2147.2800000000002"/>
    <s v="Completed"/>
    <x v="2"/>
    <s v="Grocery"/>
    <s v="Retail"/>
    <n v="47"/>
    <x v="2"/>
    <n v="1435"/>
  </r>
  <r>
    <s v="ORD-00528"/>
    <d v="2024-09-14T00:00:00"/>
    <s v="CUST-0206"/>
    <x v="16"/>
    <s v="R001"/>
    <n v="7"/>
    <n v="3450"/>
    <n v="8.6"/>
    <n v="22073.1"/>
    <s v="Completed"/>
    <x v="3"/>
    <s v="Beauty"/>
    <s v="Retail"/>
    <n v="40"/>
    <x v="0"/>
    <n v="2420"/>
  </r>
  <r>
    <s v="ORD-00529"/>
    <d v="2024-05-06T00:00:00"/>
    <s v="CUST-0246"/>
    <x v="3"/>
    <s v="R028"/>
    <n v="6"/>
    <n v="3660"/>
    <n v="10.6"/>
    <n v="19632.240000000002"/>
    <s v="Completed"/>
    <x v="2"/>
    <s v="Grocery"/>
    <s v="SMB"/>
    <n v="29"/>
    <x v="2"/>
    <n v="2214"/>
  </r>
  <r>
    <s v="ORD-00530"/>
    <d v="2024-08-28T00:00:00"/>
    <s v="CUST-0075"/>
    <x v="25"/>
    <s v="R028"/>
    <n v="10"/>
    <n v="3570"/>
    <n v="1.2"/>
    <n v="35271.599999999999"/>
    <s v="Completed"/>
    <x v="3"/>
    <s v="Electronics"/>
    <s v="Corporate"/>
    <n v="55"/>
    <x v="2"/>
    <n v="1665"/>
  </r>
  <r>
    <s v="ORD-00531"/>
    <d v="2024-09-07T00:00:00"/>
    <s v="CUST-0298"/>
    <x v="57"/>
    <s v="R009"/>
    <n v="8"/>
    <n v="1090"/>
    <n v="13.2"/>
    <n v="7568.96"/>
    <s v="Refunded"/>
    <x v="2"/>
    <s v="Home"/>
    <s v="Retail"/>
    <n v="44"/>
    <x v="1"/>
    <n v="464"/>
  </r>
  <r>
    <s v="ORD-00532"/>
    <d v="2024-01-29T00:00:00"/>
    <s v="CUST-0165"/>
    <x v="0"/>
    <s v="R018"/>
    <n v="8"/>
    <n v="3620"/>
    <n v="29"/>
    <n v="20561.599999999999"/>
    <s v="Completed"/>
    <x v="0"/>
    <s v="Apparel"/>
    <s v="Retail"/>
    <n v="29"/>
    <x v="3"/>
    <n v="2509"/>
  </r>
  <r>
    <s v="ORD-00533"/>
    <d v="2024-09-13T00:00:00"/>
    <s v="CUST-0033"/>
    <x v="24"/>
    <s v="R010"/>
    <n v="7"/>
    <n v="4880"/>
    <n v="25.6"/>
    <n v="25415.040000000001"/>
    <s v="Refunded"/>
    <x v="2"/>
    <s v="Beauty"/>
    <s v="Retail"/>
    <n v="35"/>
    <x v="1"/>
    <n v="2768"/>
  </r>
  <r>
    <s v="ORD-00534"/>
    <d v="2024-05-22T00:00:00"/>
    <s v="CUST-0205"/>
    <x v="2"/>
    <s v="R028"/>
    <n v="2"/>
    <n v="470"/>
    <n v="9.6999999999999993"/>
    <n v="848.82"/>
    <s v="Completed"/>
    <x v="0"/>
    <s v="Sports"/>
    <s v="Corporate"/>
    <n v="29"/>
    <x v="2"/>
    <n v="302"/>
  </r>
  <r>
    <s v="ORD-00535"/>
    <d v="2024-09-04T00:00:00"/>
    <s v="CUST-0037"/>
    <x v="52"/>
    <s v="R022"/>
    <n v="6"/>
    <n v="2290"/>
    <n v="8.9"/>
    <n v="12517.14"/>
    <s v="Completed"/>
    <x v="4"/>
    <s v="Beauty"/>
    <s v="Retail"/>
    <n v="52"/>
    <x v="3"/>
    <n v="1219"/>
  </r>
  <r>
    <s v="ORD-00536"/>
    <d v="2024-06-25T00:00:00"/>
    <s v="CUST-0228"/>
    <x v="50"/>
    <s v="R010"/>
    <n v="3"/>
    <n v="2380"/>
    <n v="2.7"/>
    <n v="6947.22"/>
    <s v="Pending"/>
    <x v="0"/>
    <s v="Grocery"/>
    <s v="Corporate"/>
    <n v="37"/>
    <x v="1"/>
    <n v="1182"/>
  </r>
  <r>
    <s v="ORD-00537"/>
    <d v="2024-07-12T00:00:00"/>
    <s v="CUST-0279"/>
    <x v="50"/>
    <s v="R008"/>
    <n v="9"/>
    <n v="2380"/>
    <n v="20.100000000000001"/>
    <n v="17114.580000000002"/>
    <s v="Completed"/>
    <x v="3"/>
    <s v="Grocery"/>
    <s v="Retail"/>
    <n v="56"/>
    <x v="0"/>
    <n v="1182"/>
  </r>
  <r>
    <s v="ORD-00538"/>
    <d v="2024-01-12T00:00:00"/>
    <s v="CUST-0271"/>
    <x v="48"/>
    <s v="R014"/>
    <n v="8"/>
    <n v="5410"/>
    <n v="11.2"/>
    <n v="38432.639999999999"/>
    <s v="Completed"/>
    <x v="4"/>
    <s v="Sports"/>
    <s v="Corporate"/>
    <n v="41"/>
    <x v="1"/>
    <n v="2265"/>
  </r>
  <r>
    <s v="ORD-00539"/>
    <d v="2024-11-09T00:00:00"/>
    <s v="CUST-0127"/>
    <x v="7"/>
    <s v="R008"/>
    <n v="1"/>
    <n v="1430"/>
    <n v="19.600000000000001"/>
    <n v="1149.72"/>
    <s v="Completed"/>
    <x v="4"/>
    <s v="Electronics"/>
    <s v="SMB"/>
    <n v="36"/>
    <x v="0"/>
    <n v="861"/>
  </r>
  <r>
    <s v="ORD-00540"/>
    <d v="2024-05-09T00:00:00"/>
    <s v="CUST-0007"/>
    <x v="15"/>
    <s v="R027"/>
    <n v="9"/>
    <n v="2400"/>
    <n v="5"/>
    <n v="20520"/>
    <s v="Completed"/>
    <x v="4"/>
    <s v="Sports"/>
    <s v="Retail"/>
    <n v="47"/>
    <x v="2"/>
    <n v="974"/>
  </r>
  <r>
    <s v="ORD-00541"/>
    <d v="2024-07-20T00:00:00"/>
    <s v="CUST-0005"/>
    <x v="31"/>
    <s v="R001"/>
    <n v="1"/>
    <n v="3780"/>
    <n v="4.7"/>
    <n v="3602.34"/>
    <s v="Completed"/>
    <x v="1"/>
    <s v="Grocery"/>
    <s v="Corporate"/>
    <n v="52"/>
    <x v="0"/>
    <n v="2436"/>
  </r>
  <r>
    <s v="ORD-00542"/>
    <d v="2024-10-27T00:00:00"/>
    <s v="CUST-0072"/>
    <x v="43"/>
    <s v="R019"/>
    <n v="2"/>
    <n v="620"/>
    <n v="8"/>
    <n v="1140.8"/>
    <s v="Completed"/>
    <x v="3"/>
    <s v="Apparel"/>
    <s v="Corporate"/>
    <n v="62"/>
    <x v="3"/>
    <n v="396"/>
  </r>
  <r>
    <s v="ORD-00543"/>
    <d v="2024-03-28T00:00:00"/>
    <s v="CUST-0167"/>
    <x v="14"/>
    <s v="R007"/>
    <n v="3"/>
    <n v="190"/>
    <n v="17.899999999999999"/>
    <n v="467.97"/>
    <s v="Pending"/>
    <x v="2"/>
    <s v="Sports"/>
    <s v="Retail"/>
    <n v="43"/>
    <x v="0"/>
    <n v="147"/>
  </r>
  <r>
    <s v="ORD-00544"/>
    <d v="2024-02-10T00:00:00"/>
    <s v="CUST-0244"/>
    <x v="0"/>
    <s v="R019"/>
    <n v="2"/>
    <n v="3620"/>
    <n v="15.5"/>
    <n v="6117.8"/>
    <s v="Completed"/>
    <x v="4"/>
    <s v="Apparel"/>
    <s v="Retail"/>
    <n v="61"/>
    <x v="3"/>
    <n v="2509"/>
  </r>
  <r>
    <s v="ORD-00545"/>
    <d v="2024-11-14T00:00:00"/>
    <s v="CUST-0086"/>
    <x v="27"/>
    <s v="R018"/>
    <n v="5"/>
    <n v="2860"/>
    <n v="26.8"/>
    <n v="10467.6"/>
    <s v="Completed"/>
    <x v="5"/>
    <s v="Sports"/>
    <s v="Corporate"/>
    <n v="56"/>
    <x v="3"/>
    <n v="2028"/>
  </r>
  <r>
    <s v="ORD-00546"/>
    <d v="2024-12-12T00:00:00"/>
    <s v="CUST-0091"/>
    <x v="15"/>
    <s v="R023"/>
    <n v="6"/>
    <n v="2400"/>
    <n v="19.2"/>
    <n v="11635.2"/>
    <s v="Cancelled"/>
    <x v="2"/>
    <s v="Sports"/>
    <s v="Retail"/>
    <n v="55"/>
    <x v="3"/>
    <n v="974"/>
  </r>
  <r>
    <s v="ORD-00547"/>
    <d v="2024-09-11T00:00:00"/>
    <s v="CUST-0169"/>
    <x v="54"/>
    <s v="R009"/>
    <n v="7"/>
    <n v="5080"/>
    <n v="16.600000000000001"/>
    <n v="29657.040000000001"/>
    <s v="Pending"/>
    <x v="4"/>
    <s v="Home"/>
    <s v="SMB"/>
    <n v="42"/>
    <x v="1"/>
    <n v="2459"/>
  </r>
  <r>
    <s v="ORD-00548"/>
    <d v="2024-05-24T00:00:00"/>
    <s v="CUST-0273"/>
    <x v="54"/>
    <s v="R015"/>
    <n v="10"/>
    <n v="5080"/>
    <n v="24.6"/>
    <n v="38303.199999999997"/>
    <s v="Completed"/>
    <x v="5"/>
    <s v="Home"/>
    <s v="Corporate"/>
    <n v="32"/>
    <x v="1"/>
    <n v="2459"/>
  </r>
  <r>
    <s v="ORD-00549"/>
    <d v="2024-08-28T00:00:00"/>
    <s v="CUST-0233"/>
    <x v="6"/>
    <s v="R008"/>
    <n v="7"/>
    <n v="960"/>
    <n v="16.600000000000001"/>
    <n v="5604.48"/>
    <s v="Completed"/>
    <x v="3"/>
    <s v="Sports"/>
    <s v="SMB"/>
    <n v="65"/>
    <x v="0"/>
    <n v="705"/>
  </r>
  <r>
    <s v="ORD-00550"/>
    <d v="2024-10-03T00:00:00"/>
    <s v="CUST-0175"/>
    <x v="3"/>
    <s v="R028"/>
    <n v="3"/>
    <n v="3660"/>
    <n v="3.2"/>
    <n v="10628.64"/>
    <s v="Pending"/>
    <x v="2"/>
    <s v="Grocery"/>
    <s v="Corporate"/>
    <n v="55"/>
    <x v="2"/>
    <n v="2214"/>
  </r>
  <r>
    <s v="ORD-00551"/>
    <d v="2024-10-07T00:00:00"/>
    <s v="CUST-0241"/>
    <x v="11"/>
    <s v="R009"/>
    <n v="6"/>
    <n v="2640"/>
    <n v="26.3"/>
    <n v="11674.08"/>
    <s v="Completed"/>
    <x v="0"/>
    <s v="Electronics"/>
    <s v="Corporate"/>
    <n v="47"/>
    <x v="1"/>
    <n v="1149"/>
  </r>
  <r>
    <s v="ORD-00552"/>
    <d v="2024-09-27T00:00:00"/>
    <s v="CUST-0024"/>
    <x v="38"/>
    <s v="R009"/>
    <n v="6"/>
    <n v="1220"/>
    <n v="22.3"/>
    <n v="5687.64"/>
    <s v="Cancelled"/>
    <x v="1"/>
    <s v="Electronics"/>
    <s v="SMB"/>
    <n v="64"/>
    <x v="1"/>
    <n v="517"/>
  </r>
  <r>
    <s v="ORD-00553"/>
    <d v="2024-02-23T00:00:00"/>
    <s v="CUST-0252"/>
    <x v="42"/>
    <s v="R013"/>
    <n v="1"/>
    <n v="300"/>
    <n v="0.7"/>
    <n v="297.89999999999998"/>
    <s v="Completed"/>
    <x v="4"/>
    <s v="Electronics"/>
    <s v="Retail"/>
    <n v="27"/>
    <x v="1"/>
    <n v="128"/>
  </r>
  <r>
    <s v="ORD-00554"/>
    <d v="2024-03-19T00:00:00"/>
    <s v="CUST-0245"/>
    <x v="23"/>
    <s v="R020"/>
    <n v="2"/>
    <n v="1010"/>
    <n v="28"/>
    <n v="1454.4"/>
    <s v="Completed"/>
    <x v="5"/>
    <s v="Sports"/>
    <s v="Retail"/>
    <n v="65"/>
    <x v="3"/>
    <n v="516"/>
  </r>
  <r>
    <s v="ORD-00555"/>
    <d v="2024-04-25T00:00:00"/>
    <s v="CUST-0046"/>
    <x v="12"/>
    <s v="R011"/>
    <n v="5"/>
    <n v="2600"/>
    <n v="0.8"/>
    <n v="12896"/>
    <s v="Cancelled"/>
    <x v="2"/>
    <s v="Electronics"/>
    <s v="SMB"/>
    <n v="45"/>
    <x v="1"/>
    <n v="1052"/>
  </r>
  <r>
    <s v="ORD-00556"/>
    <d v="2024-02-15T00:00:00"/>
    <s v="CUST-0050"/>
    <x v="58"/>
    <s v="R026"/>
    <n v="3"/>
    <n v="6940"/>
    <n v="10.7"/>
    <n v="18592.259999999998"/>
    <s v="Cancelled"/>
    <x v="3"/>
    <s v="Sports"/>
    <s v="Retail"/>
    <n v="37"/>
    <x v="2"/>
    <n v="2827"/>
  </r>
  <r>
    <s v="ORD-00557"/>
    <d v="2024-10-06T00:00:00"/>
    <s v="CUST-0227"/>
    <x v="5"/>
    <s v="R011"/>
    <n v="1"/>
    <n v="370"/>
    <n v="10.3"/>
    <n v="331.89"/>
    <s v="Refunded"/>
    <x v="4"/>
    <s v="Home"/>
    <s v="SMB"/>
    <n v="44"/>
    <x v="1"/>
    <n v="288"/>
  </r>
  <r>
    <s v="ORD-00558"/>
    <d v="2024-03-06T00:00:00"/>
    <s v="CUST-0218"/>
    <x v="31"/>
    <s v="R029"/>
    <n v="2"/>
    <n v="3780"/>
    <n v="29.4"/>
    <n v="5337.36"/>
    <s v="Completed"/>
    <x v="3"/>
    <s v="Grocery"/>
    <s v="Retail"/>
    <n v="39"/>
    <x v="2"/>
    <n v="2436"/>
  </r>
  <r>
    <s v="ORD-00559"/>
    <d v="2024-05-20T00:00:00"/>
    <s v="CUST-0087"/>
    <x v="9"/>
    <s v="R022"/>
    <n v="5"/>
    <n v="970"/>
    <n v="14.6"/>
    <n v="4141.8999999999996"/>
    <s v="Completed"/>
    <x v="0"/>
    <s v="Grocery"/>
    <s v="SMB"/>
    <n v="49"/>
    <x v="3"/>
    <n v="434"/>
  </r>
  <r>
    <s v="ORD-00560"/>
    <d v="2024-11-08T00:00:00"/>
    <s v="CUST-0209"/>
    <x v="34"/>
    <s v="R002"/>
    <n v="3"/>
    <n v="2270"/>
    <n v="6.5"/>
    <n v="6367.35"/>
    <s v="Completed"/>
    <x v="0"/>
    <s v="Grocery"/>
    <s v="Retail"/>
    <n v="31"/>
    <x v="0"/>
    <n v="1412"/>
  </r>
  <r>
    <s v="ORD-00561"/>
    <d v="2024-06-24T00:00:00"/>
    <s v="CUST-0212"/>
    <x v="36"/>
    <s v="R029"/>
    <n v="10"/>
    <n v="1540"/>
    <n v="16.5"/>
    <n v="12859"/>
    <s v="Completed"/>
    <x v="1"/>
    <s v="Beauty"/>
    <s v="SMB"/>
    <n v="46"/>
    <x v="2"/>
    <n v="647"/>
  </r>
  <r>
    <s v="ORD-00562"/>
    <d v="2024-12-23T00:00:00"/>
    <s v="CUST-0180"/>
    <x v="28"/>
    <s v="R017"/>
    <n v="4"/>
    <n v="2760"/>
    <n v="19.8"/>
    <n v="8854.08"/>
    <s v="Completed"/>
    <x v="1"/>
    <s v="Grocery"/>
    <s v="Retail"/>
    <n v="36"/>
    <x v="3"/>
    <n v="1435"/>
  </r>
  <r>
    <s v="ORD-00563"/>
    <d v="2024-02-10T00:00:00"/>
    <s v="CUST-0025"/>
    <x v="10"/>
    <s v="R030"/>
    <n v="3"/>
    <n v="2270"/>
    <n v="29.5"/>
    <n v="4801.05"/>
    <s v="Refunded"/>
    <x v="4"/>
    <s v="Grocery"/>
    <s v="Retail"/>
    <n v="23"/>
    <x v="2"/>
    <n v="1203"/>
  </r>
  <r>
    <s v="ORD-00564"/>
    <d v="2024-05-06T00:00:00"/>
    <s v="CUST-0271"/>
    <x v="40"/>
    <s v="R015"/>
    <n v="8"/>
    <n v="3020"/>
    <n v="1.2"/>
    <n v="23870.080000000002"/>
    <s v="Completed"/>
    <x v="4"/>
    <s v="Beauty"/>
    <s v="Corporate"/>
    <n v="41"/>
    <x v="1"/>
    <n v="1626"/>
  </r>
  <r>
    <s v="ORD-00565"/>
    <d v="2024-07-17T00:00:00"/>
    <s v="CUST-0026"/>
    <x v="50"/>
    <s v="R018"/>
    <n v="6"/>
    <n v="2380"/>
    <n v="20.399999999999999"/>
    <n v="11366.88"/>
    <s v="Completed"/>
    <x v="0"/>
    <s v="Grocery"/>
    <s v="Retail"/>
    <n v="62"/>
    <x v="3"/>
    <n v="1182"/>
  </r>
  <r>
    <s v="ORD-00566"/>
    <d v="2024-06-27T00:00:00"/>
    <s v="CUST-0058"/>
    <x v="58"/>
    <s v="R028"/>
    <n v="1"/>
    <n v="6940"/>
    <n v="15"/>
    <n v="5899"/>
    <s v="Cancelled"/>
    <x v="4"/>
    <s v="Sports"/>
    <s v="SMB"/>
    <n v="49"/>
    <x v="2"/>
    <n v="2827"/>
  </r>
  <r>
    <s v="ORD-00567"/>
    <d v="2024-12-28T00:00:00"/>
    <s v="CUST-0033"/>
    <x v="41"/>
    <s v="R010"/>
    <n v="1"/>
    <n v="2660"/>
    <n v="11.6"/>
    <n v="2351.44"/>
    <s v="Completed"/>
    <x v="2"/>
    <s v="Electronics"/>
    <s v="Retail"/>
    <n v="35"/>
    <x v="1"/>
    <n v="1259"/>
  </r>
  <r>
    <s v="ORD-00568"/>
    <d v="2024-09-13T00:00:00"/>
    <s v="CUST-0057"/>
    <x v="9"/>
    <s v="R013"/>
    <n v="4"/>
    <n v="970"/>
    <n v="11.6"/>
    <n v="3429.92"/>
    <s v="Completed"/>
    <x v="0"/>
    <s v="Grocery"/>
    <s v="Retail"/>
    <n v="35"/>
    <x v="1"/>
    <n v="434"/>
  </r>
  <r>
    <s v="ORD-00569"/>
    <d v="2024-12-06T00:00:00"/>
    <s v="CUST-0231"/>
    <x v="34"/>
    <s v="R002"/>
    <n v="7"/>
    <n v="2270"/>
    <n v="27.9"/>
    <n v="11456.69"/>
    <s v="Completed"/>
    <x v="1"/>
    <s v="Grocery"/>
    <s v="Retail"/>
    <n v="61"/>
    <x v="0"/>
    <n v="1412"/>
  </r>
  <r>
    <s v="ORD-00570"/>
    <d v="2024-01-13T00:00:00"/>
    <s v="CUST-0031"/>
    <x v="23"/>
    <s v="R016"/>
    <n v="8"/>
    <n v="1010"/>
    <n v="13.7"/>
    <n v="6973.04"/>
    <s v="Cancelled"/>
    <x v="5"/>
    <s v="Sports"/>
    <s v="Retail"/>
    <n v="53"/>
    <x v="1"/>
    <n v="516"/>
  </r>
  <r>
    <s v="ORD-00571"/>
    <d v="2024-02-08T00:00:00"/>
    <s v="CUST-0228"/>
    <x v="50"/>
    <s v="R001"/>
    <n v="8"/>
    <n v="2380"/>
    <n v="15.3"/>
    <n v="16126.88"/>
    <s v="Cancelled"/>
    <x v="0"/>
    <s v="Grocery"/>
    <s v="Corporate"/>
    <n v="37"/>
    <x v="0"/>
    <n v="1182"/>
  </r>
  <r>
    <s v="ORD-00572"/>
    <d v="2024-12-07T00:00:00"/>
    <s v="CUST-0127"/>
    <x v="2"/>
    <s v="R018"/>
    <n v="10"/>
    <n v="470"/>
    <n v="2.1"/>
    <n v="4601.3"/>
    <s v="Completed"/>
    <x v="4"/>
    <s v="Sports"/>
    <s v="SMB"/>
    <n v="36"/>
    <x v="3"/>
    <n v="302"/>
  </r>
  <r>
    <s v="ORD-00573"/>
    <d v="2024-07-07T00:00:00"/>
    <s v="CUST-0117"/>
    <x v="26"/>
    <s v="R025"/>
    <n v="5"/>
    <n v="5100"/>
    <n v="9.6999999999999993"/>
    <n v="23026.5"/>
    <s v="Completed"/>
    <x v="2"/>
    <s v="Beauty"/>
    <s v="SMB"/>
    <n v="34"/>
    <x v="2"/>
    <n v="2237"/>
  </r>
  <r>
    <s v="ORD-00574"/>
    <d v="2024-04-20T00:00:00"/>
    <s v="CUST-0159"/>
    <x v="51"/>
    <s v="R026"/>
    <n v="9"/>
    <n v="960"/>
    <n v="17.7"/>
    <n v="7110.72"/>
    <s v="Completed"/>
    <x v="5"/>
    <s v="Beauty"/>
    <s v="Retail"/>
    <n v="32"/>
    <x v="2"/>
    <n v="675"/>
  </r>
  <r>
    <s v="ORD-00575"/>
    <d v="2024-07-05T00:00:00"/>
    <s v="CUST-0064"/>
    <x v="37"/>
    <s v="R007"/>
    <n v="2"/>
    <n v="4070"/>
    <n v="2.1"/>
    <n v="7969.06"/>
    <s v="Completed"/>
    <x v="5"/>
    <s v="Grocery"/>
    <s v="SMB"/>
    <n v="40"/>
    <x v="0"/>
    <n v="2027"/>
  </r>
  <r>
    <s v="ORD-00576"/>
    <d v="2024-03-07T00:00:00"/>
    <s v="CUST-0272"/>
    <x v="30"/>
    <s v="R021"/>
    <n v="5"/>
    <n v="3730"/>
    <n v="16.5"/>
    <n v="15572.75"/>
    <s v="Completed"/>
    <x v="3"/>
    <s v="Home"/>
    <s v="SMB"/>
    <n v="47"/>
    <x v="3"/>
    <n v="2135"/>
  </r>
  <r>
    <s v="ORD-00577"/>
    <d v="2024-10-24T00:00:00"/>
    <s v="CUST-0071"/>
    <x v="27"/>
    <s v="R022"/>
    <n v="1"/>
    <n v="2860"/>
    <n v="10.4"/>
    <n v="2562.56"/>
    <s v="Cancelled"/>
    <x v="2"/>
    <s v="Sports"/>
    <s v="Corporate"/>
    <n v="46"/>
    <x v="3"/>
    <n v="2028"/>
  </r>
  <r>
    <s v="ORD-00578"/>
    <d v="2024-08-03T00:00:00"/>
    <s v="CUST-0045"/>
    <x v="24"/>
    <s v="R018"/>
    <n v="4"/>
    <n v="4880"/>
    <n v="27.5"/>
    <n v="14152"/>
    <s v="Pending"/>
    <x v="1"/>
    <s v="Beauty"/>
    <s v="SMB"/>
    <n v="39"/>
    <x v="3"/>
    <n v="2768"/>
  </r>
  <r>
    <s v="ORD-00579"/>
    <d v="2024-06-27T00:00:00"/>
    <s v="CUST-0148"/>
    <x v="34"/>
    <s v="R022"/>
    <n v="3"/>
    <n v="2270"/>
    <n v="6.7"/>
    <n v="6353.73"/>
    <s v="Completed"/>
    <x v="1"/>
    <s v="Grocery"/>
    <s v="Retail"/>
    <n v="32"/>
    <x v="3"/>
    <n v="1412"/>
  </r>
  <r>
    <s v="ORD-00580"/>
    <d v="2024-10-24T00:00:00"/>
    <s v="CUST-0097"/>
    <x v="46"/>
    <s v="R007"/>
    <n v="10"/>
    <n v="4060"/>
    <n v="3.6"/>
    <n v="39138.400000000001"/>
    <s v="Pending"/>
    <x v="3"/>
    <s v="Grocery"/>
    <s v="Retail"/>
    <n v="65"/>
    <x v="0"/>
    <n v="2911"/>
  </r>
  <r>
    <s v="ORD-00581"/>
    <d v="2024-05-21T00:00:00"/>
    <s v="CUST-0151"/>
    <x v="11"/>
    <s v="R004"/>
    <n v="8"/>
    <n v="2640"/>
    <n v="28.8"/>
    <n v="15037.44"/>
    <s v="Completed"/>
    <x v="3"/>
    <s v="Electronics"/>
    <s v="Retail"/>
    <n v="53"/>
    <x v="0"/>
    <n v="1149"/>
  </r>
  <r>
    <s v="ORD-00582"/>
    <d v="2024-07-04T00:00:00"/>
    <s v="CUST-0048"/>
    <x v="30"/>
    <s v="R012"/>
    <n v="6"/>
    <n v="3730"/>
    <n v="21.9"/>
    <n v="17478.78"/>
    <s v="Completed"/>
    <x v="2"/>
    <s v="Home"/>
    <s v="Retail"/>
    <n v="59"/>
    <x v="1"/>
    <n v="2135"/>
  </r>
  <r>
    <s v="ORD-00583"/>
    <d v="2024-05-31T00:00:00"/>
    <s v="CUST-0048"/>
    <x v="49"/>
    <s v="R006"/>
    <n v="9"/>
    <n v="5330"/>
    <n v="29.4"/>
    <n v="33866.82"/>
    <s v="Cancelled"/>
    <x v="2"/>
    <s v="Electronics"/>
    <s v="Retail"/>
    <n v="59"/>
    <x v="0"/>
    <n v="2405"/>
  </r>
  <r>
    <s v="ORD-00584"/>
    <d v="2024-01-31T00:00:00"/>
    <s v="CUST-0156"/>
    <x v="55"/>
    <s v="R027"/>
    <n v="1"/>
    <n v="3450"/>
    <n v="23.3"/>
    <n v="2646.15"/>
    <s v="Completed"/>
    <x v="3"/>
    <s v="Apparel"/>
    <s v="Retail"/>
    <n v="33"/>
    <x v="2"/>
    <n v="1748"/>
  </r>
  <r>
    <s v="ORD-00585"/>
    <d v="2024-09-09T00:00:00"/>
    <s v="CUST-0022"/>
    <x v="33"/>
    <s v="R017"/>
    <n v="3"/>
    <n v="6080"/>
    <n v="14.5"/>
    <n v="15595.2"/>
    <s v="Completed"/>
    <x v="4"/>
    <s v="Beauty"/>
    <s v="Corporate"/>
    <n v="55"/>
    <x v="3"/>
    <n v="2617"/>
  </r>
  <r>
    <s v="ORD-00586"/>
    <d v="2024-11-13T00:00:00"/>
    <s v="CUST-0193"/>
    <x v="30"/>
    <s v="R002"/>
    <n v="4"/>
    <n v="3730"/>
    <n v="3.4"/>
    <n v="14412.72"/>
    <s v="Cancelled"/>
    <x v="4"/>
    <s v="Home"/>
    <s v="Retail"/>
    <n v="42"/>
    <x v="0"/>
    <n v="2135"/>
  </r>
  <r>
    <s v="ORD-00587"/>
    <d v="2024-07-18T00:00:00"/>
    <s v="CUST-0189"/>
    <x v="41"/>
    <s v="R022"/>
    <n v="10"/>
    <n v="2660"/>
    <n v="2.1"/>
    <n v="26041.4"/>
    <s v="Completed"/>
    <x v="1"/>
    <s v="Electronics"/>
    <s v="Retail"/>
    <n v="41"/>
    <x v="3"/>
    <n v="1259"/>
  </r>
  <r>
    <s v="ORD-00588"/>
    <d v="2024-03-22T00:00:00"/>
    <s v="CUST-0101"/>
    <x v="45"/>
    <s v="R021"/>
    <n v="7"/>
    <n v="2210"/>
    <n v="17.100000000000001"/>
    <n v="12824.63"/>
    <s v="Completed"/>
    <x v="5"/>
    <s v="Grocery"/>
    <s v="SMB"/>
    <n v="40"/>
    <x v="3"/>
    <n v="1010"/>
  </r>
  <r>
    <s v="ORD-00589"/>
    <d v="2024-11-11T00:00:00"/>
    <s v="CUST-0006"/>
    <x v="56"/>
    <s v="R013"/>
    <n v="6"/>
    <n v="3780"/>
    <n v="12.7"/>
    <n v="19799.64"/>
    <s v="Completed"/>
    <x v="0"/>
    <s v="Sports"/>
    <s v="SMB"/>
    <n v="44"/>
    <x v="1"/>
    <n v="1860"/>
  </r>
  <r>
    <s v="ORD-00590"/>
    <d v="2024-04-30T00:00:00"/>
    <s v="CUST-0235"/>
    <x v="8"/>
    <s v="R029"/>
    <n v="4"/>
    <n v="5490"/>
    <n v="26.9"/>
    <n v="16052.76"/>
    <s v="Completed"/>
    <x v="1"/>
    <s v="Home"/>
    <s v="Retail"/>
    <n v="31"/>
    <x v="2"/>
    <n v="2549"/>
  </r>
  <r>
    <s v="ORD-00591"/>
    <d v="2024-02-29T00:00:00"/>
    <s v="CUST-0045"/>
    <x v="41"/>
    <s v="R013"/>
    <n v="9"/>
    <n v="2660"/>
    <n v="21.9"/>
    <n v="18697.14"/>
    <s v="Completed"/>
    <x v="1"/>
    <s v="Electronics"/>
    <s v="SMB"/>
    <n v="39"/>
    <x v="1"/>
    <n v="1259"/>
  </r>
  <r>
    <s v="ORD-00592"/>
    <d v="2024-10-07T00:00:00"/>
    <s v="CUST-0028"/>
    <x v="58"/>
    <s v="R028"/>
    <n v="9"/>
    <n v="6940"/>
    <n v="8"/>
    <n v="57463.199999999997"/>
    <s v="Completed"/>
    <x v="4"/>
    <s v="Sports"/>
    <s v="Retail"/>
    <n v="59"/>
    <x v="2"/>
    <n v="2827"/>
  </r>
  <r>
    <s v="ORD-00593"/>
    <d v="2024-04-20T00:00:00"/>
    <s v="CUST-0241"/>
    <x v="35"/>
    <s v="R006"/>
    <n v="1"/>
    <n v="3870"/>
    <n v="22.6"/>
    <n v="2995.38"/>
    <s v="Completed"/>
    <x v="0"/>
    <s v="Electronics"/>
    <s v="Corporate"/>
    <n v="47"/>
    <x v="0"/>
    <n v="1559"/>
  </r>
  <r>
    <s v="ORD-00594"/>
    <d v="2024-07-30T00:00:00"/>
    <s v="CUST-0278"/>
    <x v="57"/>
    <s v="R008"/>
    <n v="3"/>
    <n v="1090"/>
    <n v="28.1"/>
    <n v="2351.13"/>
    <s v="Completed"/>
    <x v="5"/>
    <s v="Home"/>
    <s v="Retail"/>
    <n v="41"/>
    <x v="0"/>
    <n v="464"/>
  </r>
  <r>
    <s v="ORD-00595"/>
    <d v="2024-08-20T00:00:00"/>
    <s v="CUST-0009"/>
    <x v="12"/>
    <s v="R001"/>
    <n v="2"/>
    <n v="2600"/>
    <n v="5.6"/>
    <n v="4908.8"/>
    <s v="Completed"/>
    <x v="3"/>
    <s v="Electronics"/>
    <s v="Retail"/>
    <n v="61"/>
    <x v="0"/>
    <n v="1052"/>
  </r>
  <r>
    <s v="ORD-00596"/>
    <d v="2024-05-13T00:00:00"/>
    <s v="CUST-0217"/>
    <x v="6"/>
    <s v="R020"/>
    <n v="4"/>
    <n v="960"/>
    <n v="21.7"/>
    <n v="3006.72"/>
    <s v="Completed"/>
    <x v="0"/>
    <s v="Sports"/>
    <s v="SMB"/>
    <n v="59"/>
    <x v="3"/>
    <n v="705"/>
  </r>
  <r>
    <s v="ORD-00597"/>
    <d v="2024-08-29T00:00:00"/>
    <s v="CUST-0289"/>
    <x v="5"/>
    <s v="R026"/>
    <n v="6"/>
    <n v="370"/>
    <n v="22.5"/>
    <n v="1720.5"/>
    <s v="Completed"/>
    <x v="3"/>
    <s v="Home"/>
    <s v="Retail"/>
    <n v="54"/>
    <x v="2"/>
    <n v="288"/>
  </r>
  <r>
    <s v="ORD-00598"/>
    <d v="2024-12-23T00:00:00"/>
    <s v="CUST-0176"/>
    <x v="54"/>
    <s v="R006"/>
    <n v="5"/>
    <n v="5080"/>
    <n v="23.8"/>
    <n v="19354.8"/>
    <s v="Completed"/>
    <x v="4"/>
    <s v="Home"/>
    <s v="SMB"/>
    <n v="34"/>
    <x v="0"/>
    <n v="2459"/>
  </r>
  <r>
    <s v="ORD-00599"/>
    <d v="2024-03-24T00:00:00"/>
    <s v="CUST-0026"/>
    <x v="36"/>
    <s v="R003"/>
    <n v="5"/>
    <n v="1540"/>
    <n v="6.1"/>
    <n v="7230.3"/>
    <s v="Completed"/>
    <x v="0"/>
    <s v="Beauty"/>
    <s v="Retail"/>
    <n v="62"/>
    <x v="0"/>
    <n v="647"/>
  </r>
  <r>
    <s v="ORD-00600"/>
    <d v="2024-02-20T00:00:00"/>
    <s v="CUST-0213"/>
    <x v="10"/>
    <s v="R015"/>
    <n v="7"/>
    <n v="2270"/>
    <n v="0.4"/>
    <n v="15826.44"/>
    <s v="Completed"/>
    <x v="3"/>
    <s v="Grocery"/>
    <s v="Retail"/>
    <n v="37"/>
    <x v="1"/>
    <n v="1203"/>
  </r>
  <r>
    <s v="ORD-00601"/>
    <d v="2024-05-29T00:00:00"/>
    <s v="CUST-0190"/>
    <x v="6"/>
    <s v="R015"/>
    <n v="2"/>
    <n v="960"/>
    <n v="3.7"/>
    <n v="1848.96"/>
    <s v="Completed"/>
    <x v="5"/>
    <s v="Sports"/>
    <s v="Retail"/>
    <n v="52"/>
    <x v="1"/>
    <n v="705"/>
  </r>
  <r>
    <s v="ORD-00602"/>
    <d v="2024-04-28T00:00:00"/>
    <s v="CUST-0150"/>
    <x v="7"/>
    <s v="R027"/>
    <n v="6"/>
    <n v="1430"/>
    <n v="2"/>
    <n v="8408.4"/>
    <s v="Pending"/>
    <x v="0"/>
    <s v="Electronics"/>
    <s v="SMB"/>
    <n v="53"/>
    <x v="2"/>
    <n v="861"/>
  </r>
  <r>
    <s v="ORD-00603"/>
    <d v="2024-10-23T00:00:00"/>
    <s v="CUST-0129"/>
    <x v="16"/>
    <s v="R006"/>
    <n v="10"/>
    <n v="3450"/>
    <n v="19.100000000000001"/>
    <n v="27910.5"/>
    <s v="Completed"/>
    <x v="5"/>
    <s v="Beauty"/>
    <s v="Retail"/>
    <n v="29"/>
    <x v="0"/>
    <n v="2420"/>
  </r>
  <r>
    <s v="ORD-00604"/>
    <d v="2024-04-30T00:00:00"/>
    <s v="CUST-0080"/>
    <x v="38"/>
    <s v="R026"/>
    <n v="8"/>
    <n v="1220"/>
    <n v="16.899999999999999"/>
    <n v="8110.56"/>
    <s v="Completed"/>
    <x v="0"/>
    <s v="Electronics"/>
    <s v="SMB"/>
    <n v="30"/>
    <x v="2"/>
    <n v="517"/>
  </r>
  <r>
    <s v="ORD-00605"/>
    <d v="2024-05-27T00:00:00"/>
    <s v="CUST-0034"/>
    <x v="28"/>
    <s v="R020"/>
    <n v="9"/>
    <n v="2760"/>
    <n v="16.899999999999999"/>
    <n v="20642.04"/>
    <s v="Completed"/>
    <x v="2"/>
    <s v="Grocery"/>
    <s v="Retail"/>
    <n v="47"/>
    <x v="3"/>
    <n v="1435"/>
  </r>
  <r>
    <s v="ORD-00606"/>
    <d v="2024-10-28T00:00:00"/>
    <s v="CUST-0179"/>
    <x v="22"/>
    <s v="R017"/>
    <n v="6"/>
    <n v="3350"/>
    <n v="11.8"/>
    <n v="17728.2"/>
    <s v="Pending"/>
    <x v="3"/>
    <s v="Beauty"/>
    <s v="SMB"/>
    <n v="54"/>
    <x v="3"/>
    <n v="1728"/>
  </r>
  <r>
    <s v="ORD-00607"/>
    <d v="2024-10-05T00:00:00"/>
    <s v="CUST-0176"/>
    <x v="26"/>
    <s v="R013"/>
    <n v="6"/>
    <n v="5100"/>
    <n v="13.2"/>
    <n v="26560.799999999999"/>
    <s v="Completed"/>
    <x v="4"/>
    <s v="Beauty"/>
    <s v="SMB"/>
    <n v="34"/>
    <x v="1"/>
    <n v="2237"/>
  </r>
  <r>
    <s v="ORD-00608"/>
    <d v="2024-07-01T00:00:00"/>
    <s v="CUST-0144"/>
    <x v="11"/>
    <s v="R027"/>
    <n v="6"/>
    <n v="2640"/>
    <n v="26.2"/>
    <n v="11689.92"/>
    <s v="Completed"/>
    <x v="1"/>
    <s v="Electronics"/>
    <s v="Retail"/>
    <n v="49"/>
    <x v="2"/>
    <n v="1149"/>
  </r>
  <r>
    <s v="ORD-00609"/>
    <d v="2024-08-20T00:00:00"/>
    <s v="CUST-0218"/>
    <x v="3"/>
    <s v="R016"/>
    <n v="1"/>
    <n v="3660"/>
    <n v="19.7"/>
    <n v="2938.98"/>
    <s v="Completed"/>
    <x v="3"/>
    <s v="Grocery"/>
    <s v="Retail"/>
    <n v="39"/>
    <x v="1"/>
    <n v="2214"/>
  </r>
  <r>
    <s v="ORD-00610"/>
    <d v="2024-06-25T00:00:00"/>
    <s v="CUST-0249"/>
    <x v="5"/>
    <s v="R027"/>
    <n v="5"/>
    <n v="370"/>
    <n v="21.7"/>
    <n v="1448.55"/>
    <s v="Completed"/>
    <x v="3"/>
    <s v="Home"/>
    <s v="Retail"/>
    <n v="44"/>
    <x v="2"/>
    <n v="288"/>
  </r>
  <r>
    <s v="ORD-00611"/>
    <d v="2024-02-14T00:00:00"/>
    <s v="CUST-0092"/>
    <x v="43"/>
    <s v="R025"/>
    <n v="5"/>
    <n v="620"/>
    <n v="10.199999999999999"/>
    <n v="2783.8"/>
    <s v="Completed"/>
    <x v="4"/>
    <s v="Apparel"/>
    <s v="SMB"/>
    <n v="28"/>
    <x v="2"/>
    <n v="396"/>
  </r>
  <r>
    <s v="ORD-00612"/>
    <d v="2024-04-10T00:00:00"/>
    <s v="CUST-0245"/>
    <x v="2"/>
    <s v="R018"/>
    <n v="8"/>
    <n v="470"/>
    <n v="2.4"/>
    <n v="3669.76"/>
    <s v="Completed"/>
    <x v="5"/>
    <s v="Sports"/>
    <s v="Retail"/>
    <n v="65"/>
    <x v="3"/>
    <n v="302"/>
  </r>
  <r>
    <s v="ORD-00613"/>
    <d v="2024-11-14T00:00:00"/>
    <s v="CUST-0134"/>
    <x v="52"/>
    <s v="R005"/>
    <n v="3"/>
    <n v="2290"/>
    <n v="20.8"/>
    <n v="5441.04"/>
    <s v="Completed"/>
    <x v="2"/>
    <s v="Beauty"/>
    <s v="Retail"/>
    <n v="40"/>
    <x v="0"/>
    <n v="1219"/>
  </r>
  <r>
    <s v="ORD-00614"/>
    <d v="2024-01-06T00:00:00"/>
    <s v="CUST-0063"/>
    <x v="6"/>
    <s v="R024"/>
    <n v="4"/>
    <n v="960"/>
    <n v="28.8"/>
    <n v="2734.08"/>
    <s v="Pending"/>
    <x v="3"/>
    <s v="Sports"/>
    <s v="SMB"/>
    <n v="53"/>
    <x v="2"/>
    <n v="705"/>
  </r>
  <r>
    <s v="ORD-00615"/>
    <d v="2024-09-23T00:00:00"/>
    <s v="CUST-0172"/>
    <x v="3"/>
    <s v="R010"/>
    <n v="5"/>
    <n v="3660"/>
    <n v="11.9"/>
    <n v="16122.3"/>
    <s v="Pending"/>
    <x v="0"/>
    <s v="Grocery"/>
    <s v="Retail"/>
    <n v="65"/>
    <x v="1"/>
    <n v="2214"/>
  </r>
  <r>
    <s v="ORD-00616"/>
    <d v="2024-07-14T00:00:00"/>
    <s v="CUST-0139"/>
    <x v="25"/>
    <s v="R019"/>
    <n v="5"/>
    <n v="3570"/>
    <n v="12.4"/>
    <n v="15636.6"/>
    <s v="Completed"/>
    <x v="5"/>
    <s v="Electronics"/>
    <s v="SMB"/>
    <n v="65"/>
    <x v="3"/>
    <n v="1665"/>
  </r>
  <r>
    <s v="ORD-00617"/>
    <d v="2024-01-16T00:00:00"/>
    <s v="CUST-0275"/>
    <x v="44"/>
    <s v="R017"/>
    <n v="9"/>
    <n v="2030"/>
    <n v="23.4"/>
    <n v="13994.82"/>
    <s v="Completed"/>
    <x v="3"/>
    <s v="Home"/>
    <s v="Retail"/>
    <n v="36"/>
    <x v="3"/>
    <n v="1143"/>
  </r>
  <r>
    <s v="ORD-00618"/>
    <d v="2024-02-06T00:00:00"/>
    <s v="CUST-0006"/>
    <x v="20"/>
    <s v="R024"/>
    <n v="7"/>
    <n v="2720"/>
    <n v="11.2"/>
    <n v="16907.52"/>
    <s v="Refunded"/>
    <x v="0"/>
    <s v="Apparel"/>
    <s v="SMB"/>
    <n v="44"/>
    <x v="2"/>
    <n v="1962"/>
  </r>
  <r>
    <s v="ORD-00619"/>
    <d v="2024-12-01T00:00:00"/>
    <s v="CUST-0279"/>
    <x v="25"/>
    <s v="R008"/>
    <n v="2"/>
    <n v="3570"/>
    <n v="6.1"/>
    <n v="6704.46"/>
    <s v="Cancelled"/>
    <x v="3"/>
    <s v="Electronics"/>
    <s v="Retail"/>
    <n v="56"/>
    <x v="0"/>
    <n v="1665"/>
  </r>
  <r>
    <s v="ORD-00620"/>
    <d v="2024-10-09T00:00:00"/>
    <s v="CUST-0093"/>
    <x v="15"/>
    <s v="R001"/>
    <n v="5"/>
    <n v="2400"/>
    <n v="16.100000000000001"/>
    <n v="10068"/>
    <s v="Completed"/>
    <x v="0"/>
    <s v="Sports"/>
    <s v="Retail"/>
    <n v="36"/>
    <x v="0"/>
    <n v="974"/>
  </r>
  <r>
    <s v="ORD-00621"/>
    <d v="2024-10-27T00:00:00"/>
    <s v="CUST-0063"/>
    <x v="10"/>
    <s v="R002"/>
    <n v="4"/>
    <n v="2270"/>
    <n v="27.5"/>
    <n v="6583"/>
    <s v="Pending"/>
    <x v="3"/>
    <s v="Grocery"/>
    <s v="SMB"/>
    <n v="53"/>
    <x v="0"/>
    <n v="1203"/>
  </r>
  <r>
    <s v="ORD-00622"/>
    <d v="2024-08-05T00:00:00"/>
    <s v="CUST-0071"/>
    <x v="9"/>
    <s v="R012"/>
    <n v="1"/>
    <n v="970"/>
    <n v="12.7"/>
    <n v="846.81"/>
    <s v="Completed"/>
    <x v="2"/>
    <s v="Grocery"/>
    <s v="Corporate"/>
    <n v="46"/>
    <x v="1"/>
    <n v="434"/>
  </r>
  <r>
    <s v="ORD-00623"/>
    <d v="2024-01-16T00:00:00"/>
    <s v="CUST-0119"/>
    <x v="58"/>
    <s v="R018"/>
    <n v="5"/>
    <n v="6940"/>
    <n v="16.2"/>
    <n v="29078.6"/>
    <s v="Completed"/>
    <x v="4"/>
    <s v="Sports"/>
    <s v="SMB"/>
    <n v="43"/>
    <x v="3"/>
    <n v="2827"/>
  </r>
  <r>
    <s v="ORD-00624"/>
    <d v="2024-10-21T00:00:00"/>
    <s v="CUST-0035"/>
    <x v="58"/>
    <s v="R009"/>
    <n v="4"/>
    <n v="6940"/>
    <n v="15.1"/>
    <n v="23568.240000000002"/>
    <s v="Completed"/>
    <x v="5"/>
    <s v="Sports"/>
    <s v="Retail"/>
    <n v="53"/>
    <x v="1"/>
    <n v="2827"/>
  </r>
  <r>
    <s v="ORD-00625"/>
    <d v="2024-10-22T00:00:00"/>
    <s v="CUST-0042"/>
    <x v="23"/>
    <s v="R006"/>
    <n v="1"/>
    <n v="1010"/>
    <n v="1.7"/>
    <n v="992.83"/>
    <s v="Completed"/>
    <x v="0"/>
    <s v="Sports"/>
    <s v="Retail"/>
    <n v="25"/>
    <x v="0"/>
    <n v="516"/>
  </r>
  <r>
    <s v="ORD-00626"/>
    <d v="2024-11-13T00:00:00"/>
    <s v="CUST-0033"/>
    <x v="35"/>
    <s v="R007"/>
    <n v="6"/>
    <n v="3870"/>
    <n v="12.2"/>
    <n v="20387.16"/>
    <s v="Completed"/>
    <x v="2"/>
    <s v="Electronics"/>
    <s v="Retail"/>
    <n v="35"/>
    <x v="0"/>
    <n v="1559"/>
  </r>
  <r>
    <s v="ORD-00627"/>
    <d v="2024-01-25T00:00:00"/>
    <s v="CUST-0077"/>
    <x v="26"/>
    <s v="R011"/>
    <n v="9"/>
    <n v="5100"/>
    <n v="26.4"/>
    <n v="33782.400000000001"/>
    <s v="Completed"/>
    <x v="5"/>
    <s v="Beauty"/>
    <s v="SMB"/>
    <n v="48"/>
    <x v="1"/>
    <n v="2237"/>
  </r>
  <r>
    <s v="ORD-00628"/>
    <d v="2024-06-08T00:00:00"/>
    <s v="CUST-0266"/>
    <x v="4"/>
    <s v="R008"/>
    <n v="2"/>
    <n v="3160"/>
    <n v="13.4"/>
    <n v="5473.12"/>
    <s v="Refunded"/>
    <x v="0"/>
    <s v="Apparel"/>
    <s v="Retail"/>
    <n v="65"/>
    <x v="0"/>
    <n v="1886"/>
  </r>
  <r>
    <s v="ORD-00629"/>
    <d v="2024-09-19T00:00:00"/>
    <s v="CUST-0272"/>
    <x v="45"/>
    <s v="R011"/>
    <n v="8"/>
    <n v="2210"/>
    <n v="26"/>
    <n v="13083.2"/>
    <s v="Completed"/>
    <x v="3"/>
    <s v="Grocery"/>
    <s v="SMB"/>
    <n v="47"/>
    <x v="1"/>
    <n v="1010"/>
  </r>
  <r>
    <s v="ORD-00630"/>
    <d v="2024-10-02T00:00:00"/>
    <s v="CUST-0253"/>
    <x v="59"/>
    <s v="R026"/>
    <n v="5"/>
    <n v="3560"/>
    <n v="15"/>
    <n v="15130"/>
    <s v="Completed"/>
    <x v="2"/>
    <s v="Apparel"/>
    <s v="SMB"/>
    <n v="53"/>
    <x v="2"/>
    <n v="2629"/>
  </r>
  <r>
    <s v="ORD-00631"/>
    <d v="2024-12-07T00:00:00"/>
    <s v="CUST-0252"/>
    <x v="43"/>
    <s v="R010"/>
    <n v="10"/>
    <n v="620"/>
    <n v="15.8"/>
    <n v="5220.3999999999996"/>
    <s v="Refunded"/>
    <x v="4"/>
    <s v="Apparel"/>
    <s v="Retail"/>
    <n v="27"/>
    <x v="1"/>
    <n v="396"/>
  </r>
  <r>
    <s v="ORD-00632"/>
    <d v="2024-10-23T00:00:00"/>
    <s v="CUST-0097"/>
    <x v="28"/>
    <s v="R002"/>
    <n v="3"/>
    <n v="2760"/>
    <n v="1.9"/>
    <n v="8122.68"/>
    <s v="Cancelled"/>
    <x v="3"/>
    <s v="Grocery"/>
    <s v="Retail"/>
    <n v="65"/>
    <x v="0"/>
    <n v="1435"/>
  </r>
  <r>
    <s v="ORD-00633"/>
    <d v="2024-12-08T00:00:00"/>
    <s v="CUST-0283"/>
    <x v="23"/>
    <s v="R005"/>
    <n v="10"/>
    <n v="1010"/>
    <n v="28.9"/>
    <n v="7181.1"/>
    <s v="Completed"/>
    <x v="2"/>
    <s v="Sports"/>
    <s v="SMB"/>
    <n v="50"/>
    <x v="0"/>
    <n v="516"/>
  </r>
  <r>
    <s v="ORD-00634"/>
    <d v="2024-03-01T00:00:00"/>
    <s v="CUST-0064"/>
    <x v="32"/>
    <s v="R002"/>
    <n v="1"/>
    <n v="3640"/>
    <n v="9.6999999999999993"/>
    <n v="3286.92"/>
    <s v="Completed"/>
    <x v="5"/>
    <s v="Apparel"/>
    <s v="SMB"/>
    <n v="40"/>
    <x v="0"/>
    <n v="2611"/>
  </r>
  <r>
    <s v="ORD-00635"/>
    <d v="2024-07-16T00:00:00"/>
    <s v="CUST-0143"/>
    <x v="1"/>
    <s v="R010"/>
    <n v="1"/>
    <n v="820"/>
    <n v="15"/>
    <n v="697"/>
    <s v="Completed"/>
    <x v="1"/>
    <s v="Apparel"/>
    <s v="SMB"/>
    <n v="52"/>
    <x v="1"/>
    <n v="391"/>
  </r>
  <r>
    <s v="ORD-00636"/>
    <d v="2024-02-20T00:00:00"/>
    <s v="CUST-0265"/>
    <x v="32"/>
    <s v="R011"/>
    <n v="4"/>
    <n v="3640"/>
    <n v="17"/>
    <n v="12084.8"/>
    <s v="Completed"/>
    <x v="1"/>
    <s v="Apparel"/>
    <s v="Retail"/>
    <n v="49"/>
    <x v="1"/>
    <n v="2611"/>
  </r>
  <r>
    <s v="ORD-00637"/>
    <d v="2024-05-13T00:00:00"/>
    <s v="CUST-0158"/>
    <x v="50"/>
    <s v="R002"/>
    <n v="7"/>
    <n v="2380"/>
    <n v="25.5"/>
    <n v="12411.7"/>
    <s v="Completed"/>
    <x v="0"/>
    <s v="Grocery"/>
    <s v="Corporate"/>
    <n v="42"/>
    <x v="0"/>
    <n v="1182"/>
  </r>
  <r>
    <s v="ORD-00638"/>
    <d v="2024-11-02T00:00:00"/>
    <s v="CUST-0154"/>
    <x v="29"/>
    <s v="R008"/>
    <n v="1"/>
    <n v="660"/>
    <n v="2.5"/>
    <n v="643.5"/>
    <s v="Completed"/>
    <x v="0"/>
    <s v="Home"/>
    <s v="Retail"/>
    <n v="36"/>
    <x v="0"/>
    <n v="329"/>
  </r>
  <r>
    <s v="ORD-00639"/>
    <d v="2024-03-02T00:00:00"/>
    <s v="CUST-0057"/>
    <x v="35"/>
    <s v="R020"/>
    <n v="7"/>
    <n v="3870"/>
    <n v="20.3"/>
    <n v="21590.73"/>
    <s v="Pending"/>
    <x v="0"/>
    <s v="Electronics"/>
    <s v="Retail"/>
    <n v="35"/>
    <x v="3"/>
    <n v="1559"/>
  </r>
  <r>
    <s v="ORD-00640"/>
    <d v="2024-09-07T00:00:00"/>
    <s v="CUST-0088"/>
    <x v="5"/>
    <s v="R016"/>
    <n v="10"/>
    <n v="370"/>
    <n v="1.3"/>
    <n v="3651.9"/>
    <s v="Refunded"/>
    <x v="1"/>
    <s v="Home"/>
    <s v="Retail"/>
    <n v="24"/>
    <x v="1"/>
    <n v="288"/>
  </r>
  <r>
    <s v="ORD-00641"/>
    <d v="2024-03-14T00:00:00"/>
    <s v="CUST-0064"/>
    <x v="0"/>
    <s v="R018"/>
    <n v="1"/>
    <n v="3620"/>
    <n v="1.4"/>
    <n v="3569.32"/>
    <s v="Completed"/>
    <x v="5"/>
    <s v="Apparel"/>
    <s v="SMB"/>
    <n v="40"/>
    <x v="3"/>
    <n v="2509"/>
  </r>
  <r>
    <s v="ORD-00642"/>
    <d v="2024-10-09T00:00:00"/>
    <s v="CUST-0192"/>
    <x v="41"/>
    <s v="R005"/>
    <n v="10"/>
    <n v="2660"/>
    <n v="20.2"/>
    <n v="21226.799999999999"/>
    <s v="Completed"/>
    <x v="4"/>
    <s v="Electronics"/>
    <s v="Retail"/>
    <n v="55"/>
    <x v="0"/>
    <n v="1259"/>
  </r>
  <r>
    <s v="ORD-00643"/>
    <d v="2024-11-18T00:00:00"/>
    <s v="CUST-0175"/>
    <x v="17"/>
    <s v="R015"/>
    <n v="10"/>
    <n v="3450"/>
    <n v="25.1"/>
    <n v="25840.5"/>
    <s v="Completed"/>
    <x v="2"/>
    <s v="Sports"/>
    <s v="Corporate"/>
    <n v="55"/>
    <x v="1"/>
    <n v="2467"/>
  </r>
  <r>
    <s v="ORD-00644"/>
    <d v="2024-12-03T00:00:00"/>
    <s v="CUST-0083"/>
    <x v="46"/>
    <s v="R013"/>
    <n v="3"/>
    <n v="4060"/>
    <n v="2.5"/>
    <n v="11875.5"/>
    <s v="Refunded"/>
    <x v="4"/>
    <s v="Grocery"/>
    <s v="Corporate"/>
    <n v="31"/>
    <x v="1"/>
    <n v="2911"/>
  </r>
  <r>
    <s v="ORD-00645"/>
    <d v="2024-01-03T00:00:00"/>
    <s v="CUST-0142"/>
    <x v="6"/>
    <s v="R021"/>
    <n v="3"/>
    <n v="960"/>
    <n v="6.6"/>
    <n v="2689.92"/>
    <s v="Cancelled"/>
    <x v="1"/>
    <s v="Sports"/>
    <s v="Corporate"/>
    <n v="55"/>
    <x v="3"/>
    <n v="705"/>
  </r>
  <r>
    <s v="ORD-00646"/>
    <d v="2024-05-06T00:00:00"/>
    <s v="CUST-0185"/>
    <x v="41"/>
    <s v="R008"/>
    <n v="4"/>
    <n v="2660"/>
    <n v="16.899999999999999"/>
    <n v="8841.84"/>
    <s v="Completed"/>
    <x v="5"/>
    <s v="Electronics"/>
    <s v="SMB"/>
    <n v="43"/>
    <x v="0"/>
    <n v="1259"/>
  </r>
  <r>
    <s v="ORD-00647"/>
    <d v="2024-03-18T00:00:00"/>
    <s v="CUST-0284"/>
    <x v="10"/>
    <s v="R018"/>
    <n v="6"/>
    <n v="2270"/>
    <n v="16.7"/>
    <n v="11345.46"/>
    <s v="Completed"/>
    <x v="5"/>
    <s v="Grocery"/>
    <s v="SMB"/>
    <n v="65"/>
    <x v="3"/>
    <n v="1203"/>
  </r>
  <r>
    <s v="ORD-00648"/>
    <d v="2024-09-14T00:00:00"/>
    <s v="CUST-0092"/>
    <x v="31"/>
    <s v="R025"/>
    <n v="5"/>
    <n v="3780"/>
    <n v="21.5"/>
    <n v="14836.5"/>
    <s v="Completed"/>
    <x v="4"/>
    <s v="Grocery"/>
    <s v="SMB"/>
    <n v="28"/>
    <x v="2"/>
    <n v="2436"/>
  </r>
  <r>
    <s v="ORD-00649"/>
    <d v="2024-08-01T00:00:00"/>
    <s v="CUST-0091"/>
    <x v="29"/>
    <s v="R019"/>
    <n v="10"/>
    <n v="660"/>
    <n v="18.8"/>
    <n v="5359.2"/>
    <s v="Completed"/>
    <x v="2"/>
    <s v="Home"/>
    <s v="Retail"/>
    <n v="55"/>
    <x v="3"/>
    <n v="329"/>
  </r>
  <r>
    <s v="ORD-00650"/>
    <d v="2024-05-01T00:00:00"/>
    <s v="CUST-0155"/>
    <x v="30"/>
    <s v="R024"/>
    <n v="10"/>
    <n v="3730"/>
    <n v="15.1"/>
    <n v="31667.7"/>
    <s v="Completed"/>
    <x v="0"/>
    <s v="Home"/>
    <s v="Corporate"/>
    <n v="40"/>
    <x v="2"/>
    <n v="2135"/>
  </r>
  <r>
    <s v="ORD-00651"/>
    <d v="2024-09-24T00:00:00"/>
    <s v="CUST-0280"/>
    <x v="46"/>
    <s v="R021"/>
    <n v="6"/>
    <n v="4060"/>
    <n v="20.100000000000001"/>
    <n v="19463.64"/>
    <s v="Pending"/>
    <x v="2"/>
    <s v="Grocery"/>
    <s v="SMB"/>
    <n v="27"/>
    <x v="3"/>
    <n v="2911"/>
  </r>
  <r>
    <s v="ORD-00652"/>
    <d v="2024-08-21T00:00:00"/>
    <s v="CUST-0127"/>
    <x v="10"/>
    <s v="R003"/>
    <n v="2"/>
    <n v="2270"/>
    <n v="17.7"/>
    <n v="3736.42"/>
    <s v="Completed"/>
    <x v="4"/>
    <s v="Grocery"/>
    <s v="SMB"/>
    <n v="36"/>
    <x v="0"/>
    <n v="1203"/>
  </r>
  <r>
    <s v="ORD-00653"/>
    <d v="2024-11-14T00:00:00"/>
    <s v="CUST-0077"/>
    <x v="25"/>
    <s v="R028"/>
    <n v="9"/>
    <n v="3570"/>
    <n v="29.9"/>
    <n v="22523.13"/>
    <s v="Completed"/>
    <x v="5"/>
    <s v="Electronics"/>
    <s v="SMB"/>
    <n v="48"/>
    <x v="2"/>
    <n v="1665"/>
  </r>
  <r>
    <s v="ORD-00654"/>
    <d v="2024-08-17T00:00:00"/>
    <s v="CUST-0190"/>
    <x v="45"/>
    <s v="R004"/>
    <n v="7"/>
    <n v="2210"/>
    <n v="25"/>
    <n v="11602.5"/>
    <s v="Completed"/>
    <x v="5"/>
    <s v="Grocery"/>
    <s v="Retail"/>
    <n v="52"/>
    <x v="0"/>
    <n v="1010"/>
  </r>
  <r>
    <s v="ORD-00655"/>
    <d v="2024-03-30T00:00:00"/>
    <s v="CUST-0089"/>
    <x v="6"/>
    <s v="R026"/>
    <n v="2"/>
    <n v="960"/>
    <n v="8.1999999999999993"/>
    <n v="1762.56"/>
    <s v="Cancelled"/>
    <x v="3"/>
    <s v="Sports"/>
    <s v="SMB"/>
    <n v="43"/>
    <x v="2"/>
    <n v="705"/>
  </r>
  <r>
    <s v="ORD-00656"/>
    <d v="2024-04-19T00:00:00"/>
    <s v="CUST-0141"/>
    <x v="56"/>
    <s v="R026"/>
    <n v="9"/>
    <n v="3780"/>
    <n v="28.4"/>
    <n v="24358.32"/>
    <s v="Pending"/>
    <x v="5"/>
    <s v="Sports"/>
    <s v="Corporate"/>
    <n v="22"/>
    <x v="2"/>
    <n v="1860"/>
  </r>
  <r>
    <s v="ORD-00657"/>
    <d v="2024-10-16T00:00:00"/>
    <s v="CUST-0123"/>
    <x v="26"/>
    <s v="R014"/>
    <n v="2"/>
    <n v="5100"/>
    <n v="8.6"/>
    <n v="9322.7999999999993"/>
    <s v="Completed"/>
    <x v="1"/>
    <s v="Beauty"/>
    <s v="Corporate"/>
    <n v="44"/>
    <x v="1"/>
    <n v="2237"/>
  </r>
  <r>
    <s v="ORD-00658"/>
    <d v="2024-05-02T00:00:00"/>
    <s v="CUST-0041"/>
    <x v="19"/>
    <s v="R021"/>
    <n v="4"/>
    <n v="2480"/>
    <n v="16.600000000000001"/>
    <n v="8273.2800000000007"/>
    <s v="Completed"/>
    <x v="4"/>
    <s v="Apparel"/>
    <s v="SMB"/>
    <n v="26"/>
    <x v="3"/>
    <n v="1173"/>
  </r>
  <r>
    <s v="ORD-00659"/>
    <d v="2024-05-31T00:00:00"/>
    <s v="CUST-0257"/>
    <x v="18"/>
    <s v="R018"/>
    <n v="10"/>
    <n v="1080"/>
    <n v="14.5"/>
    <n v="9234"/>
    <s v="Completed"/>
    <x v="3"/>
    <s v="Home"/>
    <s v="Corporate"/>
    <n v="46"/>
    <x v="3"/>
    <n v="519"/>
  </r>
  <r>
    <s v="ORD-00660"/>
    <d v="2024-03-26T00:00:00"/>
    <s v="CUST-0134"/>
    <x v="12"/>
    <s v="R029"/>
    <n v="7"/>
    <n v="2600"/>
    <n v="21"/>
    <n v="14378"/>
    <s v="Completed"/>
    <x v="2"/>
    <s v="Electronics"/>
    <s v="Retail"/>
    <n v="40"/>
    <x v="2"/>
    <n v="1052"/>
  </r>
  <r>
    <s v="ORD-00661"/>
    <d v="2024-11-26T00:00:00"/>
    <s v="CUST-0180"/>
    <x v="12"/>
    <s v="R015"/>
    <n v="7"/>
    <n v="2600"/>
    <n v="6.7"/>
    <n v="16980.599999999999"/>
    <s v="Pending"/>
    <x v="1"/>
    <s v="Electronics"/>
    <s v="Retail"/>
    <n v="36"/>
    <x v="1"/>
    <n v="1052"/>
  </r>
  <r>
    <s v="ORD-00662"/>
    <d v="2024-04-21T00:00:00"/>
    <s v="CUST-0283"/>
    <x v="1"/>
    <s v="R023"/>
    <n v="8"/>
    <n v="820"/>
    <n v="17.8"/>
    <n v="5392.32"/>
    <s v="Pending"/>
    <x v="2"/>
    <s v="Apparel"/>
    <s v="SMB"/>
    <n v="50"/>
    <x v="3"/>
    <n v="391"/>
  </r>
  <r>
    <s v="ORD-00663"/>
    <d v="2024-08-28T00:00:00"/>
    <s v="CUST-0047"/>
    <x v="6"/>
    <s v="R009"/>
    <n v="3"/>
    <n v="960"/>
    <n v="17.8"/>
    <n v="2367.36"/>
    <s v="Completed"/>
    <x v="0"/>
    <s v="Sports"/>
    <s v="Retail"/>
    <n v="49"/>
    <x v="1"/>
    <n v="705"/>
  </r>
  <r>
    <s v="ORD-00664"/>
    <d v="2024-01-10T00:00:00"/>
    <s v="CUST-0175"/>
    <x v="36"/>
    <s v="R023"/>
    <n v="2"/>
    <n v="1540"/>
    <n v="1.8"/>
    <n v="3024.56"/>
    <s v="Cancelled"/>
    <x v="2"/>
    <s v="Beauty"/>
    <s v="Corporate"/>
    <n v="55"/>
    <x v="3"/>
    <n v="647"/>
  </r>
  <r>
    <s v="ORD-00665"/>
    <d v="2024-11-26T00:00:00"/>
    <s v="CUST-0227"/>
    <x v="58"/>
    <s v="R030"/>
    <n v="5"/>
    <n v="6940"/>
    <n v="2.9"/>
    <n v="33693.699999999997"/>
    <s v="Completed"/>
    <x v="4"/>
    <s v="Sports"/>
    <s v="SMB"/>
    <n v="44"/>
    <x v="2"/>
    <n v="2827"/>
  </r>
  <r>
    <s v="ORD-00666"/>
    <d v="2024-08-27T00:00:00"/>
    <s v="CUST-0287"/>
    <x v="36"/>
    <s v="R013"/>
    <n v="5"/>
    <n v="1540"/>
    <n v="28.8"/>
    <n v="5482.4"/>
    <s v="Completed"/>
    <x v="1"/>
    <s v="Beauty"/>
    <s v="SMB"/>
    <n v="53"/>
    <x v="1"/>
    <n v="647"/>
  </r>
  <r>
    <s v="ORD-00667"/>
    <d v="2024-02-04T00:00:00"/>
    <s v="CUST-0004"/>
    <x v="30"/>
    <s v="R012"/>
    <n v="8"/>
    <n v="3730"/>
    <n v="21.1"/>
    <n v="23543.759999999998"/>
    <s v="Completed"/>
    <x v="2"/>
    <s v="Home"/>
    <s v="Retail"/>
    <n v="53"/>
    <x v="1"/>
    <n v="2135"/>
  </r>
  <r>
    <s v="ORD-00668"/>
    <d v="2024-12-09T00:00:00"/>
    <s v="CUST-0234"/>
    <x v="28"/>
    <s v="R023"/>
    <n v="7"/>
    <n v="2760"/>
    <n v="1.2"/>
    <n v="19088.16"/>
    <s v="Cancelled"/>
    <x v="4"/>
    <s v="Grocery"/>
    <s v="Retail"/>
    <n v="34"/>
    <x v="3"/>
    <n v="1435"/>
  </r>
  <r>
    <s v="ORD-00669"/>
    <d v="2024-05-19T00:00:00"/>
    <s v="CUST-0255"/>
    <x v="53"/>
    <s v="R020"/>
    <n v="3"/>
    <n v="3970"/>
    <n v="18.3"/>
    <n v="9730.4699999999993"/>
    <s v="Completed"/>
    <x v="1"/>
    <s v="Electronics"/>
    <s v="Corporate"/>
    <n v="51"/>
    <x v="3"/>
    <n v="2865"/>
  </r>
  <r>
    <s v="ORD-00670"/>
    <d v="2024-04-11T00:00:00"/>
    <s v="CUST-0092"/>
    <x v="31"/>
    <s v="R023"/>
    <n v="4"/>
    <n v="3780"/>
    <n v="24.6"/>
    <n v="11400.48"/>
    <s v="Completed"/>
    <x v="4"/>
    <s v="Grocery"/>
    <s v="SMB"/>
    <n v="28"/>
    <x v="3"/>
    <n v="2436"/>
  </r>
  <r>
    <s v="ORD-00671"/>
    <d v="2024-01-04T00:00:00"/>
    <s v="CUST-0037"/>
    <x v="20"/>
    <s v="R008"/>
    <n v="10"/>
    <n v="2720"/>
    <n v="12.8"/>
    <n v="23718.400000000001"/>
    <s v="Completed"/>
    <x v="4"/>
    <s v="Apparel"/>
    <s v="Retail"/>
    <n v="52"/>
    <x v="0"/>
    <n v="1962"/>
  </r>
  <r>
    <s v="ORD-00672"/>
    <d v="2024-03-20T00:00:00"/>
    <s v="CUST-0208"/>
    <x v="53"/>
    <s v="R017"/>
    <n v="5"/>
    <n v="3970"/>
    <n v="5.9"/>
    <n v="18678.849999999999"/>
    <s v="Completed"/>
    <x v="3"/>
    <s v="Electronics"/>
    <s v="Retail"/>
    <n v="49"/>
    <x v="3"/>
    <n v="2865"/>
  </r>
  <r>
    <s v="ORD-00673"/>
    <d v="2024-11-05T00:00:00"/>
    <s v="CUST-0008"/>
    <x v="1"/>
    <s v="R011"/>
    <n v="3"/>
    <n v="820"/>
    <n v="19.399999999999999"/>
    <n v="1982.76"/>
    <s v="Completed"/>
    <x v="0"/>
    <s v="Apparel"/>
    <s v="SMB"/>
    <n v="39"/>
    <x v="1"/>
    <n v="391"/>
  </r>
  <r>
    <s v="ORD-00674"/>
    <d v="2024-06-28T00:00:00"/>
    <s v="CUST-0050"/>
    <x v="43"/>
    <s v="R010"/>
    <n v="7"/>
    <n v="620"/>
    <n v="9.9"/>
    <n v="3910.34"/>
    <s v="Completed"/>
    <x v="3"/>
    <s v="Apparel"/>
    <s v="Retail"/>
    <n v="37"/>
    <x v="1"/>
    <n v="396"/>
  </r>
  <r>
    <s v="ORD-00675"/>
    <d v="2024-01-27T00:00:00"/>
    <s v="CUST-0166"/>
    <x v="52"/>
    <s v="R027"/>
    <n v="8"/>
    <n v="2290"/>
    <n v="18.3"/>
    <n v="14967.44"/>
    <s v="Completed"/>
    <x v="5"/>
    <s v="Beauty"/>
    <s v="Retail"/>
    <n v="31"/>
    <x v="2"/>
    <n v="1219"/>
  </r>
  <r>
    <s v="ORD-00676"/>
    <d v="2024-03-13T00:00:00"/>
    <s v="CUST-0271"/>
    <x v="9"/>
    <s v="R025"/>
    <n v="3"/>
    <n v="970"/>
    <n v="18.399999999999999"/>
    <n v="2374.56"/>
    <s v="Completed"/>
    <x v="4"/>
    <s v="Grocery"/>
    <s v="Corporate"/>
    <n v="41"/>
    <x v="2"/>
    <n v="434"/>
  </r>
  <r>
    <s v="ORD-00677"/>
    <d v="2024-05-07T00:00:00"/>
    <s v="CUST-0034"/>
    <x v="5"/>
    <s v="R014"/>
    <n v="2"/>
    <n v="370"/>
    <n v="8.9"/>
    <n v="674.14"/>
    <s v="Completed"/>
    <x v="2"/>
    <s v="Home"/>
    <s v="Retail"/>
    <n v="47"/>
    <x v="1"/>
    <n v="288"/>
  </r>
  <r>
    <s v="ORD-00678"/>
    <d v="2024-12-06T00:00:00"/>
    <s v="CUST-0016"/>
    <x v="7"/>
    <s v="R007"/>
    <n v="1"/>
    <n v="1430"/>
    <n v="5.9"/>
    <n v="1345.63"/>
    <s v="Cancelled"/>
    <x v="2"/>
    <s v="Electronics"/>
    <s v="SMB"/>
    <n v="26"/>
    <x v="0"/>
    <n v="861"/>
  </r>
  <r>
    <s v="ORD-00679"/>
    <d v="2024-07-21T00:00:00"/>
    <s v="CUST-0039"/>
    <x v="15"/>
    <s v="R030"/>
    <n v="2"/>
    <n v="2400"/>
    <n v="29.1"/>
    <n v="3403.2"/>
    <s v="Completed"/>
    <x v="4"/>
    <s v="Sports"/>
    <s v="Retail"/>
    <n v="37"/>
    <x v="2"/>
    <n v="974"/>
  </r>
  <r>
    <s v="ORD-00680"/>
    <d v="2024-02-15T00:00:00"/>
    <s v="CUST-0253"/>
    <x v="7"/>
    <s v="R011"/>
    <n v="9"/>
    <n v="1430"/>
    <n v="6"/>
    <n v="12097.8"/>
    <s v="Completed"/>
    <x v="2"/>
    <s v="Electronics"/>
    <s v="SMB"/>
    <n v="53"/>
    <x v="1"/>
    <n v="861"/>
  </r>
  <r>
    <s v="ORD-00681"/>
    <d v="2024-08-06T00:00:00"/>
    <s v="CUST-0295"/>
    <x v="20"/>
    <s v="R007"/>
    <n v="8"/>
    <n v="2720"/>
    <n v="25.7"/>
    <n v="16167.68"/>
    <s v="Completed"/>
    <x v="2"/>
    <s v="Apparel"/>
    <s v="SMB"/>
    <n v="48"/>
    <x v="0"/>
    <n v="1962"/>
  </r>
  <r>
    <s v="ORD-00682"/>
    <d v="2024-10-07T00:00:00"/>
    <s v="CUST-0138"/>
    <x v="58"/>
    <s v="R027"/>
    <n v="6"/>
    <n v="6940"/>
    <n v="25.7"/>
    <n v="30938.52"/>
    <s v="Completed"/>
    <x v="1"/>
    <s v="Sports"/>
    <s v="Retail"/>
    <n v="24"/>
    <x v="2"/>
    <n v="2827"/>
  </r>
  <r>
    <s v="ORD-00683"/>
    <d v="2024-06-29T00:00:00"/>
    <s v="CUST-0002"/>
    <x v="0"/>
    <s v="R007"/>
    <n v="3"/>
    <n v="3620"/>
    <n v="29.7"/>
    <n v="7634.58"/>
    <s v="Completed"/>
    <x v="0"/>
    <s v="Apparel"/>
    <s v="Corporate"/>
    <n v="42"/>
    <x v="0"/>
    <n v="2509"/>
  </r>
  <r>
    <s v="ORD-00684"/>
    <d v="2024-11-19T00:00:00"/>
    <s v="CUST-0287"/>
    <x v="11"/>
    <s v="R025"/>
    <n v="8"/>
    <n v="2640"/>
    <n v="24.4"/>
    <n v="15966.72"/>
    <s v="Completed"/>
    <x v="1"/>
    <s v="Electronics"/>
    <s v="SMB"/>
    <n v="53"/>
    <x v="2"/>
    <n v="1149"/>
  </r>
  <r>
    <s v="ORD-00685"/>
    <d v="2024-02-27T00:00:00"/>
    <s v="CUST-0279"/>
    <x v="8"/>
    <s v="R006"/>
    <n v="3"/>
    <n v="5490"/>
    <n v="13.5"/>
    <n v="14246.55"/>
    <s v="Completed"/>
    <x v="3"/>
    <s v="Home"/>
    <s v="Retail"/>
    <n v="56"/>
    <x v="0"/>
    <n v="2549"/>
  </r>
  <r>
    <s v="ORD-00686"/>
    <d v="2024-05-01T00:00:00"/>
    <s v="CUST-0008"/>
    <x v="54"/>
    <s v="R017"/>
    <n v="3"/>
    <n v="5080"/>
    <n v="9.3000000000000007"/>
    <n v="13822.68"/>
    <s v="Completed"/>
    <x v="0"/>
    <s v="Home"/>
    <s v="SMB"/>
    <n v="39"/>
    <x v="3"/>
    <n v="2459"/>
  </r>
  <r>
    <s v="ORD-00687"/>
    <d v="2024-08-11T00:00:00"/>
    <s v="CUST-0092"/>
    <x v="52"/>
    <s v="R030"/>
    <n v="4"/>
    <n v="2290"/>
    <n v="24.4"/>
    <n v="6924.96"/>
    <s v="Completed"/>
    <x v="4"/>
    <s v="Beauty"/>
    <s v="SMB"/>
    <n v="28"/>
    <x v="2"/>
    <n v="1219"/>
  </r>
  <r>
    <s v="ORD-00688"/>
    <d v="2024-06-20T00:00:00"/>
    <s v="CUST-0106"/>
    <x v="44"/>
    <s v="R011"/>
    <n v="10"/>
    <n v="2030"/>
    <n v="13.6"/>
    <n v="17539.2"/>
    <s v="Pending"/>
    <x v="0"/>
    <s v="Home"/>
    <s v="Retail"/>
    <n v="22"/>
    <x v="1"/>
    <n v="1143"/>
  </r>
  <r>
    <s v="ORD-00689"/>
    <d v="2024-11-11T00:00:00"/>
    <s v="CUST-0010"/>
    <x v="7"/>
    <s v="R012"/>
    <n v="10"/>
    <n v="1430"/>
    <n v="16.100000000000001"/>
    <n v="11997.7"/>
    <s v="Cancelled"/>
    <x v="3"/>
    <s v="Electronics"/>
    <s v="SMB"/>
    <n v="61"/>
    <x v="1"/>
    <n v="861"/>
  </r>
  <r>
    <s v="ORD-00690"/>
    <d v="2024-03-06T00:00:00"/>
    <s v="CUST-0179"/>
    <x v="31"/>
    <s v="R009"/>
    <n v="1"/>
    <n v="3780"/>
    <n v="22.7"/>
    <n v="2921.94"/>
    <s v="Completed"/>
    <x v="3"/>
    <s v="Grocery"/>
    <s v="SMB"/>
    <n v="54"/>
    <x v="1"/>
    <n v="2436"/>
  </r>
  <r>
    <s v="ORD-00691"/>
    <d v="2024-05-31T00:00:00"/>
    <s v="CUST-0216"/>
    <x v="4"/>
    <s v="R021"/>
    <n v="10"/>
    <n v="3160"/>
    <n v="13.4"/>
    <n v="27365.599999999999"/>
    <s v="Completed"/>
    <x v="3"/>
    <s v="Apparel"/>
    <s v="Retail"/>
    <n v="50"/>
    <x v="3"/>
    <n v="1886"/>
  </r>
  <r>
    <s v="ORD-00692"/>
    <d v="2024-05-10T00:00:00"/>
    <s v="CUST-0172"/>
    <x v="7"/>
    <s v="R003"/>
    <n v="2"/>
    <n v="1430"/>
    <n v="7.4"/>
    <n v="2648.36"/>
    <s v="Completed"/>
    <x v="0"/>
    <s v="Electronics"/>
    <s v="Retail"/>
    <n v="65"/>
    <x v="0"/>
    <n v="861"/>
  </r>
  <r>
    <s v="ORD-00693"/>
    <d v="2024-12-14T00:00:00"/>
    <s v="CUST-0152"/>
    <x v="4"/>
    <s v="R006"/>
    <n v="5"/>
    <n v="3160"/>
    <n v="3.6"/>
    <n v="15231.2"/>
    <s v="Pending"/>
    <x v="4"/>
    <s v="Apparel"/>
    <s v="SMB"/>
    <n v="64"/>
    <x v="0"/>
    <n v="1886"/>
  </r>
  <r>
    <s v="ORD-00694"/>
    <d v="2024-08-17T00:00:00"/>
    <s v="CUST-0154"/>
    <x v="52"/>
    <s v="R004"/>
    <n v="2"/>
    <n v="2290"/>
    <n v="28.2"/>
    <n v="3288.44"/>
    <s v="Completed"/>
    <x v="0"/>
    <s v="Beauty"/>
    <s v="Retail"/>
    <n v="36"/>
    <x v="0"/>
    <n v="1219"/>
  </r>
  <r>
    <s v="ORD-00695"/>
    <d v="2024-03-15T00:00:00"/>
    <s v="CUST-0001"/>
    <x v="55"/>
    <s v="R015"/>
    <n v="5"/>
    <n v="3450"/>
    <n v="18.100000000000001"/>
    <n v="14127.75"/>
    <s v="Cancelled"/>
    <x v="0"/>
    <s v="Apparel"/>
    <s v="Retail"/>
    <n v="36"/>
    <x v="1"/>
    <n v="1748"/>
  </r>
  <r>
    <s v="ORD-00696"/>
    <d v="2024-05-27T00:00:00"/>
    <s v="CUST-0069"/>
    <x v="59"/>
    <s v="R001"/>
    <n v="1"/>
    <n v="3560"/>
    <n v="18.7"/>
    <n v="2894.28"/>
    <s v="Completed"/>
    <x v="1"/>
    <s v="Apparel"/>
    <s v="Retail"/>
    <n v="51"/>
    <x v="0"/>
    <n v="2629"/>
  </r>
  <r>
    <s v="ORD-00697"/>
    <d v="2024-05-14T00:00:00"/>
    <s v="CUST-0200"/>
    <x v="15"/>
    <s v="R009"/>
    <n v="9"/>
    <n v="2400"/>
    <n v="18.5"/>
    <n v="17604"/>
    <s v="Completed"/>
    <x v="5"/>
    <s v="Sports"/>
    <s v="Corporate"/>
    <n v="46"/>
    <x v="1"/>
    <n v="974"/>
  </r>
  <r>
    <s v="ORD-00698"/>
    <d v="2024-05-03T00:00:00"/>
    <s v="CUST-0164"/>
    <x v="35"/>
    <s v="R023"/>
    <n v="9"/>
    <n v="3870"/>
    <n v="6.9"/>
    <n v="32426.73"/>
    <s v="Refunded"/>
    <x v="1"/>
    <s v="Electronics"/>
    <s v="Retail"/>
    <n v="60"/>
    <x v="3"/>
    <n v="1559"/>
  </r>
  <r>
    <s v="ORD-00699"/>
    <d v="2024-11-24T00:00:00"/>
    <s v="CUST-0004"/>
    <x v="3"/>
    <s v="R022"/>
    <n v="5"/>
    <n v="3660"/>
    <n v="11.7"/>
    <n v="16158.9"/>
    <s v="Completed"/>
    <x v="2"/>
    <s v="Grocery"/>
    <s v="Retail"/>
    <n v="53"/>
    <x v="3"/>
    <n v="2214"/>
  </r>
  <r>
    <s v="ORD-00700"/>
    <d v="2024-02-24T00:00:00"/>
    <s v="CUST-0224"/>
    <x v="18"/>
    <s v="R030"/>
    <n v="4"/>
    <n v="1080"/>
    <n v="17.5"/>
    <n v="3564"/>
    <s v="Completed"/>
    <x v="1"/>
    <s v="Home"/>
    <s v="Corporate"/>
    <n v="24"/>
    <x v="2"/>
    <n v="519"/>
  </r>
  <r>
    <s v="ORD-01185"/>
    <d v="2024-01-06T00:00:00"/>
    <s v="CUST-0037"/>
    <x v="56"/>
    <s v="R006"/>
    <n v="6"/>
    <n v="3780"/>
    <n v="27.8"/>
    <n v="16374.96"/>
    <s v="Completed"/>
    <x v="4"/>
    <s v="Sports"/>
    <s v="Retail"/>
    <n v="52"/>
    <x v="0"/>
    <n v="1860"/>
  </r>
  <r>
    <s v="ORD-00702"/>
    <d v="2024-08-17T00:00:00"/>
    <s v="CUST-0179"/>
    <x v="19"/>
    <s v="R022"/>
    <n v="8"/>
    <n v="2480"/>
    <n v="15.7"/>
    <n v="16725.12"/>
    <s v="Pending"/>
    <x v="3"/>
    <s v="Apparel"/>
    <s v="SMB"/>
    <n v="54"/>
    <x v="3"/>
    <n v="1173"/>
  </r>
  <r>
    <s v="ORD-00703"/>
    <d v="2024-04-27T00:00:00"/>
    <s v="CUST-0018"/>
    <x v="23"/>
    <s v="R014"/>
    <n v="10"/>
    <n v="1010"/>
    <n v="0.1"/>
    <n v="10089.9"/>
    <s v="Pending"/>
    <x v="0"/>
    <s v="Sports"/>
    <s v="SMB"/>
    <n v="54"/>
    <x v="1"/>
    <n v="516"/>
  </r>
  <r>
    <s v="ORD-00704"/>
    <d v="2024-04-24T00:00:00"/>
    <s v="CUST-0184"/>
    <x v="2"/>
    <s v="R015"/>
    <n v="3"/>
    <n v="470"/>
    <n v="1.1000000000000001"/>
    <n v="1394.49"/>
    <s v="Completed"/>
    <x v="0"/>
    <s v="Sports"/>
    <s v="Retail"/>
    <n v="63"/>
    <x v="1"/>
    <n v="302"/>
  </r>
  <r>
    <s v="ORD-00705"/>
    <d v="2024-07-01T00:00:00"/>
    <s v="CUST-0066"/>
    <x v="10"/>
    <s v="R019"/>
    <n v="4"/>
    <n v="2270"/>
    <n v="17.100000000000001"/>
    <n v="7527.32"/>
    <s v="Completed"/>
    <x v="2"/>
    <s v="Grocery"/>
    <s v="Retail"/>
    <n v="24"/>
    <x v="3"/>
    <n v="1203"/>
  </r>
  <r>
    <s v="ORD-00706"/>
    <d v="2024-10-23T00:00:00"/>
    <s v="CUST-0053"/>
    <x v="28"/>
    <s v="R010"/>
    <n v="7"/>
    <n v="2760"/>
    <n v="17.100000000000001"/>
    <n v="16016.28"/>
    <s v="Completed"/>
    <x v="2"/>
    <s v="Grocery"/>
    <s v="Retail"/>
    <n v="53"/>
    <x v="1"/>
    <n v="1435"/>
  </r>
  <r>
    <s v="ORD-00707"/>
    <d v="2024-08-26T00:00:00"/>
    <s v="CUST-0278"/>
    <x v="17"/>
    <s v="R008"/>
    <n v="6"/>
    <n v="3450"/>
    <n v="6.6"/>
    <n v="19333.8"/>
    <s v="Refunded"/>
    <x v="5"/>
    <s v="Sports"/>
    <s v="Retail"/>
    <n v="41"/>
    <x v="0"/>
    <n v="2467"/>
  </r>
  <r>
    <s v="ORD-00708"/>
    <d v="2024-12-04T00:00:00"/>
    <s v="CUST-0285"/>
    <x v="3"/>
    <s v="R007"/>
    <n v="8"/>
    <n v="3660"/>
    <n v="7.2"/>
    <n v="27171.84"/>
    <s v="Completed"/>
    <x v="5"/>
    <s v="Grocery"/>
    <s v="Retail"/>
    <n v="22"/>
    <x v="0"/>
    <n v="2214"/>
  </r>
  <r>
    <s v="ORD-00709"/>
    <d v="2024-09-16T00:00:00"/>
    <s v="CUST-0060"/>
    <x v="38"/>
    <s v="R030"/>
    <n v="4"/>
    <n v="1220"/>
    <n v="24.3"/>
    <n v="3694.16"/>
    <s v="Cancelled"/>
    <x v="0"/>
    <s v="Electronics"/>
    <s v="Retail"/>
    <n v="39"/>
    <x v="2"/>
    <n v="517"/>
  </r>
  <r>
    <s v="ORD-00710"/>
    <d v="2024-11-14T00:00:00"/>
    <s v="CUST-0236"/>
    <x v="48"/>
    <s v="R007"/>
    <n v="2"/>
    <n v="5410"/>
    <n v="0.9"/>
    <n v="10722.62"/>
    <s v="Pending"/>
    <x v="5"/>
    <s v="Sports"/>
    <s v="SMB"/>
    <n v="28"/>
    <x v="0"/>
    <n v="2265"/>
  </r>
  <r>
    <s v="ORD-00711"/>
    <d v="2024-01-31T00:00:00"/>
    <s v="CUST-0106"/>
    <x v="44"/>
    <s v="R009"/>
    <n v="5"/>
    <n v="2030"/>
    <n v="25.2"/>
    <n v="7592.2"/>
    <s v="Completed"/>
    <x v="0"/>
    <s v="Home"/>
    <s v="Retail"/>
    <n v="22"/>
    <x v="1"/>
    <n v="1143"/>
  </r>
  <r>
    <s v="ORD-00712"/>
    <d v="2024-03-12T00:00:00"/>
    <s v="CUST-0085"/>
    <x v="38"/>
    <s v="R012"/>
    <n v="5"/>
    <n v="1220"/>
    <n v="2.6"/>
    <n v="5941.4"/>
    <s v="Completed"/>
    <x v="1"/>
    <s v="Electronics"/>
    <s v="Retail"/>
    <n v="26"/>
    <x v="1"/>
    <n v="517"/>
  </r>
  <r>
    <s v="ORD-00713"/>
    <d v="2024-11-04T00:00:00"/>
    <s v="CUST-0075"/>
    <x v="41"/>
    <s v="R006"/>
    <n v="4"/>
    <n v="2660"/>
    <n v="19.100000000000001"/>
    <n v="8607.76"/>
    <s v="Refunded"/>
    <x v="3"/>
    <s v="Electronics"/>
    <s v="Corporate"/>
    <n v="55"/>
    <x v="0"/>
    <n v="1259"/>
  </r>
  <r>
    <s v="ORD-00714"/>
    <d v="2024-02-29T00:00:00"/>
    <s v="CUST-0169"/>
    <x v="37"/>
    <s v="R016"/>
    <n v="3"/>
    <n v="4070"/>
    <n v="25.2"/>
    <n v="9133.08"/>
    <s v="Completed"/>
    <x v="4"/>
    <s v="Grocery"/>
    <s v="SMB"/>
    <n v="42"/>
    <x v="1"/>
    <n v="2027"/>
  </r>
  <r>
    <s v="ORD-00715"/>
    <d v="2024-06-18T00:00:00"/>
    <s v="CUST-0166"/>
    <x v="51"/>
    <s v="R014"/>
    <n v="10"/>
    <n v="960"/>
    <n v="0.3"/>
    <n v="9571.2000000000007"/>
    <s v="Completed"/>
    <x v="5"/>
    <s v="Beauty"/>
    <s v="Retail"/>
    <n v="31"/>
    <x v="1"/>
    <n v="675"/>
  </r>
  <r>
    <s v="ORD-00716"/>
    <d v="2024-05-19T00:00:00"/>
    <s v="CUST-0065"/>
    <x v="30"/>
    <s v="R029"/>
    <n v="2"/>
    <n v="3730"/>
    <n v="29.9"/>
    <n v="5229.46"/>
    <s v="Completed"/>
    <x v="1"/>
    <s v="Home"/>
    <s v="Corporate"/>
    <n v="49"/>
    <x v="2"/>
    <n v="2135"/>
  </r>
  <r>
    <s v="ORD-00717"/>
    <d v="2024-10-27T00:00:00"/>
    <s v="CUST-0102"/>
    <x v="6"/>
    <s v="R004"/>
    <n v="9"/>
    <n v="960"/>
    <n v="1.9"/>
    <n v="8475.84"/>
    <s v="Completed"/>
    <x v="1"/>
    <s v="Sports"/>
    <s v="SMB"/>
    <n v="62"/>
    <x v="0"/>
    <n v="705"/>
  </r>
  <r>
    <s v="ORD-00718"/>
    <d v="2024-06-11T00:00:00"/>
    <s v="CUST-0052"/>
    <x v="55"/>
    <s v="R004"/>
    <n v="2"/>
    <n v="3450"/>
    <n v="22.9"/>
    <n v="5319.9"/>
    <s v="Pending"/>
    <x v="0"/>
    <s v="Apparel"/>
    <s v="Retail"/>
    <n v="38"/>
    <x v="0"/>
    <n v="1748"/>
  </r>
  <r>
    <s v="ORD-00719"/>
    <d v="2024-11-20T00:00:00"/>
    <s v="CUST-0130"/>
    <x v="48"/>
    <s v="R010"/>
    <n v="3"/>
    <n v="5410"/>
    <n v="15.5"/>
    <n v="13714.35"/>
    <s v="Completed"/>
    <x v="4"/>
    <s v="Sports"/>
    <s v="Corporate"/>
    <n v="41"/>
    <x v="1"/>
    <n v="2265"/>
  </r>
  <r>
    <s v="ORD-00720"/>
    <d v="2024-06-05T00:00:00"/>
    <s v="CUST-0284"/>
    <x v="22"/>
    <s v="R019"/>
    <n v="8"/>
    <n v="3350"/>
    <n v="18.399999999999999"/>
    <n v="21868.799999999999"/>
    <s v="Completed"/>
    <x v="5"/>
    <s v="Beauty"/>
    <s v="SMB"/>
    <n v="65"/>
    <x v="3"/>
    <n v="1728"/>
  </r>
  <r>
    <s v="ORD-00721"/>
    <d v="2024-11-15T00:00:00"/>
    <s v="CUST-0053"/>
    <x v="20"/>
    <s v="R008"/>
    <n v="5"/>
    <n v="2720"/>
    <n v="17.3"/>
    <n v="11247.2"/>
    <s v="Cancelled"/>
    <x v="2"/>
    <s v="Apparel"/>
    <s v="Retail"/>
    <n v="53"/>
    <x v="0"/>
    <n v="1962"/>
  </r>
  <r>
    <s v="ORD-00722"/>
    <d v="2024-04-21T00:00:00"/>
    <s v="CUST-0293"/>
    <x v="3"/>
    <s v="R017"/>
    <n v="8"/>
    <n v="3660"/>
    <n v="28.8"/>
    <n v="20847.36"/>
    <s v="Completed"/>
    <x v="4"/>
    <s v="Grocery"/>
    <s v="Retail"/>
    <n v="27"/>
    <x v="3"/>
    <n v="2214"/>
  </r>
  <r>
    <s v="ORD-00723"/>
    <d v="2024-08-26T00:00:00"/>
    <s v="CUST-0242"/>
    <x v="42"/>
    <s v="R013"/>
    <n v="6"/>
    <n v="300"/>
    <n v="23.9"/>
    <n v="1369.8"/>
    <s v="Cancelled"/>
    <x v="1"/>
    <s v="Electronics"/>
    <s v="SMB"/>
    <n v="59"/>
    <x v="1"/>
    <n v="128"/>
  </r>
  <r>
    <s v="ORD-00724"/>
    <d v="2024-09-13T00:00:00"/>
    <s v="CUST-0226"/>
    <x v="52"/>
    <s v="R026"/>
    <n v="3"/>
    <n v="2290"/>
    <n v="2.4"/>
    <n v="6705.12"/>
    <s v="Completed"/>
    <x v="1"/>
    <s v="Beauty"/>
    <s v="Corporate"/>
    <n v="52"/>
    <x v="2"/>
    <n v="1219"/>
  </r>
  <r>
    <s v="ORD-00725"/>
    <d v="2024-04-21T00:00:00"/>
    <s v="CUST-0005"/>
    <x v="24"/>
    <s v="R014"/>
    <n v="6"/>
    <n v="4880"/>
    <n v="11.1"/>
    <n v="26029.919999999998"/>
    <s v="Pending"/>
    <x v="1"/>
    <s v="Beauty"/>
    <s v="Corporate"/>
    <n v="52"/>
    <x v="1"/>
    <n v="2768"/>
  </r>
  <r>
    <s v="ORD-00726"/>
    <d v="2024-09-27T00:00:00"/>
    <s v="CUST-0211"/>
    <x v="42"/>
    <s v="R007"/>
    <n v="5"/>
    <n v="300"/>
    <n v="19.399999999999999"/>
    <n v="1209"/>
    <s v="Completed"/>
    <x v="4"/>
    <s v="Electronics"/>
    <s v="Retail"/>
    <n v="36"/>
    <x v="0"/>
    <n v="128"/>
  </r>
  <r>
    <s v="ORD-00727"/>
    <d v="2024-12-09T00:00:00"/>
    <s v="CUST-0229"/>
    <x v="41"/>
    <s v="R030"/>
    <n v="3"/>
    <n v="2660"/>
    <n v="28.5"/>
    <n v="5705.7"/>
    <s v="Pending"/>
    <x v="5"/>
    <s v="Electronics"/>
    <s v="SMB"/>
    <n v="25"/>
    <x v="2"/>
    <n v="1259"/>
  </r>
  <r>
    <s v="ORD-00728"/>
    <d v="2024-05-22T00:00:00"/>
    <s v="CUST-0037"/>
    <x v="57"/>
    <s v="R024"/>
    <n v="7"/>
    <n v="1090"/>
    <n v="10.3"/>
    <n v="6844.11"/>
    <s v="Completed"/>
    <x v="4"/>
    <s v="Home"/>
    <s v="Retail"/>
    <n v="52"/>
    <x v="2"/>
    <n v="464"/>
  </r>
  <r>
    <s v="ORD-00729"/>
    <d v="2024-02-28T00:00:00"/>
    <s v="CUST-0059"/>
    <x v="7"/>
    <s v="R012"/>
    <n v="9"/>
    <n v="1430"/>
    <n v="12.1"/>
    <n v="11312.73"/>
    <s v="Cancelled"/>
    <x v="0"/>
    <s v="Electronics"/>
    <s v="Corporate"/>
    <n v="29"/>
    <x v="1"/>
    <n v="861"/>
  </r>
  <r>
    <s v="ORD-00730"/>
    <d v="2024-02-22T00:00:00"/>
    <s v="CUST-0222"/>
    <x v="11"/>
    <s v="R005"/>
    <n v="5"/>
    <n v="2640"/>
    <n v="26.8"/>
    <n v="9662.4"/>
    <s v="Completed"/>
    <x v="1"/>
    <s v="Electronics"/>
    <s v="Retail"/>
    <n v="37"/>
    <x v="0"/>
    <n v="1149"/>
  </r>
  <r>
    <s v="ORD-00731"/>
    <d v="2024-07-25T00:00:00"/>
    <s v="CUST-0157"/>
    <x v="20"/>
    <s v="R001"/>
    <n v="8"/>
    <n v="2720"/>
    <n v="17.5"/>
    <n v="17952"/>
    <s v="Completed"/>
    <x v="0"/>
    <s v="Apparel"/>
    <s v="Corporate"/>
    <n v="52"/>
    <x v="0"/>
    <n v="1962"/>
  </r>
  <r>
    <s v="ORD-00732"/>
    <d v="2024-08-16T00:00:00"/>
    <s v="CUST-0027"/>
    <x v="32"/>
    <s v="R016"/>
    <n v="9"/>
    <n v="3640"/>
    <n v="3.6"/>
    <n v="31580.639999999999"/>
    <s v="Completed"/>
    <x v="5"/>
    <s v="Apparel"/>
    <s v="Corporate"/>
    <n v="52"/>
    <x v="1"/>
    <n v="2611"/>
  </r>
  <r>
    <s v="ORD-00733"/>
    <d v="2024-09-19T00:00:00"/>
    <s v="CUST-9846"/>
    <x v="33"/>
    <s v="R021"/>
    <n v="7"/>
    <n v="6080"/>
    <n v="23.6"/>
    <n v="32515.84"/>
    <s v="Completed"/>
    <x v="3"/>
    <s v="Beauty"/>
    <e v="#N/A"/>
    <e v="#N/A"/>
    <x v="3"/>
    <n v="2617"/>
  </r>
  <r>
    <s v="ORD-00734"/>
    <d v="2024-10-19T00:00:00"/>
    <s v="CUST-0011"/>
    <x v="49"/>
    <s v="R015"/>
    <n v="7"/>
    <n v="5330"/>
    <n v="19.7"/>
    <n v="29959.93"/>
    <s v="Cancelled"/>
    <x v="1"/>
    <s v="Electronics"/>
    <s v="Corporate"/>
    <n v="41"/>
    <x v="1"/>
    <n v="2405"/>
  </r>
  <r>
    <s v="ORD-00735"/>
    <d v="2024-10-28T00:00:00"/>
    <s v="CUST-0043"/>
    <x v="39"/>
    <s v="R024"/>
    <n v="5"/>
    <n v="4610"/>
    <n v="3.6"/>
    <n v="22220.2"/>
    <s v="Completed"/>
    <x v="5"/>
    <s v="Home"/>
    <s v="Retail"/>
    <n v="61"/>
    <x v="2"/>
    <n v="1850"/>
  </r>
  <r>
    <s v="ORD-00736"/>
    <d v="2024-01-11T00:00:00"/>
    <s v="CUST-0154"/>
    <x v="49"/>
    <s v="R030"/>
    <n v="9"/>
    <n v="5330"/>
    <n v="22.9"/>
    <n v="36984.870000000003"/>
    <s v="Completed"/>
    <x v="0"/>
    <s v="Electronics"/>
    <s v="Retail"/>
    <n v="36"/>
    <x v="2"/>
    <n v="2405"/>
  </r>
  <r>
    <s v="ORD-00737"/>
    <d v="2024-05-28T00:00:00"/>
    <s v="CUST-0163"/>
    <x v="33"/>
    <s v="R018"/>
    <n v="5"/>
    <n v="6080"/>
    <n v="6"/>
    <n v="28576"/>
    <s v="Refunded"/>
    <x v="0"/>
    <s v="Beauty"/>
    <s v="Retail"/>
    <n v="49"/>
    <x v="3"/>
    <n v="2617"/>
  </r>
  <r>
    <s v="ORD-00738"/>
    <d v="2024-01-08T00:00:00"/>
    <s v="CUST-0299"/>
    <x v="32"/>
    <s v="R017"/>
    <n v="7"/>
    <n v="3640"/>
    <n v="5.5"/>
    <n v="24078.6"/>
    <s v="Completed"/>
    <x v="3"/>
    <s v="Apparel"/>
    <s v="Corporate"/>
    <n v="51"/>
    <x v="3"/>
    <n v="2611"/>
  </r>
  <r>
    <s v="ORD-00739"/>
    <d v="2024-02-14T00:00:00"/>
    <s v="CUST-0240"/>
    <x v="41"/>
    <s v="R013"/>
    <n v="1"/>
    <n v="2660"/>
    <n v="6.1"/>
    <n v="2497.7399999999998"/>
    <s v="Cancelled"/>
    <x v="1"/>
    <s v="Electronics"/>
    <s v="Corporate"/>
    <n v="35"/>
    <x v="1"/>
    <n v="1259"/>
  </r>
  <r>
    <s v="ORD-00740"/>
    <d v="2024-01-09T00:00:00"/>
    <s v="CUST-0291"/>
    <x v="22"/>
    <s v="R015"/>
    <n v="8"/>
    <n v="3350"/>
    <n v="19.5"/>
    <n v="21574"/>
    <s v="Completed"/>
    <x v="0"/>
    <s v="Beauty"/>
    <s v="SMB"/>
    <n v="29"/>
    <x v="1"/>
    <n v="1728"/>
  </r>
  <r>
    <s v="ORD-00741"/>
    <d v="2024-12-22T00:00:00"/>
    <s v="CUST-0243"/>
    <x v="39"/>
    <s v="R019"/>
    <n v="4"/>
    <n v="4610"/>
    <n v="24"/>
    <n v="14014.4"/>
    <s v="Completed"/>
    <x v="0"/>
    <s v="Home"/>
    <s v="SMB"/>
    <n v="44"/>
    <x v="3"/>
    <n v="1850"/>
  </r>
  <r>
    <s v="ORD-00742"/>
    <d v="2024-01-02T00:00:00"/>
    <s v="CUST-0073"/>
    <x v="27"/>
    <s v="R014"/>
    <n v="7"/>
    <n v="2860"/>
    <n v="23.2"/>
    <n v="15375.36"/>
    <s v="Completed"/>
    <x v="0"/>
    <s v="Sports"/>
    <s v="Corporate"/>
    <n v="40"/>
    <x v="1"/>
    <n v="2028"/>
  </r>
  <r>
    <s v="ORD-00743"/>
    <d v="2024-12-18T00:00:00"/>
    <s v="CUST-0154"/>
    <x v="22"/>
    <s v="R013"/>
    <n v="7"/>
    <n v="3350"/>
    <n v="10.6"/>
    <n v="20964.3"/>
    <s v="Pending"/>
    <x v="0"/>
    <s v="Beauty"/>
    <s v="Retail"/>
    <n v="36"/>
    <x v="1"/>
    <n v="1728"/>
  </r>
  <r>
    <s v="ORD-00744"/>
    <d v="2024-10-24T00:00:00"/>
    <s v="CUST-0084"/>
    <x v="45"/>
    <s v="R028"/>
    <n v="5"/>
    <n v="2210"/>
    <n v="12.1"/>
    <n v="9712.9500000000007"/>
    <s v="Completed"/>
    <x v="1"/>
    <s v="Grocery"/>
    <s v="Retail"/>
    <n v="28"/>
    <x v="2"/>
    <n v="1010"/>
  </r>
  <r>
    <s v="ORD-00745"/>
    <d v="2024-02-07T00:00:00"/>
    <s v="CUST-0228"/>
    <x v="16"/>
    <s v="R013"/>
    <n v="1"/>
    <n v="3450"/>
    <n v="19.100000000000001"/>
    <n v="2791.05"/>
    <s v="Pending"/>
    <x v="0"/>
    <s v="Beauty"/>
    <s v="Corporate"/>
    <n v="37"/>
    <x v="1"/>
    <n v="2420"/>
  </r>
  <r>
    <s v="ORD-00746"/>
    <d v="2024-10-22T00:00:00"/>
    <s v="CUST-0232"/>
    <x v="26"/>
    <s v="R028"/>
    <n v="5"/>
    <n v="5100"/>
    <n v="2.8"/>
    <n v="24786"/>
    <s v="Completed"/>
    <x v="5"/>
    <s v="Beauty"/>
    <s v="Retail"/>
    <n v="38"/>
    <x v="2"/>
    <n v="2237"/>
  </r>
  <r>
    <s v="ORD-00747"/>
    <d v="2024-05-11T00:00:00"/>
    <s v="CUST-0129"/>
    <x v="26"/>
    <s v="R003"/>
    <n v="9"/>
    <n v="5100"/>
    <n v="24.4"/>
    <n v="34700.400000000001"/>
    <s v="Completed"/>
    <x v="5"/>
    <s v="Beauty"/>
    <s v="Retail"/>
    <n v="29"/>
    <x v="0"/>
    <n v="2237"/>
  </r>
  <r>
    <s v="ORD-00748"/>
    <d v="2024-10-03T00:00:00"/>
    <s v="CUST-0189"/>
    <x v="29"/>
    <s v="R006"/>
    <n v="9"/>
    <n v="660"/>
    <n v="19.8"/>
    <n v="4763.88"/>
    <s v="Completed"/>
    <x v="1"/>
    <s v="Home"/>
    <s v="Retail"/>
    <n v="41"/>
    <x v="0"/>
    <n v="329"/>
  </r>
  <r>
    <s v="ORD-00749"/>
    <d v="2024-09-14T00:00:00"/>
    <s v="CUST-0122"/>
    <x v="37"/>
    <s v="R006"/>
    <n v="3"/>
    <n v="4070"/>
    <n v="27.1"/>
    <n v="8901.09"/>
    <s v="Completed"/>
    <x v="3"/>
    <s v="Grocery"/>
    <s v="Retail"/>
    <n v="44"/>
    <x v="0"/>
    <n v="2027"/>
  </r>
  <r>
    <s v="ORD-00750"/>
    <d v="2024-07-31T00:00:00"/>
    <s v="CUST-0170"/>
    <x v="47"/>
    <s v="R007"/>
    <n v="2"/>
    <n v="2510"/>
    <n v="29.1"/>
    <n v="3559.18"/>
    <s v="Completed"/>
    <x v="3"/>
    <s v="Apparel"/>
    <s v="SMB"/>
    <n v="22"/>
    <x v="0"/>
    <n v="1075"/>
  </r>
  <r>
    <s v="ORD-00751"/>
    <d v="2024-06-06T00:00:00"/>
    <s v="CUST-0291"/>
    <x v="13"/>
    <s v="R030"/>
    <n v="4"/>
    <n v="3250"/>
    <n v="21.1"/>
    <n v="10257"/>
    <s v="Completed"/>
    <x v="0"/>
    <s v="Home"/>
    <s v="SMB"/>
    <n v="29"/>
    <x v="2"/>
    <n v="1556"/>
  </r>
  <r>
    <s v="ORD-00752"/>
    <d v="2024-11-04T00:00:00"/>
    <s v="CUST-0090"/>
    <x v="5"/>
    <s v="R005"/>
    <n v="3"/>
    <n v="370"/>
    <n v="7.7"/>
    <n v="1024.53"/>
    <s v="Completed"/>
    <x v="4"/>
    <s v="Home"/>
    <s v="Corporate"/>
    <n v="26"/>
    <x v="0"/>
    <n v="288"/>
  </r>
  <r>
    <s v="ORD-00753"/>
    <d v="2024-07-06T00:00:00"/>
    <s v="CUST-0205"/>
    <x v="1"/>
    <s v="R006"/>
    <n v="10"/>
    <n v="820"/>
    <n v="3.5"/>
    <n v="7913"/>
    <s v="Completed"/>
    <x v="0"/>
    <s v="Apparel"/>
    <s v="Corporate"/>
    <n v="29"/>
    <x v="0"/>
    <n v="391"/>
  </r>
  <r>
    <s v="ORD-00754"/>
    <d v="2024-08-27T00:00:00"/>
    <s v="CUST-0192"/>
    <x v="37"/>
    <s v="R029"/>
    <n v="4"/>
    <n v="4070"/>
    <n v="23.8"/>
    <n v="12405.36"/>
    <s v="Completed"/>
    <x v="4"/>
    <s v="Grocery"/>
    <s v="Retail"/>
    <n v="55"/>
    <x v="2"/>
    <n v="2027"/>
  </r>
  <r>
    <s v="ORD-00755"/>
    <d v="2024-03-05T00:00:00"/>
    <s v="CUST-0270"/>
    <x v="50"/>
    <s v="R011"/>
    <n v="1"/>
    <n v="2380"/>
    <n v="19.600000000000001"/>
    <n v="1913.52"/>
    <s v="Cancelled"/>
    <x v="4"/>
    <s v="Grocery"/>
    <s v="Retail"/>
    <n v="29"/>
    <x v="1"/>
    <n v="1182"/>
  </r>
  <r>
    <s v="ORD-00756"/>
    <d v="2024-09-18T00:00:00"/>
    <s v="CUST-0266"/>
    <x v="8"/>
    <s v="R030"/>
    <n v="3"/>
    <n v="5490"/>
    <n v="2.5"/>
    <n v="16058.25"/>
    <s v="Completed"/>
    <x v="0"/>
    <s v="Home"/>
    <s v="Retail"/>
    <n v="65"/>
    <x v="2"/>
    <n v="2549"/>
  </r>
  <r>
    <s v="ORD-00757"/>
    <d v="2024-07-19T00:00:00"/>
    <s v="CUST-0208"/>
    <x v="32"/>
    <s v="R027"/>
    <n v="3"/>
    <n v="3640"/>
    <n v="23.3"/>
    <n v="8375.64"/>
    <s v="Completed"/>
    <x v="3"/>
    <s v="Apparel"/>
    <s v="Retail"/>
    <n v="49"/>
    <x v="2"/>
    <n v="2611"/>
  </r>
  <r>
    <s v="ORD-00758"/>
    <d v="2024-04-06T00:00:00"/>
    <s v="CUST-0224"/>
    <x v="39"/>
    <s v="R018"/>
    <n v="2"/>
    <n v="4610"/>
    <n v="5"/>
    <n v="8759"/>
    <s v="Pending"/>
    <x v="1"/>
    <s v="Home"/>
    <s v="Corporate"/>
    <n v="24"/>
    <x v="3"/>
    <n v="1850"/>
  </r>
  <r>
    <s v="ORD-00759"/>
    <d v="2024-03-18T00:00:00"/>
    <s v="CUST-0264"/>
    <x v="15"/>
    <s v="R001"/>
    <n v="8"/>
    <n v="2400"/>
    <n v="10"/>
    <n v="17280"/>
    <s v="Pending"/>
    <x v="0"/>
    <s v="Sports"/>
    <s v="Retail"/>
    <n v="59"/>
    <x v="0"/>
    <n v="974"/>
  </r>
  <r>
    <s v="ORD-00760"/>
    <d v="2024-11-01T00:00:00"/>
    <s v="CUST-0113"/>
    <x v="22"/>
    <s v="R002"/>
    <n v="7"/>
    <n v="3350"/>
    <n v="23.7"/>
    <n v="17892.349999999999"/>
    <s v="Completed"/>
    <x v="2"/>
    <s v="Beauty"/>
    <s v="Retail"/>
    <n v="30"/>
    <x v="0"/>
    <n v="1728"/>
  </r>
  <r>
    <s v="ORD-00761"/>
    <d v="2024-11-15T00:00:00"/>
    <s v="CUST-0160"/>
    <x v="32"/>
    <s v="R012"/>
    <n v="4"/>
    <n v="3640"/>
    <n v="9.3000000000000007"/>
    <n v="13205.92"/>
    <s v="Cancelled"/>
    <x v="5"/>
    <s v="Apparel"/>
    <s v="Retail"/>
    <n v="27"/>
    <x v="1"/>
    <n v="2611"/>
  </r>
  <r>
    <s v="ORD-00762"/>
    <d v="2024-10-14T00:00:00"/>
    <s v="CUST-0109"/>
    <x v="32"/>
    <s v="R028"/>
    <n v="9"/>
    <n v="3640"/>
    <n v="13.1"/>
    <n v="28468.44"/>
    <s v="Pending"/>
    <x v="0"/>
    <s v="Apparel"/>
    <s v="Retail"/>
    <n v="42"/>
    <x v="2"/>
    <n v="2611"/>
  </r>
  <r>
    <s v="ORD-00763"/>
    <d v="2024-12-08T00:00:00"/>
    <s v="CUST-0107"/>
    <x v="44"/>
    <s v="R014"/>
    <n v="2"/>
    <n v="2030"/>
    <n v="12.2"/>
    <n v="3564.68"/>
    <s v="Completed"/>
    <x v="0"/>
    <s v="Home"/>
    <s v="Retail"/>
    <n v="50"/>
    <x v="1"/>
    <n v="1143"/>
  </r>
  <r>
    <s v="ORD-00764"/>
    <d v="2024-06-28T00:00:00"/>
    <s v="CUST-0120"/>
    <x v="4"/>
    <s v="R002"/>
    <n v="4"/>
    <n v="3160"/>
    <n v="7.5"/>
    <n v="11692"/>
    <s v="Completed"/>
    <x v="3"/>
    <s v="Apparel"/>
    <s v="Retail"/>
    <n v="29"/>
    <x v="0"/>
    <n v="1886"/>
  </r>
  <r>
    <s v="ORD-00765"/>
    <d v="2024-02-05T00:00:00"/>
    <s v="CUST-0225"/>
    <x v="37"/>
    <s v="R029"/>
    <n v="10"/>
    <n v="4070"/>
    <n v="8.3000000000000007"/>
    <n v="37321.9"/>
    <s v="Completed"/>
    <x v="1"/>
    <s v="Grocery"/>
    <s v="SMB"/>
    <n v="26"/>
    <x v="2"/>
    <n v="2027"/>
  </r>
  <r>
    <s v="ORD-00766"/>
    <d v="2024-02-21T00:00:00"/>
    <s v="CUST-0134"/>
    <x v="46"/>
    <s v="R024"/>
    <n v="8"/>
    <n v="4060"/>
    <n v="8.5"/>
    <n v="29719.200000000001"/>
    <s v="Completed"/>
    <x v="2"/>
    <s v="Grocery"/>
    <s v="Retail"/>
    <n v="40"/>
    <x v="2"/>
    <n v="2911"/>
  </r>
  <r>
    <s v="ORD-00767"/>
    <d v="2024-02-12T00:00:00"/>
    <s v="CUST-0279"/>
    <x v="6"/>
    <s v="R018"/>
    <n v="8"/>
    <n v="960"/>
    <n v="8.6999999999999993"/>
    <n v="7011.84"/>
    <s v="Completed"/>
    <x v="3"/>
    <s v="Sports"/>
    <s v="Retail"/>
    <n v="56"/>
    <x v="3"/>
    <n v="705"/>
  </r>
  <r>
    <s v="ORD-00768"/>
    <d v="2024-01-15T00:00:00"/>
    <s v="CUST-0247"/>
    <x v="34"/>
    <s v="R027"/>
    <n v="2"/>
    <n v="2270"/>
    <n v="10.199999999999999"/>
    <n v="4076.92"/>
    <s v="Completed"/>
    <x v="0"/>
    <s v="Grocery"/>
    <s v="SMB"/>
    <n v="35"/>
    <x v="2"/>
    <n v="1412"/>
  </r>
  <r>
    <s v="ORD-00769"/>
    <d v="2024-01-05T00:00:00"/>
    <s v="CUST-0129"/>
    <x v="31"/>
    <s v="R007"/>
    <n v="1"/>
    <n v="3780"/>
    <n v="15.3"/>
    <n v="3201.66"/>
    <s v="Cancelled"/>
    <x v="5"/>
    <s v="Grocery"/>
    <s v="Retail"/>
    <n v="29"/>
    <x v="0"/>
    <n v="2436"/>
  </r>
  <r>
    <s v="ORD-00770"/>
    <d v="2024-07-16T00:00:00"/>
    <s v="CUST-0038"/>
    <x v="52"/>
    <s v="R028"/>
    <n v="10"/>
    <n v="2290"/>
    <n v="2.4"/>
    <n v="22350.400000000001"/>
    <s v="Pending"/>
    <x v="3"/>
    <s v="Beauty"/>
    <s v="Retail"/>
    <n v="57"/>
    <x v="2"/>
    <n v="1219"/>
  </r>
  <r>
    <s v="ORD-00771"/>
    <d v="2024-05-04T00:00:00"/>
    <s v="CUST-0109"/>
    <x v="22"/>
    <s v="R017"/>
    <n v="5"/>
    <n v="3350"/>
    <n v="18.5"/>
    <n v="13651.25"/>
    <s v="Cancelled"/>
    <x v="0"/>
    <s v="Beauty"/>
    <s v="Retail"/>
    <n v="42"/>
    <x v="3"/>
    <n v="1728"/>
  </r>
  <r>
    <s v="ORD-00772"/>
    <d v="2024-02-25T00:00:00"/>
    <s v="CUST-0051"/>
    <x v="47"/>
    <s v="R021"/>
    <n v="7"/>
    <n v="2510"/>
    <n v="4.2"/>
    <n v="16832.060000000001"/>
    <s v="Cancelled"/>
    <x v="0"/>
    <s v="Apparel"/>
    <s v="SMB"/>
    <n v="54"/>
    <x v="3"/>
    <n v="1075"/>
  </r>
  <r>
    <s v="ORD-00773"/>
    <d v="2024-12-26T00:00:00"/>
    <s v="CUST-0265"/>
    <x v="12"/>
    <s v="R018"/>
    <n v="1"/>
    <n v="2600"/>
    <n v="2.2000000000000002"/>
    <n v="2542.8000000000002"/>
    <s v="Completed"/>
    <x v="1"/>
    <s v="Electronics"/>
    <s v="Retail"/>
    <n v="49"/>
    <x v="3"/>
    <n v="1052"/>
  </r>
  <r>
    <s v="ORD-00774"/>
    <d v="2024-06-24T00:00:00"/>
    <s v="CUST-0192"/>
    <x v="2"/>
    <s v="R003"/>
    <n v="8"/>
    <n v="470"/>
    <n v="25.2"/>
    <n v="2812.48"/>
    <s v="Completed"/>
    <x v="4"/>
    <s v="Sports"/>
    <s v="Retail"/>
    <n v="55"/>
    <x v="0"/>
    <n v="302"/>
  </r>
  <r>
    <s v="ORD-00775"/>
    <d v="2024-09-23T00:00:00"/>
    <s v="CUST-0241"/>
    <x v="18"/>
    <s v="R012"/>
    <n v="6"/>
    <n v="1080"/>
    <n v="25"/>
    <n v="4860"/>
    <s v="Completed"/>
    <x v="0"/>
    <s v="Home"/>
    <s v="Corporate"/>
    <n v="47"/>
    <x v="1"/>
    <n v="519"/>
  </r>
  <r>
    <s v="ORD-00776"/>
    <d v="2024-12-19T00:00:00"/>
    <s v="CUST-0243"/>
    <x v="23"/>
    <s v="R019"/>
    <n v="2"/>
    <n v="1010"/>
    <n v="16.100000000000001"/>
    <n v="1694.78"/>
    <s v="Completed"/>
    <x v="0"/>
    <s v="Sports"/>
    <s v="SMB"/>
    <n v="44"/>
    <x v="3"/>
    <n v="516"/>
  </r>
  <r>
    <s v="ORD-00777"/>
    <d v="2024-05-06T00:00:00"/>
    <s v="CUST-0016"/>
    <x v="35"/>
    <s v="R002"/>
    <n v="6"/>
    <n v="3870"/>
    <n v="22.4"/>
    <n v="18018.72"/>
    <s v="Cancelled"/>
    <x v="2"/>
    <s v="Electronics"/>
    <s v="SMB"/>
    <n v="26"/>
    <x v="0"/>
    <n v="1559"/>
  </r>
  <r>
    <s v="ORD-00778"/>
    <d v="2024-12-29T00:00:00"/>
    <s v="CUST-0249"/>
    <x v="44"/>
    <s v="R027"/>
    <n v="3"/>
    <n v="2030"/>
    <n v="18.5"/>
    <n v="4963.3500000000004"/>
    <s v="Completed"/>
    <x v="3"/>
    <s v="Home"/>
    <s v="Retail"/>
    <n v="44"/>
    <x v="2"/>
    <n v="1143"/>
  </r>
  <r>
    <s v="ORD-00779"/>
    <d v="2024-09-05T00:00:00"/>
    <s v="CUST-0021"/>
    <x v="18"/>
    <s v="R027"/>
    <n v="7"/>
    <n v="1080"/>
    <n v="6.8"/>
    <n v="7045.92"/>
    <s v="Pending"/>
    <x v="0"/>
    <s v="Home"/>
    <s v="Retail"/>
    <n v="44"/>
    <x v="2"/>
    <n v="519"/>
  </r>
  <r>
    <s v="ORD-00780"/>
    <d v="2024-11-13T00:00:00"/>
    <s v="CUST-0255"/>
    <x v="57"/>
    <s v="R009"/>
    <n v="1"/>
    <n v="1090"/>
    <n v="20.6"/>
    <n v="865.46"/>
    <s v="Completed"/>
    <x v="1"/>
    <s v="Home"/>
    <s v="Corporate"/>
    <n v="51"/>
    <x v="1"/>
    <n v="464"/>
  </r>
  <r>
    <s v="ORD-00781"/>
    <d v="2024-08-24T00:00:00"/>
    <s v="CUST-0084"/>
    <x v="5"/>
    <s v="R011"/>
    <n v="8"/>
    <n v="370"/>
    <n v="1.7"/>
    <n v="2909.68"/>
    <s v="Completed"/>
    <x v="1"/>
    <s v="Home"/>
    <s v="Retail"/>
    <n v="28"/>
    <x v="1"/>
    <n v="288"/>
  </r>
  <r>
    <s v="ORD-00782"/>
    <d v="2024-11-29T00:00:00"/>
    <s v="CUST-0289"/>
    <x v="59"/>
    <s v="R018"/>
    <n v="7"/>
    <n v="3560"/>
    <n v="28.7"/>
    <n v="17767.96"/>
    <s v="Completed"/>
    <x v="3"/>
    <s v="Apparel"/>
    <s v="Retail"/>
    <n v="54"/>
    <x v="3"/>
    <n v="2629"/>
  </r>
  <r>
    <s v="ORD-00783"/>
    <d v="2024-06-01T00:00:00"/>
    <s v="CUST-0026"/>
    <x v="33"/>
    <s v="R016"/>
    <n v="9"/>
    <n v="6080"/>
    <n v="16.3"/>
    <n v="45800.639999999999"/>
    <s v="Cancelled"/>
    <x v="0"/>
    <s v="Beauty"/>
    <s v="Retail"/>
    <n v="62"/>
    <x v="1"/>
    <n v="2617"/>
  </r>
  <r>
    <s v="ORD-00784"/>
    <d v="2024-08-01T00:00:00"/>
    <s v="CUST-0273"/>
    <x v="17"/>
    <s v="R015"/>
    <n v="2"/>
    <n v="3450"/>
    <n v="17.600000000000001"/>
    <n v="5685.6"/>
    <s v="Pending"/>
    <x v="5"/>
    <s v="Sports"/>
    <s v="Corporate"/>
    <n v="32"/>
    <x v="1"/>
    <n v="2467"/>
  </r>
  <r>
    <s v="ORD-00785"/>
    <d v="2024-04-19T00:00:00"/>
    <s v="CUST-0069"/>
    <x v="54"/>
    <s v="R009"/>
    <n v="1"/>
    <n v="5080"/>
    <n v="5.9"/>
    <n v="4780.28"/>
    <s v="Completed"/>
    <x v="1"/>
    <s v="Home"/>
    <s v="Retail"/>
    <n v="51"/>
    <x v="1"/>
    <n v="2459"/>
  </r>
  <r>
    <s v="ORD-00786"/>
    <d v="2024-03-13T00:00:00"/>
    <s v="CUST-0236"/>
    <x v="55"/>
    <s v="R023"/>
    <n v="7"/>
    <n v="3450"/>
    <n v="17.399999999999999"/>
    <n v="19947.900000000001"/>
    <s v="Completed"/>
    <x v="5"/>
    <s v="Apparel"/>
    <s v="SMB"/>
    <n v="28"/>
    <x v="3"/>
    <n v="1748"/>
  </r>
  <r>
    <s v="ORD-00787"/>
    <d v="2024-04-21T00:00:00"/>
    <s v="CUST-0060"/>
    <x v="10"/>
    <s v="R009"/>
    <n v="8"/>
    <n v="2270"/>
    <n v="24.7"/>
    <n v="13674.48"/>
    <s v="Completed"/>
    <x v="0"/>
    <s v="Grocery"/>
    <s v="Retail"/>
    <n v="39"/>
    <x v="1"/>
    <n v="1203"/>
  </r>
  <r>
    <s v="ORD-00788"/>
    <d v="2024-11-03T00:00:00"/>
    <s v="CUST-0243"/>
    <x v="4"/>
    <s v="R023"/>
    <n v="3"/>
    <n v="3160"/>
    <n v="1.5"/>
    <n v="9337.7999999999993"/>
    <s v="Pending"/>
    <x v="0"/>
    <s v="Apparel"/>
    <s v="SMB"/>
    <n v="44"/>
    <x v="3"/>
    <n v="1886"/>
  </r>
  <r>
    <s v="ORD-00789"/>
    <d v="2024-04-07T00:00:00"/>
    <s v="CUST-0188"/>
    <x v="22"/>
    <s v="R029"/>
    <n v="6"/>
    <n v="3350"/>
    <n v="0.9"/>
    <n v="19919.099999999999"/>
    <s v="Pending"/>
    <x v="4"/>
    <s v="Beauty"/>
    <s v="Retail"/>
    <n v="54"/>
    <x v="2"/>
    <n v="1728"/>
  </r>
  <r>
    <s v="ORD-00790"/>
    <d v="2024-08-02T00:00:00"/>
    <s v="CUST-0174"/>
    <x v="21"/>
    <s v="R029"/>
    <n v="7"/>
    <n v="1650"/>
    <n v="5.6"/>
    <n v="10903.2"/>
    <s v="Refunded"/>
    <x v="0"/>
    <s v="Beauty"/>
    <s v="Retail"/>
    <n v="54"/>
    <x v="2"/>
    <n v="1222"/>
  </r>
  <r>
    <s v="ORD-00791"/>
    <d v="2024-04-20T00:00:00"/>
    <s v="CUST-0016"/>
    <x v="8"/>
    <s v="R003"/>
    <n v="1"/>
    <n v="5490"/>
    <n v="5.8"/>
    <n v="5171.58"/>
    <s v="Completed"/>
    <x v="2"/>
    <s v="Home"/>
    <s v="SMB"/>
    <n v="26"/>
    <x v="0"/>
    <n v="2549"/>
  </r>
  <r>
    <s v="ORD-00792"/>
    <d v="2024-04-23T00:00:00"/>
    <s v="CUST-0184"/>
    <x v="18"/>
    <s v="R024"/>
    <n v="3"/>
    <n v="1080"/>
    <n v="20.9"/>
    <n v="2562.84"/>
    <s v="Completed"/>
    <x v="0"/>
    <s v="Home"/>
    <s v="Retail"/>
    <n v="63"/>
    <x v="2"/>
    <n v="519"/>
  </r>
  <r>
    <s v="ORD-00793"/>
    <d v="2024-05-22T00:00:00"/>
    <s v="CUST-9568"/>
    <x v="31"/>
    <s v="R018"/>
    <n v="10"/>
    <n v="3780"/>
    <n v="5.5"/>
    <n v="35721"/>
    <s v="Completed"/>
    <x v="5"/>
    <s v="Grocery"/>
    <e v="#N/A"/>
    <e v="#N/A"/>
    <x v="3"/>
    <n v="2436"/>
  </r>
  <r>
    <s v="ORD-00794"/>
    <d v="2024-09-23T00:00:00"/>
    <s v="CUST-0118"/>
    <x v="44"/>
    <s v="R030"/>
    <n v="2"/>
    <n v="2030"/>
    <n v="2"/>
    <n v="3978.8"/>
    <s v="Pending"/>
    <x v="5"/>
    <s v="Home"/>
    <s v="Retail"/>
    <n v="26"/>
    <x v="2"/>
    <n v="1143"/>
  </r>
  <r>
    <s v="ORD-00795"/>
    <d v="2024-10-17T00:00:00"/>
    <s v="CUST-0271"/>
    <x v="36"/>
    <s v="R019"/>
    <n v="8"/>
    <n v="1540"/>
    <n v="9"/>
    <n v="11211.2"/>
    <s v="Cancelled"/>
    <x v="4"/>
    <s v="Beauty"/>
    <s v="Corporate"/>
    <n v="41"/>
    <x v="3"/>
    <n v="647"/>
  </r>
  <r>
    <s v="ORD-00796"/>
    <d v="2024-11-05T00:00:00"/>
    <s v="CUST-0147"/>
    <x v="13"/>
    <s v="R015"/>
    <n v="9"/>
    <n v="3250"/>
    <n v="20.5"/>
    <n v="23253.75"/>
    <s v="Completed"/>
    <x v="0"/>
    <s v="Home"/>
    <s v="Retail"/>
    <n v="56"/>
    <x v="1"/>
    <n v="1556"/>
  </r>
  <r>
    <s v="ORD-00797"/>
    <d v="2024-02-22T00:00:00"/>
    <s v="CUST-0253"/>
    <x v="16"/>
    <s v="R005"/>
    <n v="3"/>
    <n v="3450"/>
    <n v="17.899999999999999"/>
    <n v="8497.35"/>
    <s v="Completed"/>
    <x v="2"/>
    <s v="Beauty"/>
    <s v="SMB"/>
    <n v="53"/>
    <x v="0"/>
    <n v="2420"/>
  </r>
  <r>
    <s v="ORD-00798"/>
    <d v="2024-07-31T00:00:00"/>
    <s v="CUST-0224"/>
    <x v="8"/>
    <s v="R008"/>
    <n v="5"/>
    <n v="5490"/>
    <n v="7.9"/>
    <n v="25281.45"/>
    <s v="Completed"/>
    <x v="1"/>
    <s v="Home"/>
    <s v="Corporate"/>
    <n v="24"/>
    <x v="0"/>
    <n v="2549"/>
  </r>
  <r>
    <s v="ORD-00799"/>
    <d v="2024-01-15T00:00:00"/>
    <s v="CUST-0134"/>
    <x v="5"/>
    <s v="R029"/>
    <n v="3"/>
    <n v="370"/>
    <n v="13.4"/>
    <n v="961.26"/>
    <s v="Completed"/>
    <x v="2"/>
    <s v="Home"/>
    <s v="Retail"/>
    <n v="40"/>
    <x v="2"/>
    <n v="288"/>
  </r>
  <r>
    <s v="ORD-00800"/>
    <d v="2024-05-01T00:00:00"/>
    <s v="CUST-0287"/>
    <x v="49"/>
    <s v="R009"/>
    <n v="7"/>
    <n v="5330"/>
    <n v="29.7"/>
    <n v="26228.93"/>
    <s v="Pending"/>
    <x v="1"/>
    <s v="Electronics"/>
    <s v="SMB"/>
    <n v="53"/>
    <x v="1"/>
    <n v="2405"/>
  </r>
  <r>
    <s v="ORD-00801"/>
    <d v="2024-03-17T00:00:00"/>
    <s v="CUST-0144"/>
    <x v="17"/>
    <s v="R016"/>
    <n v="8"/>
    <n v="3450"/>
    <n v="23.7"/>
    <n v="21058.799999999999"/>
    <s v="Completed"/>
    <x v="1"/>
    <s v="Sports"/>
    <s v="Retail"/>
    <n v="49"/>
    <x v="1"/>
    <n v="2467"/>
  </r>
  <r>
    <s v="ORD-00802"/>
    <d v="2024-01-25T00:00:00"/>
    <s v="CUST-0255"/>
    <x v="55"/>
    <s v="R027"/>
    <n v="8"/>
    <n v="3450"/>
    <n v="5.4"/>
    <n v="26109.599999999999"/>
    <s v="Completed"/>
    <x v="1"/>
    <s v="Apparel"/>
    <s v="Corporate"/>
    <n v="51"/>
    <x v="2"/>
    <n v="1748"/>
  </r>
  <r>
    <s v="ORD-00803"/>
    <d v="2024-12-26T00:00:00"/>
    <s v="CUST-0054"/>
    <x v="33"/>
    <s v="R029"/>
    <n v="1"/>
    <n v="6080"/>
    <n v="22.3"/>
    <n v="4724.16"/>
    <s v="Completed"/>
    <x v="3"/>
    <s v="Beauty"/>
    <s v="Corporate"/>
    <n v="62"/>
    <x v="2"/>
    <n v="2617"/>
  </r>
  <r>
    <s v="ORD-00804"/>
    <d v="2024-11-01T00:00:00"/>
    <s v="CUST-0283"/>
    <x v="47"/>
    <s v="R011"/>
    <n v="9"/>
    <n v="2510"/>
    <n v="27.4"/>
    <n v="16400.34"/>
    <s v="Completed"/>
    <x v="2"/>
    <s v="Apparel"/>
    <s v="SMB"/>
    <n v="50"/>
    <x v="1"/>
    <n v="1075"/>
  </r>
  <r>
    <s v="ORD-00805"/>
    <d v="2024-04-10T00:00:00"/>
    <s v="CUST-0182"/>
    <x v="23"/>
    <s v="R012"/>
    <n v="10"/>
    <n v="1010"/>
    <n v="28.4"/>
    <n v="7231.6"/>
    <s v="Completed"/>
    <x v="3"/>
    <s v="Sports"/>
    <s v="Retail"/>
    <n v="54"/>
    <x v="1"/>
    <n v="516"/>
  </r>
  <r>
    <s v="ORD-00806"/>
    <d v="2024-04-19T00:00:00"/>
    <s v="CUST-0289"/>
    <x v="59"/>
    <s v="R023"/>
    <n v="1"/>
    <n v="3560"/>
    <n v="26"/>
    <n v="2634.4"/>
    <s v="Completed"/>
    <x v="3"/>
    <s v="Apparel"/>
    <s v="Retail"/>
    <n v="54"/>
    <x v="3"/>
    <n v="2629"/>
  </r>
  <r>
    <s v="ORD-00807"/>
    <d v="2024-04-15T00:00:00"/>
    <s v="CUST-0104"/>
    <x v="40"/>
    <s v="R006"/>
    <n v="8"/>
    <n v="3020"/>
    <n v="6.9"/>
    <n v="22492.959999999999"/>
    <s v="Completed"/>
    <x v="5"/>
    <s v="Beauty"/>
    <s v="Corporate"/>
    <n v="43"/>
    <x v="0"/>
    <n v="1626"/>
  </r>
  <r>
    <s v="ORD-00808"/>
    <d v="2024-01-10T00:00:00"/>
    <s v="CUST-0085"/>
    <x v="37"/>
    <s v="R017"/>
    <n v="1"/>
    <n v="4070"/>
    <n v="8.1999999999999993"/>
    <n v="3736.26"/>
    <s v="Completed"/>
    <x v="1"/>
    <s v="Grocery"/>
    <s v="Retail"/>
    <n v="26"/>
    <x v="3"/>
    <n v="2027"/>
  </r>
  <r>
    <s v="ORD-00809"/>
    <d v="2024-02-25T00:00:00"/>
    <s v="CUST-0120"/>
    <x v="5"/>
    <s v="R020"/>
    <n v="9"/>
    <n v="370"/>
    <n v="19.8"/>
    <n v="2670.66"/>
    <s v="Completed"/>
    <x v="3"/>
    <s v="Home"/>
    <s v="Retail"/>
    <n v="29"/>
    <x v="3"/>
    <n v="288"/>
  </r>
  <r>
    <s v="ORD-00810"/>
    <d v="2024-09-09T00:00:00"/>
    <s v="CUST-0236"/>
    <x v="9"/>
    <s v="R020"/>
    <n v="6"/>
    <n v="970"/>
    <n v="16.2"/>
    <n v="4877.16"/>
    <s v="Completed"/>
    <x v="5"/>
    <s v="Grocery"/>
    <s v="SMB"/>
    <n v="28"/>
    <x v="3"/>
    <n v="434"/>
  </r>
  <r>
    <s v="ORD-00811"/>
    <d v="2024-12-07T00:00:00"/>
    <s v="CUST-0094"/>
    <x v="20"/>
    <s v="R019"/>
    <n v="10"/>
    <n v="2720"/>
    <n v="3"/>
    <n v="26384"/>
    <s v="Pending"/>
    <x v="0"/>
    <s v="Apparel"/>
    <s v="SMB"/>
    <n v="60"/>
    <x v="3"/>
    <n v="1962"/>
  </r>
  <r>
    <s v="ORD-00812"/>
    <d v="2024-01-02T00:00:00"/>
    <s v="CUST-0030"/>
    <x v="15"/>
    <s v="R014"/>
    <n v="7"/>
    <n v="2400"/>
    <n v="29.4"/>
    <n v="11860.8"/>
    <s v="Completed"/>
    <x v="4"/>
    <s v="Sports"/>
    <s v="Corporate"/>
    <n v="43"/>
    <x v="1"/>
    <n v="974"/>
  </r>
  <r>
    <s v="ORD-00813"/>
    <d v="2024-09-29T00:00:00"/>
    <s v="CUST-0172"/>
    <x v="59"/>
    <s v="R012"/>
    <n v="8"/>
    <n v="3560"/>
    <n v="21.7"/>
    <n v="22299.84"/>
    <s v="Completed"/>
    <x v="0"/>
    <s v="Apparel"/>
    <s v="Retail"/>
    <n v="65"/>
    <x v="1"/>
    <n v="2629"/>
  </r>
  <r>
    <s v="ORD-00814"/>
    <d v="2024-04-03T00:00:00"/>
    <s v="CUST-0221"/>
    <x v="37"/>
    <s v="R015"/>
    <n v="7"/>
    <n v="4070"/>
    <n v="10.5"/>
    <n v="25498.55"/>
    <s v="Completed"/>
    <x v="2"/>
    <s v="Grocery"/>
    <s v="SMB"/>
    <n v="29"/>
    <x v="1"/>
    <n v="2027"/>
  </r>
  <r>
    <s v="ORD-01052"/>
    <d v="2024-01-08T00:00:00"/>
    <s v="CUST-0151"/>
    <x v="48"/>
    <s v="R008"/>
    <n v="3"/>
    <n v="5410"/>
    <n v="0.2"/>
    <n v="16197.54"/>
    <s v="Completed"/>
    <x v="3"/>
    <s v="Sports"/>
    <s v="Retail"/>
    <n v="53"/>
    <x v="0"/>
    <n v="2265"/>
  </r>
  <r>
    <s v="ORD-00816"/>
    <d v="2024-12-25T00:00:00"/>
    <s v="CUST-0068"/>
    <x v="28"/>
    <s v="R028"/>
    <n v="4"/>
    <n v="2760"/>
    <n v="27.5"/>
    <n v="8004"/>
    <s v="Cancelled"/>
    <x v="2"/>
    <s v="Grocery"/>
    <s v="SMB"/>
    <n v="48"/>
    <x v="2"/>
    <n v="1435"/>
  </r>
  <r>
    <s v="ORD-01136"/>
    <d v="2024-07-01T00:00:00"/>
    <s v="CUST-0165"/>
    <x v="54"/>
    <s v="R013"/>
    <n v="3"/>
    <n v="5080"/>
    <n v="27.2"/>
    <n v="11094.72"/>
    <s v="Completed"/>
    <x v="0"/>
    <s v="Home"/>
    <s v="Retail"/>
    <n v="29"/>
    <x v="1"/>
    <n v="2459"/>
  </r>
  <r>
    <s v="ORD-00818"/>
    <d v="2024-04-09T00:00:00"/>
    <s v="CUST-0060"/>
    <x v="57"/>
    <s v="R017"/>
    <n v="5"/>
    <n v="1090"/>
    <n v="3.3"/>
    <n v="5270.15"/>
    <s v="Completed"/>
    <x v="0"/>
    <s v="Home"/>
    <s v="Retail"/>
    <n v="39"/>
    <x v="3"/>
    <n v="464"/>
  </r>
  <r>
    <s v="ORD-00819"/>
    <d v="2024-02-06T00:00:00"/>
    <s v="CUST-0130"/>
    <x v="50"/>
    <s v="R029"/>
    <n v="10"/>
    <n v="2380"/>
    <n v="7"/>
    <n v="22134"/>
    <s v="Completed"/>
    <x v="4"/>
    <s v="Grocery"/>
    <s v="Corporate"/>
    <n v="41"/>
    <x v="2"/>
    <n v="1182"/>
  </r>
  <r>
    <s v="ORD-00820"/>
    <d v="2024-07-17T00:00:00"/>
    <s v="CUST-0023"/>
    <x v="4"/>
    <s v="R026"/>
    <n v="5"/>
    <n v="3160"/>
    <n v="25.6"/>
    <n v="11755.2"/>
    <s v="Completed"/>
    <x v="1"/>
    <s v="Apparel"/>
    <s v="SMB"/>
    <n v="43"/>
    <x v="2"/>
    <n v="1886"/>
  </r>
  <r>
    <s v="ORD-00821"/>
    <d v="2024-03-11T00:00:00"/>
    <s v="CUST-0089"/>
    <x v="15"/>
    <s v="R029"/>
    <n v="9"/>
    <n v="2400"/>
    <n v="8.4"/>
    <n v="19785.599999999999"/>
    <s v="Completed"/>
    <x v="3"/>
    <s v="Sports"/>
    <s v="SMB"/>
    <n v="43"/>
    <x v="2"/>
    <n v="974"/>
  </r>
  <r>
    <s v="ORD-00822"/>
    <d v="2024-06-06T00:00:00"/>
    <s v="CUST-0300"/>
    <x v="12"/>
    <s v="R020"/>
    <n v="4"/>
    <n v="2600"/>
    <n v="4.2"/>
    <n v="9963.2000000000007"/>
    <s v="Completed"/>
    <x v="3"/>
    <s v="Electronics"/>
    <s v="Retail"/>
    <n v="38"/>
    <x v="3"/>
    <n v="1052"/>
  </r>
  <r>
    <s v="ORD-00823"/>
    <d v="2024-04-27T00:00:00"/>
    <s v="CUST-9578"/>
    <x v="10"/>
    <s v="R023"/>
    <n v="5"/>
    <n v="2270"/>
    <n v="0.1"/>
    <n v="11338.65"/>
    <s v="Completed"/>
    <x v="3"/>
    <s v="Grocery"/>
    <e v="#N/A"/>
    <e v="#N/A"/>
    <x v="3"/>
    <n v="1203"/>
  </r>
  <r>
    <s v="ORD-00824"/>
    <d v="2024-06-22T00:00:00"/>
    <s v="CUST-0130"/>
    <x v="8"/>
    <s v="R020"/>
    <n v="7"/>
    <n v="5490"/>
    <n v="14.9"/>
    <n v="32703.93"/>
    <s v="Completed"/>
    <x v="4"/>
    <s v="Home"/>
    <s v="Corporate"/>
    <n v="41"/>
    <x v="3"/>
    <n v="2549"/>
  </r>
  <r>
    <s v="ORD-00825"/>
    <d v="2024-05-03T00:00:00"/>
    <s v="CUST-0247"/>
    <x v="35"/>
    <s v="R009"/>
    <n v="5"/>
    <n v="3870"/>
    <n v="13.3"/>
    <n v="16776.45"/>
    <s v="Cancelled"/>
    <x v="0"/>
    <s v="Electronics"/>
    <s v="SMB"/>
    <n v="35"/>
    <x v="1"/>
    <n v="1559"/>
  </r>
  <r>
    <s v="ORD-00826"/>
    <d v="2024-03-21T00:00:00"/>
    <s v="CUST-0256"/>
    <x v="51"/>
    <s v="R024"/>
    <n v="2"/>
    <n v="960"/>
    <n v="17.5"/>
    <n v="1584"/>
    <s v="Completed"/>
    <x v="5"/>
    <s v="Beauty"/>
    <s v="Retail"/>
    <n v="28"/>
    <x v="2"/>
    <n v="675"/>
  </r>
  <r>
    <s v="ORD-00827"/>
    <d v="2024-04-23T00:00:00"/>
    <s v="CUST-0213"/>
    <x v="24"/>
    <s v="R001"/>
    <n v="4"/>
    <n v="4880"/>
    <n v="12.2"/>
    <n v="17138.560000000001"/>
    <s v="Cancelled"/>
    <x v="3"/>
    <s v="Beauty"/>
    <s v="Retail"/>
    <n v="37"/>
    <x v="0"/>
    <n v="2768"/>
  </r>
  <r>
    <s v="ORD-00828"/>
    <d v="2024-05-07T00:00:00"/>
    <s v="CUST-0183"/>
    <x v="15"/>
    <s v="R008"/>
    <n v="5"/>
    <n v="2400"/>
    <n v="15"/>
    <n v="10200"/>
    <s v="Completed"/>
    <x v="3"/>
    <s v="Sports"/>
    <s v="SMB"/>
    <n v="27"/>
    <x v="0"/>
    <n v="974"/>
  </r>
  <r>
    <s v="ORD-00829"/>
    <d v="2024-08-18T00:00:00"/>
    <s v="CUST-0051"/>
    <x v="43"/>
    <s v="R015"/>
    <n v="9"/>
    <n v="620"/>
    <n v="20.399999999999999"/>
    <n v="4441.68"/>
    <s v="Pending"/>
    <x v="0"/>
    <s v="Apparel"/>
    <s v="SMB"/>
    <n v="54"/>
    <x v="1"/>
    <n v="396"/>
  </r>
  <r>
    <s v="ORD-00830"/>
    <d v="2024-08-09T00:00:00"/>
    <s v="CUST-0001"/>
    <x v="39"/>
    <s v="R013"/>
    <n v="1"/>
    <n v="4610"/>
    <n v="1.8"/>
    <n v="4527.0200000000004"/>
    <s v="Pending"/>
    <x v="0"/>
    <s v="Home"/>
    <s v="Retail"/>
    <n v="36"/>
    <x v="1"/>
    <n v="1850"/>
  </r>
  <r>
    <s v="ORD-00831"/>
    <d v="2024-07-27T00:00:00"/>
    <s v="CUST-0105"/>
    <x v="39"/>
    <s v="R014"/>
    <n v="7"/>
    <n v="4610"/>
    <n v="27"/>
    <n v="23557.1"/>
    <s v="Completed"/>
    <x v="1"/>
    <s v="Home"/>
    <s v="SMB"/>
    <n v="51"/>
    <x v="1"/>
    <n v="1850"/>
  </r>
  <r>
    <s v="ORD-00832"/>
    <d v="2024-11-12T00:00:00"/>
    <s v="CUST-0199"/>
    <x v="9"/>
    <s v="R029"/>
    <n v="6"/>
    <n v="970"/>
    <n v="4.7"/>
    <n v="5546.46"/>
    <s v="Cancelled"/>
    <x v="5"/>
    <s v="Grocery"/>
    <s v="SMB"/>
    <n v="31"/>
    <x v="2"/>
    <n v="434"/>
  </r>
  <r>
    <s v="ORD-00833"/>
    <d v="2024-03-11T00:00:00"/>
    <s v="CUST-0240"/>
    <x v="7"/>
    <s v="R026"/>
    <n v="8"/>
    <n v="1430"/>
    <n v="8.6999999999999993"/>
    <n v="10444.719999999999"/>
    <s v="Completed"/>
    <x v="1"/>
    <s v="Electronics"/>
    <s v="Corporate"/>
    <n v="35"/>
    <x v="2"/>
    <n v="861"/>
  </r>
  <r>
    <s v="ORD-00834"/>
    <d v="2024-02-26T00:00:00"/>
    <s v="CUST-0283"/>
    <x v="31"/>
    <s v="R011"/>
    <n v="5"/>
    <n v="3780"/>
    <n v="2.9"/>
    <n v="18351.900000000001"/>
    <s v="Completed"/>
    <x v="2"/>
    <s v="Grocery"/>
    <s v="SMB"/>
    <n v="50"/>
    <x v="1"/>
    <n v="2436"/>
  </r>
  <r>
    <s v="ORD-00835"/>
    <d v="2024-08-28T00:00:00"/>
    <s v="CUST-0284"/>
    <x v="36"/>
    <s v="R023"/>
    <n v="2"/>
    <n v="1540"/>
    <n v="12.7"/>
    <n v="2688.84"/>
    <s v="Completed"/>
    <x v="5"/>
    <s v="Beauty"/>
    <s v="SMB"/>
    <n v="65"/>
    <x v="3"/>
    <n v="647"/>
  </r>
  <r>
    <s v="ORD-00836"/>
    <d v="2024-07-19T00:00:00"/>
    <s v="CUST-0060"/>
    <x v="18"/>
    <s v="R020"/>
    <n v="9"/>
    <n v="1080"/>
    <n v="11.2"/>
    <n v="8631.36"/>
    <s v="Cancelled"/>
    <x v="0"/>
    <s v="Home"/>
    <s v="Retail"/>
    <n v="39"/>
    <x v="3"/>
    <n v="519"/>
  </r>
  <r>
    <s v="ORD-00837"/>
    <d v="2024-03-17T00:00:00"/>
    <s v="CUST-0266"/>
    <x v="15"/>
    <s v="R007"/>
    <n v="3"/>
    <n v="2400"/>
    <n v="28.6"/>
    <n v="5140.8"/>
    <s v="Completed"/>
    <x v="0"/>
    <s v="Sports"/>
    <s v="Retail"/>
    <n v="65"/>
    <x v="0"/>
    <n v="974"/>
  </r>
  <r>
    <s v="ORD-00838"/>
    <d v="2024-06-05T00:00:00"/>
    <s v="CUST-0056"/>
    <x v="18"/>
    <s v="R018"/>
    <n v="5"/>
    <n v="1080"/>
    <n v="18.3"/>
    <n v="4411.8"/>
    <s v="Completed"/>
    <x v="4"/>
    <s v="Home"/>
    <s v="SMB"/>
    <n v="46"/>
    <x v="3"/>
    <n v="519"/>
  </r>
  <r>
    <s v="ORD-00839"/>
    <d v="2024-11-14T00:00:00"/>
    <s v="CUST-0187"/>
    <x v="10"/>
    <s v="R027"/>
    <n v="7"/>
    <n v="2270"/>
    <n v="1.7"/>
    <n v="15619.87"/>
    <s v="Cancelled"/>
    <x v="1"/>
    <s v="Grocery"/>
    <s v="SMB"/>
    <n v="51"/>
    <x v="2"/>
    <n v="1203"/>
  </r>
  <r>
    <s v="ORD-00840"/>
    <d v="2024-05-26T00:00:00"/>
    <s v="CUST-0183"/>
    <x v="3"/>
    <s v="R026"/>
    <n v="8"/>
    <n v="3660"/>
    <n v="19.100000000000001"/>
    <n v="23687.52"/>
    <s v="Cancelled"/>
    <x v="3"/>
    <s v="Grocery"/>
    <s v="SMB"/>
    <n v="27"/>
    <x v="2"/>
    <n v="2214"/>
  </r>
  <r>
    <s v="ORD-00841"/>
    <d v="2024-07-04T00:00:00"/>
    <s v="CUST-0068"/>
    <x v="13"/>
    <s v="R003"/>
    <n v="5"/>
    <n v="3250"/>
    <n v="12.9"/>
    <n v="14153.75"/>
    <s v="Completed"/>
    <x v="2"/>
    <s v="Home"/>
    <s v="SMB"/>
    <n v="48"/>
    <x v="0"/>
    <n v="1556"/>
  </r>
  <r>
    <s v="ORD-00842"/>
    <d v="2024-02-06T00:00:00"/>
    <s v="CUST-0135"/>
    <x v="21"/>
    <s v="R012"/>
    <n v="4"/>
    <n v="1650"/>
    <n v="4.0999999999999996"/>
    <n v="6329.4"/>
    <s v="Completed"/>
    <x v="0"/>
    <s v="Beauty"/>
    <s v="SMB"/>
    <n v="24"/>
    <x v="1"/>
    <n v="1222"/>
  </r>
  <r>
    <s v="ORD-00843"/>
    <d v="2024-11-28T00:00:00"/>
    <s v="CUST-0191"/>
    <x v="54"/>
    <s v="R003"/>
    <n v="6"/>
    <n v="5080"/>
    <n v="3"/>
    <n v="29565.599999999999"/>
    <s v="Completed"/>
    <x v="5"/>
    <s v="Home"/>
    <s v="SMB"/>
    <n v="43"/>
    <x v="0"/>
    <n v="2459"/>
  </r>
  <r>
    <s v="ORD-00844"/>
    <d v="2024-11-18T00:00:00"/>
    <s v="CUST-0244"/>
    <x v="17"/>
    <s v="R027"/>
    <n v="8"/>
    <n v="3450"/>
    <n v="20.9"/>
    <n v="21831.599999999999"/>
    <s v="Completed"/>
    <x v="4"/>
    <s v="Sports"/>
    <s v="Retail"/>
    <n v="61"/>
    <x v="2"/>
    <n v="2467"/>
  </r>
  <r>
    <s v="ORD-00845"/>
    <d v="2024-05-17T00:00:00"/>
    <s v="CUST-0189"/>
    <x v="22"/>
    <s v="R018"/>
    <n v="6"/>
    <n v="3350"/>
    <n v="24.8"/>
    <n v="15115.2"/>
    <s v="Completed"/>
    <x v="1"/>
    <s v="Beauty"/>
    <s v="Retail"/>
    <n v="41"/>
    <x v="3"/>
    <n v="1728"/>
  </r>
  <r>
    <s v="ORD-00846"/>
    <d v="2024-06-08T00:00:00"/>
    <s v="CUST-0166"/>
    <x v="45"/>
    <s v="R027"/>
    <n v="10"/>
    <n v="2210"/>
    <n v="4.2"/>
    <n v="21171.8"/>
    <s v="Completed"/>
    <x v="5"/>
    <s v="Grocery"/>
    <s v="Retail"/>
    <n v="31"/>
    <x v="2"/>
    <n v="1010"/>
  </r>
  <r>
    <s v="ORD-00847"/>
    <d v="2024-06-01T00:00:00"/>
    <s v="CUST-0167"/>
    <x v="24"/>
    <s v="R006"/>
    <n v="10"/>
    <n v="4880"/>
    <n v="0.7"/>
    <n v="48458.400000000001"/>
    <s v="Completed"/>
    <x v="2"/>
    <s v="Beauty"/>
    <s v="Retail"/>
    <n v="43"/>
    <x v="0"/>
    <n v="2768"/>
  </r>
  <r>
    <s v="ORD-00848"/>
    <d v="2024-03-18T00:00:00"/>
    <s v="CUST-0265"/>
    <x v="27"/>
    <s v="R004"/>
    <n v="7"/>
    <n v="2860"/>
    <n v="28.1"/>
    <n v="14394.38"/>
    <s v="Pending"/>
    <x v="1"/>
    <s v="Sports"/>
    <s v="Retail"/>
    <n v="49"/>
    <x v="0"/>
    <n v="2028"/>
  </r>
  <r>
    <s v="ORD-00849"/>
    <d v="2024-10-16T00:00:00"/>
    <s v="CUST-0172"/>
    <x v="9"/>
    <s v="R005"/>
    <n v="3"/>
    <n v="970"/>
    <n v="28.3"/>
    <n v="2086.4699999999998"/>
    <s v="Completed"/>
    <x v="0"/>
    <s v="Grocery"/>
    <s v="Retail"/>
    <n v="65"/>
    <x v="0"/>
    <n v="434"/>
  </r>
  <r>
    <s v="ORD-00850"/>
    <d v="2024-07-21T00:00:00"/>
    <s v="CUST-0205"/>
    <x v="34"/>
    <s v="R008"/>
    <n v="1"/>
    <n v="2270"/>
    <n v="15.1"/>
    <n v="1927.23"/>
    <s v="Completed"/>
    <x v="0"/>
    <s v="Grocery"/>
    <s v="Corporate"/>
    <n v="29"/>
    <x v="0"/>
    <n v="1412"/>
  </r>
  <r>
    <s v="ORD-00851"/>
    <d v="2024-02-02T00:00:00"/>
    <s v="CUST-0102"/>
    <x v="59"/>
    <s v="R015"/>
    <n v="5"/>
    <n v="3560"/>
    <n v="11.5"/>
    <n v="15753"/>
    <s v="Completed"/>
    <x v="1"/>
    <s v="Apparel"/>
    <s v="SMB"/>
    <n v="62"/>
    <x v="1"/>
    <n v="2629"/>
  </r>
  <r>
    <s v="ORD-00852"/>
    <d v="2024-05-07T00:00:00"/>
    <s v="CUST-0142"/>
    <x v="48"/>
    <s v="R010"/>
    <n v="2"/>
    <n v="5410"/>
    <n v="14.8"/>
    <n v="9218.64"/>
    <s v="Pending"/>
    <x v="1"/>
    <s v="Sports"/>
    <s v="Corporate"/>
    <n v="55"/>
    <x v="1"/>
    <n v="2265"/>
  </r>
  <r>
    <s v="ORD-00853"/>
    <d v="2024-12-30T00:00:00"/>
    <s v="CUST-0195"/>
    <x v="19"/>
    <s v="R006"/>
    <n v="2"/>
    <n v="2480"/>
    <n v="27.2"/>
    <n v="3610.88"/>
    <s v="Completed"/>
    <x v="4"/>
    <s v="Apparel"/>
    <s v="Retail"/>
    <n v="28"/>
    <x v="0"/>
    <n v="1173"/>
  </r>
  <r>
    <s v="ORD-00854"/>
    <d v="2024-02-28T00:00:00"/>
    <s v="CUST-0125"/>
    <x v="1"/>
    <s v="R014"/>
    <n v="6"/>
    <n v="820"/>
    <n v="6.6"/>
    <n v="4595.28"/>
    <s v="Completed"/>
    <x v="2"/>
    <s v="Apparel"/>
    <s v="Retail"/>
    <n v="45"/>
    <x v="1"/>
    <n v="391"/>
  </r>
  <r>
    <s v="ORD-00855"/>
    <d v="2024-05-22T00:00:00"/>
    <s v="CUST-0234"/>
    <x v="49"/>
    <s v="R015"/>
    <n v="10"/>
    <n v="5330"/>
    <n v="16.100000000000001"/>
    <n v="44718.7"/>
    <s v="Completed"/>
    <x v="4"/>
    <s v="Electronics"/>
    <s v="Retail"/>
    <n v="34"/>
    <x v="1"/>
    <n v="2405"/>
  </r>
  <r>
    <s v="ORD-00856"/>
    <d v="2024-05-26T00:00:00"/>
    <s v="CUST-0061"/>
    <x v="16"/>
    <s v="R004"/>
    <n v="2"/>
    <n v="3450"/>
    <n v="11.3"/>
    <n v="6120.3"/>
    <s v="Pending"/>
    <x v="5"/>
    <s v="Beauty"/>
    <s v="Retail"/>
    <n v="64"/>
    <x v="0"/>
    <n v="2420"/>
  </r>
  <r>
    <s v="ORD-00857"/>
    <d v="2024-07-13T00:00:00"/>
    <s v="CUST-0189"/>
    <x v="51"/>
    <s v="R023"/>
    <n v="7"/>
    <n v="960"/>
    <n v="17.100000000000001"/>
    <n v="5570.88"/>
    <s v="Completed"/>
    <x v="1"/>
    <s v="Beauty"/>
    <s v="Retail"/>
    <n v="41"/>
    <x v="3"/>
    <n v="675"/>
  </r>
  <r>
    <s v="ORD-00858"/>
    <d v="2024-11-27T00:00:00"/>
    <s v="CUST-0191"/>
    <x v="55"/>
    <s v="R003"/>
    <n v="5"/>
    <n v="3450"/>
    <n v="22.9"/>
    <n v="13299.75"/>
    <s v="Completed"/>
    <x v="5"/>
    <s v="Apparel"/>
    <s v="SMB"/>
    <n v="43"/>
    <x v="0"/>
    <n v="1748"/>
  </r>
  <r>
    <s v="ORD-00859"/>
    <d v="2024-12-08T00:00:00"/>
    <s v="CUST-0217"/>
    <x v="38"/>
    <s v="R008"/>
    <n v="5"/>
    <n v="1220"/>
    <n v="0.3"/>
    <n v="6081.7"/>
    <s v="Completed"/>
    <x v="0"/>
    <s v="Electronics"/>
    <s v="SMB"/>
    <n v="59"/>
    <x v="0"/>
    <n v="517"/>
  </r>
  <r>
    <s v="ORD-00860"/>
    <d v="2024-01-17T00:00:00"/>
    <s v="CUST-0060"/>
    <x v="49"/>
    <s v="R007"/>
    <n v="5"/>
    <n v="5330"/>
    <n v="29"/>
    <n v="18921.5"/>
    <s v="Completed"/>
    <x v="0"/>
    <s v="Electronics"/>
    <s v="Retail"/>
    <n v="39"/>
    <x v="0"/>
    <n v="2405"/>
  </r>
  <r>
    <s v="ORD-00861"/>
    <d v="2024-12-15T00:00:00"/>
    <s v="CUST-0270"/>
    <x v="25"/>
    <s v="R028"/>
    <n v="3"/>
    <n v="3570"/>
    <n v="20"/>
    <n v="8568"/>
    <s v="Cancelled"/>
    <x v="4"/>
    <s v="Electronics"/>
    <s v="Retail"/>
    <n v="29"/>
    <x v="2"/>
    <n v="1665"/>
  </r>
  <r>
    <s v="ORD-00862"/>
    <d v="2024-04-14T00:00:00"/>
    <s v="CUST-0279"/>
    <x v="45"/>
    <s v="R026"/>
    <n v="9"/>
    <n v="2210"/>
    <n v="12.4"/>
    <n v="17423.64"/>
    <s v="Completed"/>
    <x v="3"/>
    <s v="Grocery"/>
    <s v="Retail"/>
    <n v="56"/>
    <x v="2"/>
    <n v="1010"/>
  </r>
  <r>
    <s v="ORD-00863"/>
    <d v="2024-01-11T00:00:00"/>
    <s v="CUST-0008"/>
    <x v="56"/>
    <s v="R029"/>
    <n v="5"/>
    <n v="3780"/>
    <n v="3.9"/>
    <n v="18162.900000000001"/>
    <s v="Completed"/>
    <x v="0"/>
    <s v="Sports"/>
    <s v="SMB"/>
    <n v="39"/>
    <x v="2"/>
    <n v="1860"/>
  </r>
  <r>
    <s v="ORD-00864"/>
    <d v="2024-11-30T00:00:00"/>
    <s v="CUST-0259"/>
    <x v="11"/>
    <s v="R008"/>
    <n v="10"/>
    <n v="2640"/>
    <n v="17.8"/>
    <n v="21700.799999999999"/>
    <s v="Refunded"/>
    <x v="3"/>
    <s v="Electronics"/>
    <s v="Retail"/>
    <n v="34"/>
    <x v="0"/>
    <n v="1149"/>
  </r>
  <r>
    <s v="ORD-00865"/>
    <d v="2024-03-01T00:00:00"/>
    <s v="CUST-0169"/>
    <x v="42"/>
    <s v="R024"/>
    <n v="5"/>
    <n v="300"/>
    <n v="12.9"/>
    <n v="1306.5"/>
    <s v="Completed"/>
    <x v="4"/>
    <s v="Electronics"/>
    <s v="SMB"/>
    <n v="42"/>
    <x v="2"/>
    <n v="128"/>
  </r>
  <r>
    <s v="ORD-00866"/>
    <d v="2024-10-23T00:00:00"/>
    <s v="CUST-0191"/>
    <x v="15"/>
    <s v="R013"/>
    <n v="2"/>
    <n v="2400"/>
    <n v="17.100000000000001"/>
    <n v="3979.2"/>
    <s v="Pending"/>
    <x v="5"/>
    <s v="Sports"/>
    <s v="SMB"/>
    <n v="43"/>
    <x v="1"/>
    <n v="974"/>
  </r>
  <r>
    <s v="ORD-00867"/>
    <d v="2024-10-18T00:00:00"/>
    <s v="CUST-0129"/>
    <x v="18"/>
    <s v="R026"/>
    <n v="5"/>
    <n v="1080"/>
    <n v="15.7"/>
    <n v="4552.2"/>
    <s v="Pending"/>
    <x v="5"/>
    <s v="Home"/>
    <s v="Retail"/>
    <n v="29"/>
    <x v="2"/>
    <n v="519"/>
  </r>
  <r>
    <s v="ORD-00868"/>
    <d v="2024-08-24T00:00:00"/>
    <s v="CUST-0066"/>
    <x v="13"/>
    <s v="R003"/>
    <n v="1"/>
    <n v="3250"/>
    <n v="14.7"/>
    <n v="2772.25"/>
    <s v="Completed"/>
    <x v="2"/>
    <s v="Home"/>
    <s v="Retail"/>
    <n v="24"/>
    <x v="0"/>
    <n v="1556"/>
  </r>
  <r>
    <s v="ORD-00869"/>
    <d v="2024-04-18T00:00:00"/>
    <s v="CUST-0114"/>
    <x v="5"/>
    <s v="R021"/>
    <n v="7"/>
    <n v="370"/>
    <n v="6"/>
    <n v="2434.6"/>
    <s v="Cancelled"/>
    <x v="4"/>
    <s v="Home"/>
    <s v="Corporate"/>
    <n v="42"/>
    <x v="3"/>
    <n v="288"/>
  </r>
  <r>
    <s v="ORD-00870"/>
    <d v="2024-02-15T00:00:00"/>
    <s v="CUST-9833"/>
    <x v="8"/>
    <s v="R029"/>
    <n v="7"/>
    <n v="5490"/>
    <n v="10.199999999999999"/>
    <n v="34510.14"/>
    <s v="Completed"/>
    <x v="0"/>
    <s v="Home"/>
    <e v="#N/A"/>
    <e v="#N/A"/>
    <x v="2"/>
    <n v="2549"/>
  </r>
  <r>
    <s v="ORD-00871"/>
    <d v="2024-07-09T00:00:00"/>
    <s v="CUST-0076"/>
    <x v="53"/>
    <s v="R028"/>
    <n v="3"/>
    <n v="3970"/>
    <n v="2.4"/>
    <n v="11624.16"/>
    <s v="Completed"/>
    <x v="3"/>
    <s v="Electronics"/>
    <s v="Retail"/>
    <n v="38"/>
    <x v="2"/>
    <n v="2865"/>
  </r>
  <r>
    <s v="ORD-00872"/>
    <d v="2024-10-18T00:00:00"/>
    <s v="CUST-0215"/>
    <x v="38"/>
    <s v="R007"/>
    <n v="4"/>
    <n v="1220"/>
    <n v="25.3"/>
    <n v="3645.36"/>
    <s v="Completed"/>
    <x v="5"/>
    <s v="Electronics"/>
    <s v="Retail"/>
    <n v="52"/>
    <x v="0"/>
    <n v="517"/>
  </r>
  <r>
    <s v="ORD-00873"/>
    <d v="2024-04-27T00:00:00"/>
    <s v="CUST-0061"/>
    <x v="4"/>
    <s v="R026"/>
    <n v="3"/>
    <n v="3160"/>
    <n v="19.8"/>
    <n v="7602.96"/>
    <s v="Completed"/>
    <x v="5"/>
    <s v="Apparel"/>
    <s v="Retail"/>
    <n v="64"/>
    <x v="2"/>
    <n v="1886"/>
  </r>
  <r>
    <s v="ORD-00874"/>
    <d v="2024-05-18T00:00:00"/>
    <s v="CUST-0249"/>
    <x v="42"/>
    <s v="R008"/>
    <n v="1"/>
    <n v="300"/>
    <n v="24.5"/>
    <n v="226.5"/>
    <s v="Completed"/>
    <x v="3"/>
    <s v="Electronics"/>
    <s v="Retail"/>
    <n v="44"/>
    <x v="0"/>
    <n v="128"/>
  </r>
  <r>
    <s v="ORD-00875"/>
    <d v="2024-12-28T00:00:00"/>
    <s v="CUST-0105"/>
    <x v="16"/>
    <s v="R029"/>
    <n v="5"/>
    <n v="3450"/>
    <n v="13.4"/>
    <n v="14938.5"/>
    <s v="Pending"/>
    <x v="1"/>
    <s v="Beauty"/>
    <s v="SMB"/>
    <n v="51"/>
    <x v="2"/>
    <n v="2420"/>
  </r>
  <r>
    <s v="ORD-00876"/>
    <d v="2024-04-15T00:00:00"/>
    <s v="CUST-0161"/>
    <x v="0"/>
    <s v="R027"/>
    <n v="7"/>
    <n v="3620"/>
    <n v="19.2"/>
    <n v="20474.72"/>
    <s v="Completed"/>
    <x v="1"/>
    <s v="Apparel"/>
    <s v="Retail"/>
    <n v="38"/>
    <x v="2"/>
    <n v="2509"/>
  </r>
  <r>
    <s v="ORD-00877"/>
    <d v="2024-08-01T00:00:00"/>
    <s v="CUST-0275"/>
    <x v="10"/>
    <s v="R010"/>
    <n v="10"/>
    <n v="2270"/>
    <n v="20.5"/>
    <n v="18046.5"/>
    <s v="Completed"/>
    <x v="3"/>
    <s v="Grocery"/>
    <s v="Retail"/>
    <n v="36"/>
    <x v="1"/>
    <n v="1203"/>
  </r>
  <r>
    <s v="ORD-00878"/>
    <d v="2024-04-04T00:00:00"/>
    <s v="CUST-0049"/>
    <x v="20"/>
    <s v="R024"/>
    <n v="5"/>
    <n v="2720"/>
    <n v="29.3"/>
    <n v="9615.2000000000007"/>
    <s v="Completed"/>
    <x v="3"/>
    <s v="Apparel"/>
    <s v="Corporate"/>
    <n v="42"/>
    <x v="2"/>
    <n v="1962"/>
  </r>
  <r>
    <s v="ORD-00879"/>
    <d v="2024-07-26T00:00:00"/>
    <s v="CUST-0235"/>
    <x v="31"/>
    <s v="R022"/>
    <n v="9"/>
    <n v="3780"/>
    <n v="2.2999999999999998"/>
    <n v="33237.54"/>
    <s v="Completed"/>
    <x v="1"/>
    <s v="Grocery"/>
    <s v="Retail"/>
    <n v="31"/>
    <x v="3"/>
    <n v="2436"/>
  </r>
  <r>
    <s v="ORD-00880"/>
    <d v="2024-12-10T00:00:00"/>
    <s v="CUST-0220"/>
    <x v="46"/>
    <s v="R014"/>
    <n v="9"/>
    <n v="4060"/>
    <n v="11.5"/>
    <n v="32337.9"/>
    <s v="Completed"/>
    <x v="1"/>
    <s v="Grocery"/>
    <s v="Retail"/>
    <n v="34"/>
    <x v="1"/>
    <n v="2911"/>
  </r>
  <r>
    <s v="ORD-00881"/>
    <d v="2024-08-13T00:00:00"/>
    <s v="CUST-0298"/>
    <x v="28"/>
    <s v="R012"/>
    <n v="10"/>
    <n v="2760"/>
    <n v="3.9"/>
    <n v="26523.599999999999"/>
    <s v="Refunded"/>
    <x v="2"/>
    <s v="Grocery"/>
    <s v="Retail"/>
    <n v="44"/>
    <x v="1"/>
    <n v="1435"/>
  </r>
  <r>
    <s v="ORD-00882"/>
    <d v="2024-10-28T00:00:00"/>
    <s v="CUST-0222"/>
    <x v="18"/>
    <s v="R021"/>
    <n v="10"/>
    <n v="1080"/>
    <n v="21.4"/>
    <n v="8488.7999999999993"/>
    <s v="Completed"/>
    <x v="1"/>
    <s v="Home"/>
    <s v="Retail"/>
    <n v="37"/>
    <x v="3"/>
    <n v="519"/>
  </r>
  <r>
    <s v="ORD-00883"/>
    <d v="2024-07-24T00:00:00"/>
    <s v="CUST-0049"/>
    <x v="54"/>
    <s v="R023"/>
    <n v="6"/>
    <n v="5080"/>
    <n v="29.8"/>
    <n v="21396.959999999999"/>
    <s v="Pending"/>
    <x v="3"/>
    <s v="Home"/>
    <s v="Corporate"/>
    <n v="42"/>
    <x v="3"/>
    <n v="2459"/>
  </r>
  <r>
    <s v="ORD-00884"/>
    <d v="2024-01-02T00:00:00"/>
    <s v="CUST-0147"/>
    <x v="24"/>
    <s v="R030"/>
    <n v="1"/>
    <n v="4880"/>
    <n v="28.2"/>
    <n v="3503.84"/>
    <s v="Completed"/>
    <x v="0"/>
    <s v="Beauty"/>
    <s v="Retail"/>
    <n v="56"/>
    <x v="2"/>
    <n v="2768"/>
  </r>
  <r>
    <s v="ORD-00885"/>
    <d v="2024-09-27T00:00:00"/>
    <s v="CUST-0177"/>
    <x v="34"/>
    <s v="R027"/>
    <n v="1"/>
    <n v="2270"/>
    <n v="27.8"/>
    <n v="1638.94"/>
    <s v="Completed"/>
    <x v="3"/>
    <s v="Grocery"/>
    <s v="SMB"/>
    <n v="36"/>
    <x v="2"/>
    <n v="1412"/>
  </r>
  <r>
    <s v="ORD-00886"/>
    <d v="2024-12-12T00:00:00"/>
    <s v="CUST-0121"/>
    <x v="53"/>
    <s v="R019"/>
    <n v="9"/>
    <n v="3970"/>
    <n v="7"/>
    <n v="33228.9"/>
    <s v="Completed"/>
    <x v="2"/>
    <s v="Electronics"/>
    <s v="SMB"/>
    <n v="55"/>
    <x v="3"/>
    <n v="2865"/>
  </r>
  <r>
    <s v="ORD-00887"/>
    <d v="2024-04-26T00:00:00"/>
    <s v="CUST-0262"/>
    <x v="26"/>
    <s v="R003"/>
    <n v="9"/>
    <n v="5100"/>
    <n v="9.6999999999999993"/>
    <n v="41447.699999999997"/>
    <s v="Completed"/>
    <x v="3"/>
    <s v="Beauty"/>
    <s v="Retail"/>
    <n v="52"/>
    <x v="0"/>
    <n v="2237"/>
  </r>
  <r>
    <s v="ORD-00888"/>
    <d v="2024-07-25T00:00:00"/>
    <s v="CUST-0246"/>
    <x v="14"/>
    <s v="R005"/>
    <n v="8"/>
    <n v="190"/>
    <n v="10.199999999999999"/>
    <n v="1364.96"/>
    <s v="Completed"/>
    <x v="2"/>
    <s v="Sports"/>
    <s v="SMB"/>
    <n v="29"/>
    <x v="0"/>
    <n v="147"/>
  </r>
  <r>
    <s v="ORD-00889"/>
    <d v="2024-12-23T00:00:00"/>
    <s v="CUST-0070"/>
    <x v="33"/>
    <s v="R026"/>
    <n v="1"/>
    <n v="6080"/>
    <n v="5.6"/>
    <n v="5739.52"/>
    <s v="Completed"/>
    <x v="3"/>
    <s v="Beauty"/>
    <s v="Retail"/>
    <n v="42"/>
    <x v="2"/>
    <n v="2617"/>
  </r>
  <r>
    <s v="ORD-00890"/>
    <d v="2024-07-11T00:00:00"/>
    <s v="CUST-0218"/>
    <x v="6"/>
    <s v="R020"/>
    <n v="6"/>
    <n v="960"/>
    <n v="1.9"/>
    <n v="5650.56"/>
    <s v="Completed"/>
    <x v="3"/>
    <s v="Sports"/>
    <s v="Retail"/>
    <n v="39"/>
    <x v="3"/>
    <n v="705"/>
  </r>
  <r>
    <s v="ORD-00891"/>
    <d v="2024-01-25T00:00:00"/>
    <s v="CUST-0068"/>
    <x v="36"/>
    <s v="R004"/>
    <n v="7"/>
    <n v="1540"/>
    <n v="7.1"/>
    <n v="10014.620000000001"/>
    <s v="Completed"/>
    <x v="2"/>
    <s v="Beauty"/>
    <s v="SMB"/>
    <n v="48"/>
    <x v="0"/>
    <n v="647"/>
  </r>
  <r>
    <s v="ORD-00892"/>
    <d v="2024-02-06T00:00:00"/>
    <s v="CUST-0261"/>
    <x v="42"/>
    <s v="R011"/>
    <n v="10"/>
    <n v="300"/>
    <n v="12.8"/>
    <n v="2616"/>
    <s v="Cancelled"/>
    <x v="2"/>
    <s v="Electronics"/>
    <s v="Retail"/>
    <n v="54"/>
    <x v="1"/>
    <n v="128"/>
  </r>
  <r>
    <s v="ORD-00893"/>
    <d v="2024-06-13T00:00:00"/>
    <s v="CUST-0077"/>
    <x v="24"/>
    <s v="R011"/>
    <n v="4"/>
    <n v="4880"/>
    <n v="26.5"/>
    <n v="14347.2"/>
    <s v="Completed"/>
    <x v="5"/>
    <s v="Beauty"/>
    <s v="SMB"/>
    <n v="48"/>
    <x v="1"/>
    <n v="2768"/>
  </r>
  <r>
    <s v="ORD-00894"/>
    <d v="2024-10-24T00:00:00"/>
    <s v="CUST-0188"/>
    <x v="5"/>
    <s v="R003"/>
    <n v="2"/>
    <n v="370"/>
    <n v="26.5"/>
    <n v="543.9"/>
    <s v="Completed"/>
    <x v="4"/>
    <s v="Home"/>
    <s v="Retail"/>
    <n v="54"/>
    <x v="0"/>
    <n v="288"/>
  </r>
  <r>
    <s v="ORD-00895"/>
    <d v="2024-10-28T00:00:00"/>
    <s v="CUST-0145"/>
    <x v="39"/>
    <s v="R002"/>
    <n v="3"/>
    <n v="4610"/>
    <n v="29.7"/>
    <n v="9722.49"/>
    <s v="Completed"/>
    <x v="4"/>
    <s v="Home"/>
    <s v="SMB"/>
    <n v="44"/>
    <x v="0"/>
    <n v="1850"/>
  </r>
  <r>
    <s v="ORD-00896"/>
    <d v="2024-09-04T00:00:00"/>
    <s v="CUST-0036"/>
    <x v="12"/>
    <s v="R013"/>
    <n v="5"/>
    <n v="2600"/>
    <n v="21.4"/>
    <n v="10218"/>
    <s v="Completed"/>
    <x v="3"/>
    <s v="Electronics"/>
    <s v="Retail"/>
    <n v="35"/>
    <x v="1"/>
    <n v="1052"/>
  </r>
  <r>
    <s v="ORD-00600"/>
    <d v="2024-05-24T00:00:00"/>
    <s v="CUST-0269"/>
    <x v="38"/>
    <s v="R025"/>
    <n v="10"/>
    <n v="1220"/>
    <n v="24.3"/>
    <n v="9235.4"/>
    <s v="Completed"/>
    <x v="0"/>
    <s v="Electronics"/>
    <s v="Retail"/>
    <n v="48"/>
    <x v="2"/>
    <n v="517"/>
  </r>
  <r>
    <s v="ORD-00898"/>
    <d v="2024-12-20T00:00:00"/>
    <s v="CUST-9607"/>
    <x v="7"/>
    <s v="R015"/>
    <n v="10"/>
    <n v="1430"/>
    <n v="5.0999999999999996"/>
    <n v="13570.7"/>
    <s v="Cancelled"/>
    <x v="1"/>
    <s v="Electronics"/>
    <e v="#N/A"/>
    <e v="#N/A"/>
    <x v="1"/>
    <n v="861"/>
  </r>
  <r>
    <s v="ORD-00899"/>
    <d v="2024-07-05T00:00:00"/>
    <s v="CUST-0189"/>
    <x v="24"/>
    <s v="R030"/>
    <n v="10"/>
    <n v="4880"/>
    <n v="25.5"/>
    <n v="36356"/>
    <s v="Cancelled"/>
    <x v="1"/>
    <s v="Beauty"/>
    <s v="Retail"/>
    <n v="41"/>
    <x v="2"/>
    <n v="2768"/>
  </r>
  <r>
    <s v="ORD-00900"/>
    <d v="2024-08-14T00:00:00"/>
    <s v="CUST-0199"/>
    <x v="33"/>
    <s v="R028"/>
    <n v="6"/>
    <n v="6080"/>
    <n v="21.6"/>
    <n v="28600.32"/>
    <s v="Completed"/>
    <x v="5"/>
    <s v="Beauty"/>
    <s v="SMB"/>
    <n v="31"/>
    <x v="2"/>
    <n v="2617"/>
  </r>
  <r>
    <s v="ORD-00901"/>
    <d v="2024-01-28T00:00:00"/>
    <s v="CUST-0277"/>
    <x v="40"/>
    <s v="R013"/>
    <n v="3"/>
    <n v="3020"/>
    <n v="20.7"/>
    <n v="7184.58"/>
    <s v="Completed"/>
    <x v="1"/>
    <s v="Beauty"/>
    <s v="Corporate"/>
    <n v="34"/>
    <x v="1"/>
    <n v="1626"/>
  </r>
  <r>
    <s v="ORD-00902"/>
    <d v="2024-06-02T00:00:00"/>
    <s v="CUST-0108"/>
    <x v="20"/>
    <s v="R013"/>
    <n v="9"/>
    <n v="2720"/>
    <n v="21.4"/>
    <n v="19241.28"/>
    <s v="Completed"/>
    <x v="4"/>
    <s v="Apparel"/>
    <s v="Corporate"/>
    <n v="59"/>
    <x v="1"/>
    <n v="1962"/>
  </r>
  <r>
    <s v="ORD-00903"/>
    <d v="2024-05-05T00:00:00"/>
    <s v="CUST-0203"/>
    <x v="25"/>
    <s v="R025"/>
    <n v="10"/>
    <n v="3570"/>
    <n v="4.4000000000000004"/>
    <n v="34129.199999999997"/>
    <s v="Completed"/>
    <x v="1"/>
    <s v="Electronics"/>
    <s v="SMB"/>
    <n v="55"/>
    <x v="2"/>
    <n v="1665"/>
  </r>
  <r>
    <s v="ORD-00904"/>
    <d v="2024-01-18T00:00:00"/>
    <s v="CUST-0272"/>
    <x v="18"/>
    <s v="R014"/>
    <n v="8"/>
    <n v="1080"/>
    <n v="23.8"/>
    <n v="6583.68"/>
    <s v="Completed"/>
    <x v="3"/>
    <s v="Home"/>
    <s v="SMB"/>
    <n v="47"/>
    <x v="1"/>
    <n v="519"/>
  </r>
  <r>
    <s v="ORD-00905"/>
    <d v="2024-03-16T00:00:00"/>
    <s v="CUST-0039"/>
    <x v="57"/>
    <s v="R011"/>
    <n v="8"/>
    <n v="1090"/>
    <n v="17.5"/>
    <n v="7194"/>
    <s v="Completed"/>
    <x v="4"/>
    <s v="Home"/>
    <s v="Retail"/>
    <n v="37"/>
    <x v="1"/>
    <n v="464"/>
  </r>
  <r>
    <s v="ORD-00906"/>
    <d v="2024-11-19T00:00:00"/>
    <s v="CUST-0105"/>
    <x v="59"/>
    <s v="R027"/>
    <n v="7"/>
    <n v="3560"/>
    <n v="11.1"/>
    <n v="22153.88"/>
    <s v="Completed"/>
    <x v="1"/>
    <s v="Apparel"/>
    <s v="SMB"/>
    <n v="51"/>
    <x v="2"/>
    <n v="2629"/>
  </r>
  <r>
    <s v="ORD-00907"/>
    <d v="2024-07-26T00:00:00"/>
    <s v="CUST-0095"/>
    <x v="14"/>
    <s v="R022"/>
    <n v="6"/>
    <n v="190"/>
    <n v="17.100000000000001"/>
    <n v="945.06"/>
    <s v="Cancelled"/>
    <x v="3"/>
    <s v="Sports"/>
    <s v="SMB"/>
    <n v="54"/>
    <x v="3"/>
    <n v="147"/>
  </r>
  <r>
    <s v="ORD-00908"/>
    <d v="2024-03-05T00:00:00"/>
    <s v="CUST-0138"/>
    <x v="46"/>
    <s v="R025"/>
    <n v="7"/>
    <n v="4060"/>
    <n v="0.6"/>
    <n v="28249.48"/>
    <s v="Completed"/>
    <x v="1"/>
    <s v="Grocery"/>
    <s v="Retail"/>
    <n v="24"/>
    <x v="2"/>
    <n v="2911"/>
  </r>
  <r>
    <s v="ORD-00909"/>
    <d v="2024-02-24T00:00:00"/>
    <s v="CUST-0155"/>
    <x v="39"/>
    <s v="R021"/>
    <n v="4"/>
    <n v="4610"/>
    <n v="1.9"/>
    <n v="18089.64"/>
    <s v="Pending"/>
    <x v="0"/>
    <s v="Home"/>
    <s v="Corporate"/>
    <n v="40"/>
    <x v="3"/>
    <n v="1850"/>
  </r>
  <r>
    <s v="ORD-00910"/>
    <d v="2024-12-14T00:00:00"/>
    <s v="CUST-0198"/>
    <x v="37"/>
    <s v="R020"/>
    <n v="4"/>
    <n v="4070"/>
    <n v="26.8"/>
    <n v="11916.96"/>
    <s v="Completed"/>
    <x v="1"/>
    <s v="Grocery"/>
    <s v="Corporate"/>
    <n v="22"/>
    <x v="3"/>
    <n v="2027"/>
  </r>
  <r>
    <s v="ORD-00911"/>
    <d v="2024-12-07T00:00:00"/>
    <s v="CUST-0267"/>
    <x v="0"/>
    <s v="R004"/>
    <n v="4"/>
    <n v="3620"/>
    <n v="11.7"/>
    <n v="12785.84"/>
    <s v="Completed"/>
    <x v="5"/>
    <s v="Apparel"/>
    <s v="Retail"/>
    <n v="27"/>
    <x v="0"/>
    <n v="2509"/>
  </r>
  <r>
    <s v="ORD-00912"/>
    <d v="2024-05-18T00:00:00"/>
    <s v="CUST-0248"/>
    <x v="53"/>
    <s v="R030"/>
    <n v="3"/>
    <n v="3970"/>
    <n v="24.7"/>
    <n v="8968.23"/>
    <s v="Completed"/>
    <x v="1"/>
    <s v="Electronics"/>
    <s v="SMB"/>
    <n v="57"/>
    <x v="2"/>
    <n v="2865"/>
  </r>
  <r>
    <s v="ORD-00913"/>
    <d v="2024-03-04T00:00:00"/>
    <s v="CUST-0114"/>
    <x v="9"/>
    <s v="R028"/>
    <n v="4"/>
    <n v="970"/>
    <n v="0.4"/>
    <n v="3864.48"/>
    <s v="Completed"/>
    <x v="4"/>
    <s v="Grocery"/>
    <s v="Corporate"/>
    <n v="42"/>
    <x v="2"/>
    <n v="434"/>
  </r>
  <r>
    <s v="ORD-00914"/>
    <d v="2024-03-28T00:00:00"/>
    <s v="CUST-0129"/>
    <x v="6"/>
    <s v="R023"/>
    <n v="2"/>
    <n v="960"/>
    <n v="1.4"/>
    <n v="1893.12"/>
    <s v="Completed"/>
    <x v="5"/>
    <s v="Sports"/>
    <s v="Retail"/>
    <n v="29"/>
    <x v="3"/>
    <n v="705"/>
  </r>
  <r>
    <s v="ORD-00915"/>
    <d v="2024-03-24T00:00:00"/>
    <s v="CUST-0182"/>
    <x v="42"/>
    <s v="R016"/>
    <n v="7"/>
    <n v="300"/>
    <n v="20.399999999999999"/>
    <n v="1671.6"/>
    <s v="Completed"/>
    <x v="3"/>
    <s v="Electronics"/>
    <s v="Retail"/>
    <n v="54"/>
    <x v="1"/>
    <n v="128"/>
  </r>
  <r>
    <s v="ORD-00916"/>
    <d v="2024-04-15T00:00:00"/>
    <s v="CUST-0020"/>
    <x v="12"/>
    <s v="R014"/>
    <n v="8"/>
    <n v="2600"/>
    <n v="2.2000000000000002"/>
    <n v="20342.400000000001"/>
    <s v="Cancelled"/>
    <x v="5"/>
    <s v="Electronics"/>
    <s v="Retail"/>
    <n v="46"/>
    <x v="1"/>
    <n v="1052"/>
  </r>
  <r>
    <s v="ORD-00917"/>
    <d v="2024-10-06T00:00:00"/>
    <s v="CUST-0163"/>
    <x v="5"/>
    <s v="R008"/>
    <n v="2"/>
    <n v="370"/>
    <n v="17.7"/>
    <n v="609.02"/>
    <s v="Completed"/>
    <x v="0"/>
    <s v="Home"/>
    <s v="Retail"/>
    <n v="49"/>
    <x v="0"/>
    <n v="288"/>
  </r>
  <r>
    <s v="ORD-00918"/>
    <d v="2024-06-12T00:00:00"/>
    <s v="CUST-0142"/>
    <x v="16"/>
    <s v="R026"/>
    <n v="4"/>
    <n v="3450"/>
    <n v="9.8000000000000007"/>
    <n v="12447.6"/>
    <s v="Cancelled"/>
    <x v="1"/>
    <s v="Beauty"/>
    <s v="Corporate"/>
    <n v="55"/>
    <x v="2"/>
    <n v="2420"/>
  </r>
  <r>
    <s v="ORD-00919"/>
    <d v="2024-07-13T00:00:00"/>
    <s v="CUST-0221"/>
    <x v="19"/>
    <s v="R020"/>
    <n v="1"/>
    <n v="2480"/>
    <n v="5.8"/>
    <n v="2336.16"/>
    <s v="Completed"/>
    <x v="2"/>
    <s v="Apparel"/>
    <s v="SMB"/>
    <n v="29"/>
    <x v="3"/>
    <n v="1173"/>
  </r>
  <r>
    <s v="ORD-00920"/>
    <d v="2024-02-07T00:00:00"/>
    <s v="CUST-0079"/>
    <x v="3"/>
    <s v="R019"/>
    <n v="5"/>
    <n v="3660"/>
    <n v="4.7"/>
    <n v="17439.900000000001"/>
    <s v="Pending"/>
    <x v="3"/>
    <s v="Grocery"/>
    <s v="Corporate"/>
    <n v="60"/>
    <x v="3"/>
    <n v="2214"/>
  </r>
  <r>
    <s v="ORD-00921"/>
    <d v="2024-01-24T00:00:00"/>
    <s v="CUST-0133"/>
    <x v="21"/>
    <s v="R023"/>
    <n v="7"/>
    <n v="1650"/>
    <n v="8.6"/>
    <n v="10556.7"/>
    <s v="Completed"/>
    <x v="1"/>
    <s v="Beauty"/>
    <s v="Retail"/>
    <n v="26"/>
    <x v="3"/>
    <n v="1222"/>
  </r>
  <r>
    <s v="ORD-00922"/>
    <d v="2024-06-30T00:00:00"/>
    <s v="CUST-0086"/>
    <x v="14"/>
    <s v="R025"/>
    <n v="6"/>
    <n v="190"/>
    <n v="14.6"/>
    <n v="973.56"/>
    <s v="Completed"/>
    <x v="5"/>
    <s v="Sports"/>
    <s v="Corporate"/>
    <n v="56"/>
    <x v="2"/>
    <n v="147"/>
  </r>
  <r>
    <s v="ORD-00923"/>
    <d v="2024-09-11T00:00:00"/>
    <s v="CUST-0155"/>
    <x v="34"/>
    <s v="R001"/>
    <n v="5"/>
    <n v="2270"/>
    <n v="5.9"/>
    <n v="10680.35"/>
    <s v="Completed"/>
    <x v="0"/>
    <s v="Grocery"/>
    <s v="Corporate"/>
    <n v="40"/>
    <x v="0"/>
    <n v="1412"/>
  </r>
  <r>
    <s v="ORD-00924"/>
    <d v="2024-11-29T00:00:00"/>
    <s v="CUST-0244"/>
    <x v="10"/>
    <s v="R011"/>
    <n v="1"/>
    <n v="2270"/>
    <n v="14.9"/>
    <n v="1931.77"/>
    <s v="Completed"/>
    <x v="4"/>
    <s v="Grocery"/>
    <s v="Retail"/>
    <n v="61"/>
    <x v="1"/>
    <n v="1203"/>
  </r>
  <r>
    <s v="ORD-00925"/>
    <d v="2024-10-14T00:00:00"/>
    <s v="CUST-0262"/>
    <x v="55"/>
    <s v="R018"/>
    <n v="4"/>
    <n v="3450"/>
    <n v="11.7"/>
    <n v="12185.4"/>
    <s v="Cancelled"/>
    <x v="3"/>
    <s v="Apparel"/>
    <s v="Retail"/>
    <n v="52"/>
    <x v="3"/>
    <n v="1748"/>
  </r>
  <r>
    <s v="ORD-00926"/>
    <d v="2024-02-01T00:00:00"/>
    <s v="CUST-0251"/>
    <x v="40"/>
    <s v="R028"/>
    <n v="7"/>
    <n v="3020"/>
    <n v="18.8"/>
    <n v="17165.68"/>
    <s v="Completed"/>
    <x v="3"/>
    <s v="Beauty"/>
    <s v="Retail"/>
    <n v="44"/>
    <x v="2"/>
    <n v="1626"/>
  </r>
  <r>
    <s v="ORD-00927"/>
    <d v="2024-11-17T00:00:00"/>
    <s v="CUST-0007"/>
    <x v="44"/>
    <s v="R016"/>
    <n v="4"/>
    <n v="2030"/>
    <n v="25.7"/>
    <n v="6033.16"/>
    <s v="Completed"/>
    <x v="4"/>
    <s v="Home"/>
    <s v="Retail"/>
    <n v="47"/>
    <x v="1"/>
    <n v="1143"/>
  </r>
  <r>
    <s v="ORD-00928"/>
    <d v="2024-03-11T00:00:00"/>
    <s v="CUST-0161"/>
    <x v="55"/>
    <s v="R014"/>
    <n v="4"/>
    <n v="3450"/>
    <n v="3.9"/>
    <n v="13261.8"/>
    <s v="Completed"/>
    <x v="1"/>
    <s v="Apparel"/>
    <s v="Retail"/>
    <n v="38"/>
    <x v="1"/>
    <n v="1748"/>
  </r>
  <r>
    <s v="ORD-00929"/>
    <d v="2024-02-25T00:00:00"/>
    <s v="CUST-0251"/>
    <x v="51"/>
    <s v="R028"/>
    <n v="5"/>
    <n v="960"/>
    <n v="8"/>
    <n v="4416"/>
    <s v="Completed"/>
    <x v="3"/>
    <s v="Beauty"/>
    <s v="Retail"/>
    <n v="44"/>
    <x v="2"/>
    <n v="675"/>
  </r>
  <r>
    <s v="ORD-00930"/>
    <d v="2024-09-15T00:00:00"/>
    <s v="CUST-0098"/>
    <x v="53"/>
    <s v="R001"/>
    <n v="7"/>
    <n v="3970"/>
    <n v="11.7"/>
    <n v="24538.57"/>
    <s v="Completed"/>
    <x v="2"/>
    <s v="Electronics"/>
    <s v="Retail"/>
    <n v="52"/>
    <x v="0"/>
    <n v="2865"/>
  </r>
  <r>
    <s v="ORD-00931"/>
    <d v="2024-09-19T00:00:00"/>
    <s v="CUST-0200"/>
    <x v="48"/>
    <s v="R026"/>
    <n v="3"/>
    <n v="5410"/>
    <n v="10"/>
    <n v="14607"/>
    <s v="Completed"/>
    <x v="5"/>
    <s v="Sports"/>
    <s v="Corporate"/>
    <n v="46"/>
    <x v="2"/>
    <n v="2265"/>
  </r>
  <r>
    <s v="ORD-00932"/>
    <d v="2024-05-16T00:00:00"/>
    <s v="CUST-0228"/>
    <x v="25"/>
    <s v="R007"/>
    <n v="8"/>
    <n v="3570"/>
    <n v="8.5"/>
    <n v="26132.400000000001"/>
    <s v="Completed"/>
    <x v="0"/>
    <s v="Electronics"/>
    <s v="Corporate"/>
    <n v="37"/>
    <x v="0"/>
    <n v="1665"/>
  </r>
  <r>
    <s v="ORD-00933"/>
    <d v="2024-08-13T00:00:00"/>
    <s v="CUST-0095"/>
    <x v="12"/>
    <s v="R014"/>
    <n v="7"/>
    <n v="2600"/>
    <n v="27.1"/>
    <n v="13267.8"/>
    <s v="Completed"/>
    <x v="3"/>
    <s v="Electronics"/>
    <s v="SMB"/>
    <n v="54"/>
    <x v="1"/>
    <n v="1052"/>
  </r>
  <r>
    <s v="ORD-00934"/>
    <d v="2024-05-30T00:00:00"/>
    <s v="CUST-0175"/>
    <x v="2"/>
    <s v="R026"/>
    <n v="6"/>
    <n v="470"/>
    <n v="2.4"/>
    <n v="2752.32"/>
    <s v="Pending"/>
    <x v="2"/>
    <s v="Sports"/>
    <s v="Corporate"/>
    <n v="55"/>
    <x v="2"/>
    <n v="302"/>
  </r>
  <r>
    <s v="ORD-00935"/>
    <d v="2024-03-20T00:00:00"/>
    <s v="CUST-0270"/>
    <x v="2"/>
    <s v="R025"/>
    <n v="3"/>
    <n v="470"/>
    <n v="6.3"/>
    <n v="1321.17"/>
    <s v="Completed"/>
    <x v="4"/>
    <s v="Sports"/>
    <s v="Retail"/>
    <n v="29"/>
    <x v="2"/>
    <n v="302"/>
  </r>
  <r>
    <s v="ORD-00936"/>
    <d v="2024-09-05T00:00:00"/>
    <s v="CUST-0105"/>
    <x v="56"/>
    <s v="R004"/>
    <n v="3"/>
    <n v="3780"/>
    <n v="19.399999999999999"/>
    <n v="9140.0400000000009"/>
    <s v="Pending"/>
    <x v="1"/>
    <s v="Sports"/>
    <s v="SMB"/>
    <n v="51"/>
    <x v="0"/>
    <n v="1860"/>
  </r>
  <r>
    <s v="ORD-00937"/>
    <d v="2024-04-10T00:00:00"/>
    <s v="CUST-0147"/>
    <x v="58"/>
    <s v="R019"/>
    <n v="5"/>
    <n v="6940"/>
    <n v="12.6"/>
    <n v="30327.8"/>
    <s v="Completed"/>
    <x v="0"/>
    <s v="Sports"/>
    <s v="Retail"/>
    <n v="56"/>
    <x v="3"/>
    <n v="2827"/>
  </r>
  <r>
    <s v="ORD-00938"/>
    <d v="2024-04-04T00:00:00"/>
    <s v="CUST-0106"/>
    <x v="35"/>
    <s v="R030"/>
    <n v="2"/>
    <n v="3870"/>
    <n v="10.5"/>
    <n v="6927.3"/>
    <s v="Completed"/>
    <x v="0"/>
    <s v="Electronics"/>
    <s v="Retail"/>
    <n v="22"/>
    <x v="2"/>
    <n v="1559"/>
  </r>
  <r>
    <s v="ORD-00939"/>
    <d v="2024-08-12T00:00:00"/>
    <s v="CUST-0130"/>
    <x v="48"/>
    <s v="R014"/>
    <n v="8"/>
    <n v="5410"/>
    <n v="28.4"/>
    <n v="30988.48"/>
    <s v="Pending"/>
    <x v="4"/>
    <s v="Sports"/>
    <s v="Corporate"/>
    <n v="41"/>
    <x v="1"/>
    <n v="2265"/>
  </r>
  <r>
    <s v="ORD-00940"/>
    <d v="2024-11-22T00:00:00"/>
    <s v="CUST-0241"/>
    <x v="53"/>
    <s v="R030"/>
    <n v="7"/>
    <n v="3970"/>
    <n v="12.3"/>
    <n v="24371.83"/>
    <s v="Completed"/>
    <x v="0"/>
    <s v="Electronics"/>
    <s v="Corporate"/>
    <n v="47"/>
    <x v="2"/>
    <n v="2865"/>
  </r>
  <r>
    <s v="ORD-00941"/>
    <d v="2024-11-14T00:00:00"/>
    <s v="CUST-0151"/>
    <x v="58"/>
    <s v="R001"/>
    <n v="5"/>
    <n v="6940"/>
    <n v="1.5"/>
    <n v="34179.5"/>
    <s v="Completed"/>
    <x v="3"/>
    <s v="Sports"/>
    <s v="Retail"/>
    <n v="53"/>
    <x v="0"/>
    <n v="2827"/>
  </r>
  <r>
    <s v="ORD-00942"/>
    <d v="2024-09-06T00:00:00"/>
    <s v="CUST-0022"/>
    <x v="4"/>
    <s v="R006"/>
    <n v="7"/>
    <n v="3160"/>
    <n v="2.4"/>
    <n v="21589.119999999999"/>
    <s v="Refunded"/>
    <x v="4"/>
    <s v="Apparel"/>
    <s v="Corporate"/>
    <n v="55"/>
    <x v="0"/>
    <n v="1886"/>
  </r>
  <r>
    <s v="ORD-00943"/>
    <d v="2024-07-24T00:00:00"/>
    <s v="CUST-0030"/>
    <x v="1"/>
    <s v="R024"/>
    <n v="2"/>
    <n v="820"/>
    <n v="8.1"/>
    <n v="1507.16"/>
    <s v="Completed"/>
    <x v="4"/>
    <s v="Apparel"/>
    <s v="Corporate"/>
    <n v="43"/>
    <x v="2"/>
    <n v="391"/>
  </r>
  <r>
    <s v="ORD-00944"/>
    <d v="2024-10-02T00:00:00"/>
    <s v="CUST-0176"/>
    <x v="36"/>
    <s v="R030"/>
    <n v="2"/>
    <n v="1540"/>
    <n v="17.7"/>
    <n v="2534.84"/>
    <s v="Completed"/>
    <x v="4"/>
    <s v="Beauty"/>
    <s v="SMB"/>
    <n v="34"/>
    <x v="2"/>
    <n v="647"/>
  </r>
  <r>
    <s v="ORD-00945"/>
    <d v="2024-06-08T00:00:00"/>
    <s v="CUST-0270"/>
    <x v="35"/>
    <s v="R001"/>
    <n v="10"/>
    <n v="3870"/>
    <n v="12.2"/>
    <n v="33978.6"/>
    <s v="Refunded"/>
    <x v="4"/>
    <s v="Electronics"/>
    <s v="Retail"/>
    <n v="29"/>
    <x v="0"/>
    <n v="1559"/>
  </r>
  <r>
    <s v="ORD-00946"/>
    <d v="2024-07-15T00:00:00"/>
    <s v="CUST-0216"/>
    <x v="41"/>
    <s v="R002"/>
    <n v="7"/>
    <n v="2660"/>
    <n v="4.7"/>
    <n v="17744.86"/>
    <s v="Completed"/>
    <x v="3"/>
    <s v="Electronics"/>
    <s v="Retail"/>
    <n v="50"/>
    <x v="0"/>
    <n v="1259"/>
  </r>
  <r>
    <s v="ORD-00947"/>
    <d v="2024-05-19T00:00:00"/>
    <s v="CUST-0187"/>
    <x v="25"/>
    <s v="R009"/>
    <n v="4"/>
    <n v="3570"/>
    <n v="19.3"/>
    <n v="11523.96"/>
    <s v="Completed"/>
    <x v="1"/>
    <s v="Electronics"/>
    <s v="SMB"/>
    <n v="51"/>
    <x v="1"/>
    <n v="1665"/>
  </r>
  <r>
    <s v="ORD-00948"/>
    <d v="2024-04-11T00:00:00"/>
    <s v="CUST-0143"/>
    <x v="44"/>
    <s v="R002"/>
    <n v="2"/>
    <n v="2030"/>
    <n v="2.6"/>
    <n v="3954.44"/>
    <s v="Completed"/>
    <x v="1"/>
    <s v="Home"/>
    <s v="SMB"/>
    <n v="52"/>
    <x v="0"/>
    <n v="1143"/>
  </r>
  <r>
    <s v="ORD-00949"/>
    <d v="2024-05-15T00:00:00"/>
    <s v="CUST-0104"/>
    <x v="4"/>
    <s v="R013"/>
    <n v="6"/>
    <n v="3160"/>
    <n v="25.8"/>
    <n v="14068.32"/>
    <s v="Completed"/>
    <x v="5"/>
    <s v="Apparel"/>
    <s v="Corporate"/>
    <n v="43"/>
    <x v="1"/>
    <n v="1886"/>
  </r>
  <r>
    <s v="ORD-00950"/>
    <d v="2024-10-26T00:00:00"/>
    <s v="CUST-0121"/>
    <x v="54"/>
    <s v="R014"/>
    <n v="4"/>
    <n v="5080"/>
    <n v="2"/>
    <n v="19913.599999999999"/>
    <s v="Completed"/>
    <x v="6"/>
    <s v="Home"/>
    <s v="SMB"/>
    <n v="55"/>
    <x v="1"/>
    <n v="2459"/>
  </r>
  <r>
    <s v="ORD-00951"/>
    <d v="2024-02-05T00:00:00"/>
    <s v="CUST-0228"/>
    <x v="16"/>
    <s v="R010"/>
    <n v="6"/>
    <n v="3450"/>
    <n v="1.8"/>
    <n v="20327.400000000001"/>
    <s v="Cancelled"/>
    <x v="0"/>
    <s v="Beauty"/>
    <s v="Corporate"/>
    <n v="37"/>
    <x v="1"/>
    <n v="2420"/>
  </r>
  <r>
    <s v="ORD-00952"/>
    <d v="2024-10-10T00:00:00"/>
    <s v="CUST-0218"/>
    <x v="17"/>
    <s v="R016"/>
    <n v="3"/>
    <n v="3450"/>
    <n v="4.7"/>
    <n v="9863.5499999999993"/>
    <s v="Pending"/>
    <x v="3"/>
    <s v="Sports"/>
    <s v="Retail"/>
    <n v="39"/>
    <x v="1"/>
    <n v="2467"/>
  </r>
  <r>
    <s v="ORD-00953"/>
    <d v="2024-03-16T00:00:00"/>
    <s v="CUST-0118"/>
    <x v="49"/>
    <s v="R027"/>
    <n v="7"/>
    <n v="5330"/>
    <n v="16.399999999999999"/>
    <n v="31191.16"/>
    <s v="Completed"/>
    <x v="5"/>
    <s v="Electronics"/>
    <s v="Retail"/>
    <n v="26"/>
    <x v="2"/>
    <n v="2405"/>
  </r>
  <r>
    <s v="ORD-00954"/>
    <d v="2024-08-18T00:00:00"/>
    <s v="CUST-0262"/>
    <x v="45"/>
    <s v="R003"/>
    <n v="6"/>
    <n v="2210"/>
    <n v="13.1"/>
    <n v="11522.94"/>
    <s v="Completed"/>
    <x v="3"/>
    <s v="Grocery"/>
    <s v="Retail"/>
    <n v="52"/>
    <x v="0"/>
    <n v="1010"/>
  </r>
  <r>
    <s v="ORD-00955"/>
    <d v="2024-10-14T00:00:00"/>
    <s v="CUST-0137"/>
    <x v="18"/>
    <s v="R026"/>
    <n v="8"/>
    <n v="1080"/>
    <n v="8.6999999999999993"/>
    <n v="7888.32"/>
    <s v="Completed"/>
    <x v="3"/>
    <s v="Home"/>
    <s v="Retail"/>
    <n v="41"/>
    <x v="2"/>
    <n v="519"/>
  </r>
  <r>
    <s v="ORD-00956"/>
    <d v="2024-07-22T00:00:00"/>
    <s v="CUST-0145"/>
    <x v="0"/>
    <s v="R015"/>
    <n v="5"/>
    <n v="3620"/>
    <n v="16.100000000000001"/>
    <n v="15185.9"/>
    <s v="Completed"/>
    <x v="4"/>
    <s v="Apparel"/>
    <s v="SMB"/>
    <n v="44"/>
    <x v="1"/>
    <n v="2509"/>
  </r>
  <r>
    <s v="ORD-00957"/>
    <d v="2024-07-10T00:00:00"/>
    <s v="CUST-0275"/>
    <x v="59"/>
    <s v="R011"/>
    <n v="7"/>
    <n v="3560"/>
    <n v="8.5"/>
    <n v="22801.8"/>
    <s v="Completed"/>
    <x v="3"/>
    <s v="Apparel"/>
    <s v="Retail"/>
    <n v="36"/>
    <x v="1"/>
    <n v="2629"/>
  </r>
  <r>
    <s v="ORD-00958"/>
    <d v="2024-07-23T00:00:00"/>
    <s v="CUST-0189"/>
    <x v="44"/>
    <s v="R025"/>
    <n v="8"/>
    <n v="2030"/>
    <n v="18.100000000000001"/>
    <n v="13300.56"/>
    <s v="Completed"/>
    <x v="1"/>
    <s v="Home"/>
    <s v="Retail"/>
    <n v="41"/>
    <x v="2"/>
    <n v="1143"/>
  </r>
  <r>
    <s v="ORD-00959"/>
    <d v="2024-02-28T00:00:00"/>
    <s v="CUST-0105"/>
    <x v="21"/>
    <s v="R011"/>
    <n v="10"/>
    <n v="1650"/>
    <n v="7.1"/>
    <n v="15328.5"/>
    <s v="Completed"/>
    <x v="1"/>
    <s v="Beauty"/>
    <s v="SMB"/>
    <n v="51"/>
    <x v="1"/>
    <n v="1222"/>
  </r>
  <r>
    <s v="ORD-00960"/>
    <d v="2024-08-13T00:00:00"/>
    <s v="CUST-0284"/>
    <x v="28"/>
    <s v="R017"/>
    <n v="4"/>
    <n v="2760"/>
    <n v="17.600000000000001"/>
    <n v="9096.9599999999991"/>
    <s v="Cancelled"/>
    <x v="5"/>
    <s v="Grocery"/>
    <s v="SMB"/>
    <n v="65"/>
    <x v="3"/>
    <n v="1435"/>
  </r>
  <r>
    <s v="ORD-00961"/>
    <d v="2024-06-17T00:00:00"/>
    <s v="CUST-0296"/>
    <x v="53"/>
    <s v="R009"/>
    <n v="4"/>
    <n v="3970"/>
    <n v="4.3"/>
    <n v="15197.16"/>
    <s v="Completed"/>
    <x v="2"/>
    <s v="Electronics"/>
    <s v="Corporate"/>
    <n v="47"/>
    <x v="1"/>
    <n v="2865"/>
  </r>
  <r>
    <s v="ORD-00962"/>
    <d v="2024-08-05T00:00:00"/>
    <s v="CUST-0087"/>
    <x v="33"/>
    <s v="R010"/>
    <n v="2"/>
    <n v="6080"/>
    <n v="23.8"/>
    <n v="9265.92"/>
    <s v="Completed"/>
    <x v="0"/>
    <s v="Beauty"/>
    <s v="SMB"/>
    <n v="49"/>
    <x v="1"/>
    <n v="2617"/>
  </r>
  <r>
    <s v="ORD-00963"/>
    <d v="2024-11-06T00:00:00"/>
    <s v="CUST-0012"/>
    <x v="10"/>
    <s v="R004"/>
    <n v="4"/>
    <n v="2270"/>
    <n v="28.9"/>
    <n v="6455.88"/>
    <s v="Completed"/>
    <x v="0"/>
    <s v="Grocery"/>
    <s v="Retail"/>
    <n v="43"/>
    <x v="0"/>
    <n v="1203"/>
  </r>
  <r>
    <s v="ORD-00964"/>
    <d v="2024-05-29T00:00:00"/>
    <s v="CUST-0241"/>
    <x v="53"/>
    <s v="R004"/>
    <n v="10"/>
    <n v="3970"/>
    <n v="26.2"/>
    <n v="29298.6"/>
    <s v="Completed"/>
    <x v="0"/>
    <s v="Electronics"/>
    <s v="Corporate"/>
    <n v="47"/>
    <x v="0"/>
    <n v="2865"/>
  </r>
  <r>
    <s v="ORD-00965"/>
    <d v="2024-03-27T00:00:00"/>
    <s v="CUST-0133"/>
    <x v="26"/>
    <s v="R013"/>
    <n v="4"/>
    <n v="5100"/>
    <n v="2.1"/>
    <n v="19971.599999999999"/>
    <s v="Completed"/>
    <x v="1"/>
    <s v="Beauty"/>
    <s v="Retail"/>
    <n v="26"/>
    <x v="1"/>
    <n v="2237"/>
  </r>
  <r>
    <s v="ORD-00966"/>
    <d v="2024-05-16T00:00:00"/>
    <s v="CUST-0230"/>
    <x v="40"/>
    <s v="R024"/>
    <n v="5"/>
    <n v="3020"/>
    <n v="17.3"/>
    <n v="12487.7"/>
    <s v="Completed"/>
    <x v="0"/>
    <s v="Beauty"/>
    <s v="Corporate"/>
    <n v="33"/>
    <x v="2"/>
    <n v="1626"/>
  </r>
  <r>
    <s v="ORD-00967"/>
    <d v="2024-08-17T00:00:00"/>
    <s v="CUST-0126"/>
    <x v="6"/>
    <s v="R016"/>
    <n v="8"/>
    <n v="960"/>
    <n v="1.3"/>
    <n v="7580.16"/>
    <s v="Cancelled"/>
    <x v="3"/>
    <s v="Sports"/>
    <s v="Retail"/>
    <n v="37"/>
    <x v="1"/>
    <n v="705"/>
  </r>
  <r>
    <s v="ORD-00968"/>
    <d v="2024-11-16T00:00:00"/>
    <s v="CUST-0233"/>
    <x v="19"/>
    <s v="R008"/>
    <n v="9"/>
    <n v="2480"/>
    <n v="15.6"/>
    <n v="18838.080000000002"/>
    <s v="Completed"/>
    <x v="3"/>
    <s v="Apparel"/>
    <s v="SMB"/>
    <n v="65"/>
    <x v="0"/>
    <n v="1173"/>
  </r>
  <r>
    <s v="ORD-00969"/>
    <d v="2024-10-01T00:00:00"/>
    <s v="CUST-9555"/>
    <x v="9"/>
    <s v="R012"/>
    <n v="1"/>
    <n v="970"/>
    <n v="24.9"/>
    <n v="728.47"/>
    <s v="Completed"/>
    <x v="4"/>
    <s v="Grocery"/>
    <e v="#N/A"/>
    <e v="#N/A"/>
    <x v="1"/>
    <n v="434"/>
  </r>
  <r>
    <s v="ORD-00970"/>
    <d v="2024-11-10T00:00:00"/>
    <s v="CUST-0150"/>
    <x v="50"/>
    <s v="R022"/>
    <n v="4"/>
    <n v="2380"/>
    <n v="9.5"/>
    <n v="8615.6"/>
    <s v="Cancelled"/>
    <x v="0"/>
    <s v="Grocery"/>
    <s v="SMB"/>
    <n v="53"/>
    <x v="3"/>
    <n v="1182"/>
  </r>
  <r>
    <s v="ORD-00971"/>
    <d v="2024-05-11T00:00:00"/>
    <s v="CUST-0204"/>
    <x v="48"/>
    <s v="R005"/>
    <n v="4"/>
    <n v="5410"/>
    <n v="18.7"/>
    <n v="17593.32"/>
    <s v="Completed"/>
    <x v="5"/>
    <s v="Sports"/>
    <s v="Retail"/>
    <n v="60"/>
    <x v="0"/>
    <n v="2265"/>
  </r>
  <r>
    <s v="ORD-00972"/>
    <d v="2024-10-08T00:00:00"/>
    <s v="CUST-0040"/>
    <x v="54"/>
    <s v="R022"/>
    <n v="7"/>
    <n v="5080"/>
    <n v="6.5"/>
    <n v="33248.6"/>
    <s v="Completed"/>
    <x v="1"/>
    <s v="Home"/>
    <s v="Retail"/>
    <n v="28"/>
    <x v="3"/>
    <n v="2459"/>
  </r>
  <r>
    <s v="ORD-00973"/>
    <d v="2024-02-17T00:00:00"/>
    <s v="CUST-0060"/>
    <x v="7"/>
    <s v="R025"/>
    <n v="5"/>
    <n v="1430"/>
    <n v="19.8"/>
    <n v="5734.3"/>
    <s v="Completed"/>
    <x v="0"/>
    <s v="Electronics"/>
    <s v="Retail"/>
    <n v="39"/>
    <x v="2"/>
    <n v="861"/>
  </r>
  <r>
    <s v="ORD-00974"/>
    <d v="2024-11-15T00:00:00"/>
    <s v="CUST-0017"/>
    <x v="29"/>
    <s v="R011"/>
    <n v="7"/>
    <n v="660"/>
    <n v="17.3"/>
    <n v="3820.74"/>
    <s v="Completed"/>
    <x v="2"/>
    <s v="Home"/>
    <s v="SMB"/>
    <n v="38"/>
    <x v="1"/>
    <n v="329"/>
  </r>
  <r>
    <s v="ORD-00975"/>
    <d v="2024-08-01T00:00:00"/>
    <s v="CUST-0093"/>
    <x v="36"/>
    <s v="R004"/>
    <n v="10"/>
    <n v="1540"/>
    <n v="17.5"/>
    <n v="12705"/>
    <s v="Completed"/>
    <x v="0"/>
    <s v="Beauty"/>
    <s v="Retail"/>
    <n v="36"/>
    <x v="0"/>
    <n v="647"/>
  </r>
  <r>
    <s v="ORD-01662"/>
    <d v="2024-03-07T00:00:00"/>
    <s v="CUST-0068"/>
    <x v="45"/>
    <s v="R003"/>
    <n v="10"/>
    <n v="2210"/>
    <n v="24.1"/>
    <n v="16773.900000000001"/>
    <s v="Pending"/>
    <x v="2"/>
    <s v="Grocery"/>
    <s v="SMB"/>
    <n v="48"/>
    <x v="0"/>
    <n v="1010"/>
  </r>
  <r>
    <s v="ORD-00977"/>
    <d v="2024-08-15T00:00:00"/>
    <s v="CUST-0251"/>
    <x v="6"/>
    <s v="R022"/>
    <n v="4"/>
    <n v="960"/>
    <n v="13.4"/>
    <n v="3325.44"/>
    <s v="Completed"/>
    <x v="3"/>
    <s v="Sports"/>
    <s v="Retail"/>
    <n v="44"/>
    <x v="3"/>
    <n v="705"/>
  </r>
  <r>
    <s v="ORD-00978"/>
    <d v="2024-12-02T00:00:00"/>
    <s v="CUST-0076"/>
    <x v="16"/>
    <s v="R022"/>
    <n v="8"/>
    <n v="3450"/>
    <n v="3.7"/>
    <n v="26578.799999999999"/>
    <s v="Completed"/>
    <x v="3"/>
    <s v="Beauty"/>
    <s v="Retail"/>
    <n v="38"/>
    <x v="3"/>
    <n v="2420"/>
  </r>
  <r>
    <s v="ORD-00979"/>
    <d v="2024-07-08T00:00:00"/>
    <s v="CUST-9927"/>
    <x v="44"/>
    <s v="R005"/>
    <n v="6"/>
    <n v="2030"/>
    <n v="9.5"/>
    <n v="11022.9"/>
    <s v="Completed"/>
    <x v="3"/>
    <s v="Home"/>
    <e v="#N/A"/>
    <e v="#N/A"/>
    <x v="0"/>
    <n v="1143"/>
  </r>
  <r>
    <s v="ORD-00980"/>
    <d v="2024-04-17T00:00:00"/>
    <s v="CUST-0135"/>
    <x v="55"/>
    <s v="R009"/>
    <n v="7"/>
    <n v="3450"/>
    <n v="28.2"/>
    <n v="17339.7"/>
    <s v="Completed"/>
    <x v="0"/>
    <s v="Apparel"/>
    <s v="SMB"/>
    <n v="24"/>
    <x v="1"/>
    <n v="1748"/>
  </r>
  <r>
    <s v="ORD-00981"/>
    <d v="2024-08-27T00:00:00"/>
    <s v="CUST-0163"/>
    <x v="31"/>
    <s v="R011"/>
    <n v="7"/>
    <n v="3780"/>
    <n v="15.1"/>
    <n v="22464.54"/>
    <s v="Completed"/>
    <x v="0"/>
    <s v="Grocery"/>
    <s v="Retail"/>
    <n v="49"/>
    <x v="1"/>
    <n v="2436"/>
  </r>
  <r>
    <s v="ORD-00947"/>
    <d v="2024-05-05T00:00:00"/>
    <s v="CUST-0107"/>
    <x v="28"/>
    <s v="R002"/>
    <n v="4"/>
    <n v="2760"/>
    <n v="14.8"/>
    <n v="9406.08"/>
    <s v="Completed"/>
    <x v="0"/>
    <s v="Grocery"/>
    <s v="Retail"/>
    <n v="50"/>
    <x v="0"/>
    <n v="1435"/>
  </r>
  <r>
    <s v="ORD-00983"/>
    <d v="2024-02-05T00:00:00"/>
    <s v="CUST-0209"/>
    <x v="36"/>
    <s v="R029"/>
    <n v="4"/>
    <n v="1540"/>
    <n v="13.9"/>
    <n v="5303.76"/>
    <s v="Completed"/>
    <x v="0"/>
    <s v="Beauty"/>
    <s v="Retail"/>
    <n v="31"/>
    <x v="2"/>
    <n v="647"/>
  </r>
  <r>
    <s v="ORD-00984"/>
    <d v="2024-05-26T00:00:00"/>
    <s v="CUST-0074"/>
    <x v="30"/>
    <s v="R007"/>
    <n v="2"/>
    <n v="3730"/>
    <n v="15.7"/>
    <n v="6288.78"/>
    <s v="Cancelled"/>
    <x v="4"/>
    <s v="Home"/>
    <s v="Retail"/>
    <n v="27"/>
    <x v="0"/>
    <n v="2135"/>
  </r>
  <r>
    <s v="ORD-00985"/>
    <d v="2024-10-12T00:00:00"/>
    <s v="CUST-0037"/>
    <x v="30"/>
    <s v="R027"/>
    <n v="4"/>
    <n v="3730"/>
    <n v="2.1"/>
    <n v="14606.68"/>
    <s v="Completed"/>
    <x v="4"/>
    <s v="Home"/>
    <s v="Retail"/>
    <n v="52"/>
    <x v="2"/>
    <n v="2135"/>
  </r>
  <r>
    <s v="ORD-00986"/>
    <d v="2024-06-14T00:00:00"/>
    <s v="CUST-0026"/>
    <x v="4"/>
    <s v="R013"/>
    <n v="1"/>
    <n v="3160"/>
    <n v="29.8"/>
    <n v="2218.3200000000002"/>
    <s v="Completed"/>
    <x v="0"/>
    <s v="Apparel"/>
    <s v="Retail"/>
    <n v="62"/>
    <x v="1"/>
    <n v="1886"/>
  </r>
  <r>
    <s v="ORD-00987"/>
    <d v="2024-09-09T00:00:00"/>
    <s v="CUST-0151"/>
    <x v="52"/>
    <s v="R022"/>
    <n v="9"/>
    <n v="2290"/>
    <n v="8.3000000000000007"/>
    <n v="18899.37"/>
    <s v="Pending"/>
    <x v="3"/>
    <s v="Beauty"/>
    <s v="Retail"/>
    <n v="53"/>
    <x v="3"/>
    <n v="1219"/>
  </r>
  <r>
    <s v="ORD-00988"/>
    <d v="2024-12-06T00:00:00"/>
    <s v="CUST-0210"/>
    <x v="35"/>
    <s v="R013"/>
    <n v="2"/>
    <n v="3870"/>
    <n v="5.2"/>
    <n v="7337.52"/>
    <s v="Completed"/>
    <x v="0"/>
    <s v="Electronics"/>
    <s v="Corporate"/>
    <n v="48"/>
    <x v="1"/>
    <n v="1559"/>
  </r>
  <r>
    <s v="ORD-00989"/>
    <d v="2024-06-22T00:00:00"/>
    <s v="CUST-0192"/>
    <x v="25"/>
    <s v="R007"/>
    <n v="5"/>
    <n v="3570"/>
    <n v="19.899999999999999"/>
    <n v="14297.85"/>
    <s v="Completed"/>
    <x v="4"/>
    <s v="Electronics"/>
    <s v="Retail"/>
    <n v="55"/>
    <x v="0"/>
    <n v="1665"/>
  </r>
  <r>
    <s v="ORD-00990"/>
    <d v="2024-02-20T00:00:00"/>
    <s v="CUST-0161"/>
    <x v="23"/>
    <s v="R001"/>
    <n v="5"/>
    <n v="1010"/>
    <n v="2.2000000000000002"/>
    <n v="4938.8999999999996"/>
    <s v="Completed"/>
    <x v="1"/>
    <s v="Sports"/>
    <s v="Retail"/>
    <n v="38"/>
    <x v="0"/>
    <n v="516"/>
  </r>
  <r>
    <s v="ORD-00991"/>
    <d v="2024-01-18T00:00:00"/>
    <s v="CUST-0255"/>
    <x v="52"/>
    <s v="R004"/>
    <n v="10"/>
    <n v="2290"/>
    <n v="16.8"/>
    <n v="19052.8"/>
    <s v="Cancelled"/>
    <x v="1"/>
    <s v="Beauty"/>
    <s v="Corporate"/>
    <n v="51"/>
    <x v="0"/>
    <n v="1219"/>
  </r>
  <r>
    <s v="ORD-00992"/>
    <d v="2024-07-20T00:00:00"/>
    <s v="CUST-0027"/>
    <x v="39"/>
    <s v="R019"/>
    <n v="3"/>
    <n v="4610"/>
    <n v="13.2"/>
    <n v="12004.44"/>
    <s v="Pending"/>
    <x v="5"/>
    <s v="Home"/>
    <s v="Corporate"/>
    <n v="52"/>
    <x v="3"/>
    <n v="1850"/>
  </r>
  <r>
    <s v="ORD-00993"/>
    <d v="2024-03-05T00:00:00"/>
    <s v="CUST-0228"/>
    <x v="47"/>
    <s v="R003"/>
    <n v="1"/>
    <n v="2510"/>
    <n v="16.899999999999999"/>
    <n v="2085.81"/>
    <s v="Completed"/>
    <x v="0"/>
    <s v="Apparel"/>
    <s v="Corporate"/>
    <n v="37"/>
    <x v="0"/>
    <n v="1075"/>
  </r>
  <r>
    <s v="ORD-00994"/>
    <d v="2024-03-16T00:00:00"/>
    <s v="CUST-0183"/>
    <x v="40"/>
    <s v="R009"/>
    <n v="1"/>
    <n v="3020"/>
    <n v="26.7"/>
    <n v="2213.66"/>
    <s v="Completed"/>
    <x v="3"/>
    <s v="Beauty"/>
    <s v="SMB"/>
    <n v="27"/>
    <x v="1"/>
    <n v="1626"/>
  </r>
  <r>
    <s v="ORD-00995"/>
    <d v="2024-01-22T00:00:00"/>
    <s v="CUST-0026"/>
    <x v="14"/>
    <s v="R012"/>
    <n v="6"/>
    <n v="190"/>
    <n v="7.1"/>
    <n v="1059.06"/>
    <s v="Completed"/>
    <x v="0"/>
    <s v="Sports"/>
    <s v="Retail"/>
    <n v="62"/>
    <x v="1"/>
    <n v="147"/>
  </r>
  <r>
    <s v="ORD-00996"/>
    <d v="2024-08-25T00:00:00"/>
    <s v="CUST-0211"/>
    <x v="44"/>
    <s v="R002"/>
    <n v="6"/>
    <n v="2030"/>
    <n v="13.5"/>
    <n v="10535.7"/>
    <s v="Cancelled"/>
    <x v="4"/>
    <s v="Home"/>
    <s v="Retail"/>
    <n v="36"/>
    <x v="0"/>
    <n v="1143"/>
  </r>
  <r>
    <s v="ORD-00997"/>
    <d v="2024-09-12T00:00:00"/>
    <s v="CUST-0190"/>
    <x v="13"/>
    <s v="R012"/>
    <n v="10"/>
    <n v="3250"/>
    <n v="8.6999999999999993"/>
    <n v="29672.5"/>
    <s v="Completed"/>
    <x v="5"/>
    <s v="Home"/>
    <s v="Retail"/>
    <n v="52"/>
    <x v="1"/>
    <n v="1556"/>
  </r>
  <r>
    <s v="ORD-00998"/>
    <d v="2024-01-08T00:00:00"/>
    <s v="CUST-0172"/>
    <x v="44"/>
    <s v="R029"/>
    <n v="9"/>
    <n v="2030"/>
    <n v="29.3"/>
    <n v="12916.89"/>
    <s v="Completed"/>
    <x v="0"/>
    <s v="Home"/>
    <s v="Retail"/>
    <n v="65"/>
    <x v="2"/>
    <n v="1143"/>
  </r>
  <r>
    <s v="ORD-00999"/>
    <d v="2024-03-29T00:00:00"/>
    <s v="CUST-0272"/>
    <x v="50"/>
    <s v="R025"/>
    <n v="1"/>
    <n v="2380"/>
    <n v="12.9"/>
    <n v="2072.98"/>
    <s v="Completed"/>
    <x v="3"/>
    <s v="Grocery"/>
    <s v="SMB"/>
    <n v="47"/>
    <x v="2"/>
    <n v="1182"/>
  </r>
  <r>
    <s v="ORD-01000"/>
    <d v="2024-08-17T00:00:00"/>
    <s v="CUST-0232"/>
    <x v="55"/>
    <s v="R024"/>
    <n v="10"/>
    <n v="3450"/>
    <n v="18.5"/>
    <n v="28117.5"/>
    <s v="Completed"/>
    <x v="5"/>
    <s v="Apparel"/>
    <s v="Retail"/>
    <n v="38"/>
    <x v="2"/>
    <n v="1748"/>
  </r>
  <r>
    <s v="ORD-01001"/>
    <d v="2024-07-27T00:00:00"/>
    <s v="CUST-0282"/>
    <x v="4"/>
    <s v="R002"/>
    <n v="10"/>
    <n v="3160"/>
    <n v="26.3"/>
    <n v="23289.200000000001"/>
    <s v="Completed"/>
    <x v="5"/>
    <s v="Apparel"/>
    <s v="Corporate"/>
    <n v="29"/>
    <x v="0"/>
    <n v="1886"/>
  </r>
  <r>
    <s v="ORD-01002"/>
    <d v="2024-08-27T00:00:00"/>
    <s v="CUST-0164"/>
    <x v="8"/>
    <s v="R026"/>
    <n v="10"/>
    <n v="5490"/>
    <n v="22.7"/>
    <n v="42437.7"/>
    <s v="Completed"/>
    <x v="1"/>
    <s v="Home"/>
    <s v="Retail"/>
    <n v="60"/>
    <x v="2"/>
    <n v="2549"/>
  </r>
  <r>
    <s v="ORD-01003"/>
    <d v="2024-09-28T00:00:00"/>
    <s v="CUST-0212"/>
    <x v="27"/>
    <s v="R006"/>
    <n v="8"/>
    <n v="2860"/>
    <n v="14.3"/>
    <n v="19608.16"/>
    <s v="Completed"/>
    <x v="1"/>
    <s v="Sports"/>
    <s v="SMB"/>
    <n v="46"/>
    <x v="0"/>
    <n v="2028"/>
  </r>
  <r>
    <s v="ORD-01004"/>
    <d v="2024-05-04T00:00:00"/>
    <s v="CUST-0234"/>
    <x v="51"/>
    <s v="R011"/>
    <n v="1"/>
    <n v="960"/>
    <n v="11.9"/>
    <n v="845.76"/>
    <s v="Completed"/>
    <x v="4"/>
    <s v="Beauty"/>
    <s v="Retail"/>
    <n v="34"/>
    <x v="1"/>
    <n v="675"/>
  </r>
  <r>
    <s v="ORD-01005"/>
    <d v="2024-05-18T00:00:00"/>
    <s v="CUST-0292"/>
    <x v="18"/>
    <s v="R007"/>
    <n v="3"/>
    <n v="1080"/>
    <n v="26"/>
    <n v="2397.6"/>
    <s v="Completed"/>
    <x v="4"/>
    <s v="Home"/>
    <s v="Retail"/>
    <n v="32"/>
    <x v="0"/>
    <n v="519"/>
  </r>
  <r>
    <s v="ORD-01006"/>
    <d v="2024-10-20T00:00:00"/>
    <s v="CUST-0018"/>
    <x v="27"/>
    <s v="R001"/>
    <n v="10"/>
    <n v="2860"/>
    <n v="13.1"/>
    <n v="24853.4"/>
    <s v="Refunded"/>
    <x v="0"/>
    <s v="Sports"/>
    <s v="SMB"/>
    <n v="54"/>
    <x v="0"/>
    <n v="2028"/>
  </r>
  <r>
    <s v="ORD-01007"/>
    <d v="2024-12-04T00:00:00"/>
    <s v="CUST-0220"/>
    <x v="32"/>
    <s v="R001"/>
    <n v="3"/>
    <n v="3640"/>
    <n v="18.2"/>
    <n v="8932.56"/>
    <s v="Completed"/>
    <x v="1"/>
    <s v="Apparel"/>
    <s v="Retail"/>
    <n v="34"/>
    <x v="0"/>
    <n v="2611"/>
  </r>
  <r>
    <s v="ORD-01008"/>
    <d v="2024-04-23T00:00:00"/>
    <s v="CUST-0064"/>
    <x v="20"/>
    <s v="R018"/>
    <n v="3"/>
    <n v="2720"/>
    <n v="3.6"/>
    <n v="7866.24"/>
    <s v="Completed"/>
    <x v="5"/>
    <s v="Apparel"/>
    <s v="SMB"/>
    <n v="40"/>
    <x v="3"/>
    <n v="1962"/>
  </r>
  <r>
    <s v="ORD-01009"/>
    <d v="2024-12-04T00:00:00"/>
    <s v="CUST-0077"/>
    <x v="10"/>
    <s v="R008"/>
    <n v="4"/>
    <n v="2270"/>
    <n v="18.399999999999999"/>
    <n v="7409.28"/>
    <s v="Completed"/>
    <x v="5"/>
    <s v="Grocery"/>
    <s v="SMB"/>
    <n v="48"/>
    <x v="0"/>
    <n v="1203"/>
  </r>
  <r>
    <s v="ORD-01010"/>
    <d v="2024-07-10T00:00:00"/>
    <s v="CUST-0229"/>
    <x v="38"/>
    <s v="R029"/>
    <n v="5"/>
    <n v="1220"/>
    <n v="13.9"/>
    <n v="5252.1"/>
    <s v="Completed"/>
    <x v="5"/>
    <s v="Electronics"/>
    <s v="SMB"/>
    <n v="25"/>
    <x v="2"/>
    <n v="517"/>
  </r>
  <r>
    <s v="ORD-01011"/>
    <d v="2024-08-26T00:00:00"/>
    <s v="CUST-0129"/>
    <x v="11"/>
    <s v="R015"/>
    <n v="8"/>
    <n v="2640"/>
    <n v="17.3"/>
    <n v="17466.240000000002"/>
    <s v="Completed"/>
    <x v="5"/>
    <s v="Electronics"/>
    <s v="Retail"/>
    <n v="29"/>
    <x v="1"/>
    <n v="1149"/>
  </r>
  <r>
    <s v="ORD-01012"/>
    <d v="2024-07-27T00:00:00"/>
    <s v="CUST-0145"/>
    <x v="9"/>
    <s v="R015"/>
    <n v="1"/>
    <n v="970"/>
    <n v="28"/>
    <n v="698.4"/>
    <s v="Cancelled"/>
    <x v="4"/>
    <s v="Grocery"/>
    <s v="SMB"/>
    <n v="44"/>
    <x v="1"/>
    <n v="434"/>
  </r>
  <r>
    <s v="ORD-01013"/>
    <d v="2024-03-07T00:00:00"/>
    <s v="CUST-0258"/>
    <x v="30"/>
    <s v="R025"/>
    <n v="8"/>
    <n v="3730"/>
    <n v="2.1"/>
    <n v="29213.360000000001"/>
    <s v="Refunded"/>
    <x v="0"/>
    <s v="Home"/>
    <s v="Retail"/>
    <n v="44"/>
    <x v="2"/>
    <n v="2135"/>
  </r>
  <r>
    <s v="ORD-01014"/>
    <d v="2024-11-02T00:00:00"/>
    <s v="CUST-0209"/>
    <x v="9"/>
    <s v="R024"/>
    <n v="7"/>
    <n v="970"/>
    <n v="25.5"/>
    <n v="5058.55"/>
    <s v="Completed"/>
    <x v="0"/>
    <s v="Grocery"/>
    <s v="Retail"/>
    <n v="31"/>
    <x v="2"/>
    <n v="434"/>
  </r>
  <r>
    <s v="ORD-01015"/>
    <d v="2024-01-27T00:00:00"/>
    <s v="CUST-0131"/>
    <x v="25"/>
    <s v="R022"/>
    <n v="6"/>
    <n v="3570"/>
    <n v="9.9"/>
    <n v="19299.419999999998"/>
    <s v="Completed"/>
    <x v="2"/>
    <s v="Electronics"/>
    <s v="SMB"/>
    <n v="28"/>
    <x v="3"/>
    <n v="1665"/>
  </r>
  <r>
    <s v="ORD-01016"/>
    <d v="2024-08-20T00:00:00"/>
    <s v="CUST-0276"/>
    <x v="9"/>
    <s v="R016"/>
    <n v="6"/>
    <n v="970"/>
    <n v="19.600000000000001"/>
    <n v="4679.28"/>
    <s v="Completed"/>
    <x v="1"/>
    <s v="Grocery"/>
    <s v="Retail"/>
    <n v="26"/>
    <x v="1"/>
    <n v="434"/>
  </r>
  <r>
    <s v="ORD-01017"/>
    <d v="2024-09-19T00:00:00"/>
    <s v="CUST-0283"/>
    <x v="56"/>
    <s v="R011"/>
    <n v="8"/>
    <n v="3780"/>
    <n v="26.5"/>
    <n v="22226.400000000001"/>
    <s v="Completed"/>
    <x v="2"/>
    <s v="Sports"/>
    <s v="SMB"/>
    <n v="50"/>
    <x v="1"/>
    <n v="1860"/>
  </r>
  <r>
    <s v="ORD-01018"/>
    <d v="2024-08-24T00:00:00"/>
    <s v="CUST-0195"/>
    <x v="15"/>
    <s v="R011"/>
    <n v="6"/>
    <n v="2400"/>
    <n v="1.4"/>
    <n v="14198.4"/>
    <s v="Completed"/>
    <x v="4"/>
    <s v="Sports"/>
    <s v="Retail"/>
    <n v="28"/>
    <x v="1"/>
    <n v="974"/>
  </r>
  <r>
    <s v="ORD-01019"/>
    <d v="2024-07-13T00:00:00"/>
    <s v="CUST-0181"/>
    <x v="13"/>
    <s v="R021"/>
    <n v="10"/>
    <n v="3250"/>
    <n v="19.3"/>
    <n v="26227.5"/>
    <s v="Completed"/>
    <x v="2"/>
    <s v="Home"/>
    <s v="SMB"/>
    <n v="38"/>
    <x v="3"/>
    <n v="1556"/>
  </r>
  <r>
    <s v="ORD-01020"/>
    <d v="2024-02-14T00:00:00"/>
    <s v="CUST-0149"/>
    <x v="28"/>
    <s v="R014"/>
    <n v="7"/>
    <n v="2760"/>
    <n v="23.6"/>
    <n v="14760.48"/>
    <s v="Pending"/>
    <x v="5"/>
    <s v="Grocery"/>
    <s v="Retail"/>
    <n v="44"/>
    <x v="1"/>
    <n v="1435"/>
  </r>
  <r>
    <s v="ORD-01021"/>
    <d v="2024-06-20T00:00:00"/>
    <s v="CUST-0152"/>
    <x v="25"/>
    <s v="R001"/>
    <n v="3"/>
    <n v="3570"/>
    <n v="26.3"/>
    <n v="7893.27"/>
    <s v="Completed"/>
    <x v="4"/>
    <s v="Electronics"/>
    <s v="SMB"/>
    <n v="64"/>
    <x v="0"/>
    <n v="1665"/>
  </r>
  <r>
    <s v="ORD-01022"/>
    <d v="2024-04-10T00:00:00"/>
    <s v="CUST-0085"/>
    <x v="31"/>
    <s v="R015"/>
    <n v="4"/>
    <n v="3780"/>
    <n v="10.1"/>
    <n v="13592.88"/>
    <s v="Completed"/>
    <x v="1"/>
    <s v="Grocery"/>
    <s v="Retail"/>
    <n v="26"/>
    <x v="1"/>
    <n v="2436"/>
  </r>
  <r>
    <s v="ORD-01023"/>
    <d v="2024-11-04T00:00:00"/>
    <s v="CUST-0231"/>
    <x v="7"/>
    <s v="R019"/>
    <n v="10"/>
    <n v="1430"/>
    <n v="3.7"/>
    <n v="13770.9"/>
    <s v="Completed"/>
    <x v="1"/>
    <s v="Electronics"/>
    <s v="Retail"/>
    <n v="61"/>
    <x v="3"/>
    <n v="861"/>
  </r>
  <r>
    <s v="ORD-01024"/>
    <d v="2024-04-29T00:00:00"/>
    <s v="CUST-0044"/>
    <x v="34"/>
    <s v="R011"/>
    <n v="6"/>
    <n v="2270"/>
    <n v="7.9"/>
    <n v="12544.02"/>
    <s v="Refunded"/>
    <x v="5"/>
    <s v="Grocery"/>
    <s v="SMB"/>
    <n v="29"/>
    <x v="1"/>
    <n v="1412"/>
  </r>
  <r>
    <s v="ORD-01025"/>
    <d v="2024-04-24T00:00:00"/>
    <s v="CUST-0027"/>
    <x v="23"/>
    <s v="R013"/>
    <n v="1"/>
    <n v="1010"/>
    <n v="6.9"/>
    <n v="940.31"/>
    <s v="Pending"/>
    <x v="5"/>
    <s v="Sports"/>
    <s v="Corporate"/>
    <n v="52"/>
    <x v="1"/>
    <n v="516"/>
  </r>
  <r>
    <s v="ORD-01026"/>
    <d v="2024-04-29T00:00:00"/>
    <s v="CUST-0101"/>
    <x v="27"/>
    <s v="R014"/>
    <n v="2"/>
    <n v="2860"/>
    <n v="20.100000000000001"/>
    <n v="4570.28"/>
    <s v="Completed"/>
    <x v="5"/>
    <s v="Sports"/>
    <s v="SMB"/>
    <n v="40"/>
    <x v="1"/>
    <n v="2028"/>
  </r>
  <r>
    <s v="ORD-01027"/>
    <d v="2024-06-18T00:00:00"/>
    <s v="CUST-0123"/>
    <x v="12"/>
    <s v="R019"/>
    <n v="9"/>
    <n v="2600"/>
    <n v="15.9"/>
    <n v="19679.400000000001"/>
    <s v="Cancelled"/>
    <x v="1"/>
    <s v="Electronics"/>
    <s v="Corporate"/>
    <n v="44"/>
    <x v="3"/>
    <n v="1052"/>
  </r>
  <r>
    <s v="ORD-01028"/>
    <d v="2024-04-27T00:00:00"/>
    <s v="CUST-0124"/>
    <x v="2"/>
    <s v="R024"/>
    <n v="10"/>
    <n v="470"/>
    <n v="23.1"/>
    <n v="3614.3"/>
    <s v="Pending"/>
    <x v="0"/>
    <s v="Sports"/>
    <s v="Retail"/>
    <n v="57"/>
    <x v="2"/>
    <n v="302"/>
  </r>
  <r>
    <s v="ORD-01029"/>
    <d v="2024-07-22T00:00:00"/>
    <s v="CUST-0159"/>
    <x v="29"/>
    <s v="R013"/>
    <n v="10"/>
    <n v="660"/>
    <n v="9.4"/>
    <n v="5979.6"/>
    <s v="Completed"/>
    <x v="5"/>
    <s v="Home"/>
    <s v="Retail"/>
    <n v="32"/>
    <x v="1"/>
    <n v="329"/>
  </r>
  <r>
    <s v="ORD-01030"/>
    <d v="2024-01-16T00:00:00"/>
    <s v="CUST-0087"/>
    <x v="38"/>
    <s v="R023"/>
    <n v="5"/>
    <n v="1220"/>
    <n v="23.3"/>
    <n v="4678.7"/>
    <s v="Completed"/>
    <x v="0"/>
    <s v="Electronics"/>
    <s v="SMB"/>
    <n v="49"/>
    <x v="3"/>
    <n v="517"/>
  </r>
  <r>
    <s v="ORD-01031"/>
    <d v="2024-01-03T00:00:00"/>
    <s v="CUST-0295"/>
    <x v="13"/>
    <s v="R011"/>
    <n v="9"/>
    <n v="3250"/>
    <n v="19.600000000000001"/>
    <n v="23517"/>
    <s v="Pending"/>
    <x v="2"/>
    <s v="Home"/>
    <s v="SMB"/>
    <n v="48"/>
    <x v="1"/>
    <n v="1556"/>
  </r>
  <r>
    <s v="ORD-01032"/>
    <d v="2024-09-07T00:00:00"/>
    <s v="CUST-0211"/>
    <x v="43"/>
    <s v="R018"/>
    <n v="7"/>
    <n v="620"/>
    <n v="29"/>
    <n v="3081.4"/>
    <s v="Completed"/>
    <x v="4"/>
    <s v="Apparel"/>
    <s v="Retail"/>
    <n v="36"/>
    <x v="3"/>
    <n v="396"/>
  </r>
  <r>
    <s v="ORD-01033"/>
    <d v="2024-06-10T00:00:00"/>
    <s v="CUST-0265"/>
    <x v="37"/>
    <s v="R006"/>
    <n v="9"/>
    <n v="4070"/>
    <n v="16.2"/>
    <n v="30695.94"/>
    <s v="Completed"/>
    <x v="1"/>
    <s v="Grocery"/>
    <s v="Retail"/>
    <n v="49"/>
    <x v="0"/>
    <n v="2027"/>
  </r>
  <r>
    <s v="ORD-01034"/>
    <d v="2024-02-29T00:00:00"/>
    <s v="CUST-0252"/>
    <x v="4"/>
    <s v="R007"/>
    <n v="8"/>
    <n v="3160"/>
    <n v="23.8"/>
    <n v="19263.36"/>
    <s v="Completed"/>
    <x v="4"/>
    <s v="Apparel"/>
    <s v="Retail"/>
    <n v="27"/>
    <x v="0"/>
    <n v="1886"/>
  </r>
  <r>
    <s v="ORD-01035"/>
    <d v="2024-05-10T00:00:00"/>
    <s v="CUST-0180"/>
    <x v="45"/>
    <s v="R022"/>
    <n v="3"/>
    <n v="2210"/>
    <n v="29.7"/>
    <n v="4660.8900000000003"/>
    <s v="Completed"/>
    <x v="1"/>
    <s v="Grocery"/>
    <s v="Retail"/>
    <n v="36"/>
    <x v="3"/>
    <n v="1010"/>
  </r>
  <r>
    <s v="ORD-01036"/>
    <d v="2024-03-10T00:00:00"/>
    <s v="CUST-0231"/>
    <x v="2"/>
    <s v="R025"/>
    <n v="9"/>
    <n v="470"/>
    <n v="27.1"/>
    <n v="3083.67"/>
    <s v="Completed"/>
    <x v="1"/>
    <s v="Sports"/>
    <s v="Retail"/>
    <n v="61"/>
    <x v="2"/>
    <n v="302"/>
  </r>
  <r>
    <s v="ORD-01037"/>
    <d v="2024-11-26T00:00:00"/>
    <s v="CUST-0161"/>
    <x v="5"/>
    <s v="R020"/>
    <n v="6"/>
    <n v="370"/>
    <n v="5.4"/>
    <n v="2100.12"/>
    <s v="Completed"/>
    <x v="1"/>
    <s v="Home"/>
    <s v="Retail"/>
    <n v="38"/>
    <x v="3"/>
    <n v="288"/>
  </r>
  <r>
    <s v="ORD-01038"/>
    <d v="2024-07-23T00:00:00"/>
    <s v="CUST-0249"/>
    <x v="56"/>
    <s v="R018"/>
    <n v="10"/>
    <n v="3780"/>
    <n v="21.5"/>
    <n v="29673"/>
    <s v="Pending"/>
    <x v="3"/>
    <s v="Sports"/>
    <s v="Retail"/>
    <n v="44"/>
    <x v="3"/>
    <n v="1860"/>
  </r>
  <r>
    <s v="ORD-01039"/>
    <d v="2024-10-13T00:00:00"/>
    <s v="CUST-0048"/>
    <x v="58"/>
    <s v="R009"/>
    <n v="4"/>
    <n v="6940"/>
    <n v="3.9"/>
    <n v="26677.360000000001"/>
    <s v="Cancelled"/>
    <x v="2"/>
    <s v="Sports"/>
    <s v="Retail"/>
    <n v="59"/>
    <x v="1"/>
    <n v="2827"/>
  </r>
  <r>
    <s v="ORD-01040"/>
    <d v="2024-07-03T00:00:00"/>
    <s v="CUST-0068"/>
    <x v="30"/>
    <s v="R022"/>
    <n v="3"/>
    <n v="3730"/>
    <n v="20.7"/>
    <n v="8873.67"/>
    <s v="Completed"/>
    <x v="2"/>
    <s v="Home"/>
    <s v="SMB"/>
    <n v="48"/>
    <x v="3"/>
    <n v="2135"/>
  </r>
  <r>
    <s v="ORD-01041"/>
    <d v="2024-01-09T00:00:00"/>
    <s v="CUST-0213"/>
    <x v="54"/>
    <s v="R025"/>
    <n v="8"/>
    <n v="5080"/>
    <n v="6.2"/>
    <n v="38120.32"/>
    <s v="Completed"/>
    <x v="3"/>
    <s v="Home"/>
    <s v="Retail"/>
    <n v="37"/>
    <x v="2"/>
    <n v="2459"/>
  </r>
  <r>
    <s v="ORD-01042"/>
    <d v="2024-06-12T00:00:00"/>
    <s v="CUST-0159"/>
    <x v="48"/>
    <s v="R001"/>
    <n v="5"/>
    <n v="5410"/>
    <n v="5.2"/>
    <n v="25643.4"/>
    <s v="Completed"/>
    <x v="5"/>
    <s v="Sports"/>
    <s v="Retail"/>
    <n v="32"/>
    <x v="0"/>
    <n v="2265"/>
  </r>
  <r>
    <s v="ORD-01043"/>
    <d v="2024-04-22T00:00:00"/>
    <s v="CUST-0298"/>
    <x v="20"/>
    <s v="R026"/>
    <n v="6"/>
    <n v="2720"/>
    <n v="29.8"/>
    <n v="11456.64"/>
    <s v="Pending"/>
    <x v="2"/>
    <s v="Apparel"/>
    <s v="Retail"/>
    <n v="44"/>
    <x v="2"/>
    <n v="1962"/>
  </r>
  <r>
    <s v="ORD-01044"/>
    <d v="2024-06-25T00:00:00"/>
    <s v="CUST-0145"/>
    <x v="38"/>
    <s v="R010"/>
    <n v="1"/>
    <n v="1220"/>
    <n v="22.6"/>
    <n v="944.28"/>
    <s v="Completed"/>
    <x v="4"/>
    <s v="Electronics"/>
    <s v="SMB"/>
    <n v="44"/>
    <x v="1"/>
    <n v="517"/>
  </r>
  <r>
    <s v="ORD-01045"/>
    <d v="2024-12-14T00:00:00"/>
    <s v="CUST-0015"/>
    <x v="24"/>
    <s v="R008"/>
    <n v="10"/>
    <n v="4880"/>
    <n v="7.3"/>
    <n v="45237.599999999999"/>
    <s v="Completed"/>
    <x v="1"/>
    <s v="Beauty"/>
    <s v="Retail"/>
    <n v="31"/>
    <x v="0"/>
    <n v="2768"/>
  </r>
  <r>
    <s v="ORD-01046"/>
    <d v="2024-06-07T00:00:00"/>
    <s v="CUST-0054"/>
    <x v="34"/>
    <s v="R021"/>
    <n v="10"/>
    <n v="2270"/>
    <n v="1.6"/>
    <n v="22336.799999999999"/>
    <s v="Completed"/>
    <x v="3"/>
    <s v="Grocery"/>
    <s v="Corporate"/>
    <n v="62"/>
    <x v="3"/>
    <n v="1412"/>
  </r>
  <r>
    <s v="ORD-01047"/>
    <d v="2024-10-24T00:00:00"/>
    <s v="CUST-0150"/>
    <x v="9"/>
    <s v="R003"/>
    <n v="8"/>
    <n v="970"/>
    <n v="13.1"/>
    <n v="6743.44"/>
    <s v="Completed"/>
    <x v="0"/>
    <s v="Grocery"/>
    <s v="SMB"/>
    <n v="53"/>
    <x v="0"/>
    <n v="434"/>
  </r>
  <r>
    <s v="ORD-01048"/>
    <d v="2024-12-20T00:00:00"/>
    <s v="CUST-0096"/>
    <x v="50"/>
    <s v="R012"/>
    <n v="7"/>
    <n v="2380"/>
    <n v="10.6"/>
    <n v="14894.04"/>
    <s v="Cancelled"/>
    <x v="2"/>
    <s v="Grocery"/>
    <s v="Corporate"/>
    <n v="27"/>
    <x v="1"/>
    <n v="1182"/>
  </r>
  <r>
    <s v="ORD-01049"/>
    <d v="2024-07-15T00:00:00"/>
    <s v="CUST-0288"/>
    <x v="0"/>
    <s v="R016"/>
    <n v="6"/>
    <n v="3620"/>
    <n v="21.3"/>
    <n v="17093.64"/>
    <s v="Cancelled"/>
    <x v="5"/>
    <s v="Apparel"/>
    <s v="Corporate"/>
    <n v="25"/>
    <x v="1"/>
    <n v="2509"/>
  </r>
  <r>
    <s v="ORD-01050"/>
    <d v="2024-09-20T00:00:00"/>
    <s v="CUST-0048"/>
    <x v="37"/>
    <s v="R027"/>
    <n v="3"/>
    <n v="4070"/>
    <n v="8.1999999999999993"/>
    <n v="11208.78"/>
    <s v="Cancelled"/>
    <x v="2"/>
    <s v="Grocery"/>
    <s v="Retail"/>
    <n v="59"/>
    <x v="2"/>
    <n v="2027"/>
  </r>
  <r>
    <s v="ORD-01051"/>
    <d v="2024-10-13T00:00:00"/>
    <s v="CUST-0104"/>
    <x v="26"/>
    <s v="R026"/>
    <n v="8"/>
    <n v="5100"/>
    <n v="26.9"/>
    <n v="29824.799999999999"/>
    <s v="Completed"/>
    <x v="5"/>
    <s v="Beauty"/>
    <s v="Corporate"/>
    <n v="43"/>
    <x v="2"/>
    <n v="2237"/>
  </r>
  <r>
    <s v="ORD-01052"/>
    <d v="2024-01-05T00:00:00"/>
    <s v="CUST-0054"/>
    <x v="40"/>
    <s v="R017"/>
    <n v="3"/>
    <n v="3020"/>
    <n v="18.5"/>
    <n v="7383.9"/>
    <s v="Cancelled"/>
    <x v="3"/>
    <s v="Beauty"/>
    <s v="Corporate"/>
    <n v="62"/>
    <x v="3"/>
    <n v="1626"/>
  </r>
  <r>
    <s v="ORD-01053"/>
    <d v="2024-09-29T00:00:00"/>
    <s v="CUST-0158"/>
    <x v="51"/>
    <s v="R002"/>
    <n v="8"/>
    <n v="960"/>
    <n v="7.1"/>
    <n v="7134.72"/>
    <s v="Completed"/>
    <x v="0"/>
    <s v="Beauty"/>
    <s v="Corporate"/>
    <n v="42"/>
    <x v="0"/>
    <n v="675"/>
  </r>
  <r>
    <s v="ORD-01054"/>
    <d v="2024-04-01T00:00:00"/>
    <s v="CUST-0231"/>
    <x v="54"/>
    <s v="R015"/>
    <n v="8"/>
    <n v="5080"/>
    <n v="6.2"/>
    <n v="38120.32"/>
    <s v="Completed"/>
    <x v="1"/>
    <s v="Home"/>
    <s v="Retail"/>
    <n v="61"/>
    <x v="1"/>
    <n v="2459"/>
  </r>
  <r>
    <s v="ORD-01055"/>
    <d v="2024-05-24T00:00:00"/>
    <s v="CUST-0277"/>
    <x v="33"/>
    <s v="R010"/>
    <n v="6"/>
    <n v="6080"/>
    <n v="25.8"/>
    <n v="27068.16"/>
    <s v="Completed"/>
    <x v="1"/>
    <s v="Beauty"/>
    <s v="Corporate"/>
    <n v="34"/>
    <x v="1"/>
    <n v="2617"/>
  </r>
  <r>
    <s v="ORD-01056"/>
    <d v="2024-09-09T00:00:00"/>
    <s v="CUST-0232"/>
    <x v="36"/>
    <s v="R010"/>
    <n v="5"/>
    <n v="1540"/>
    <n v="24.6"/>
    <n v="5805.8"/>
    <s v="Completed"/>
    <x v="5"/>
    <s v="Beauty"/>
    <s v="Retail"/>
    <n v="38"/>
    <x v="1"/>
    <n v="647"/>
  </r>
  <r>
    <s v="ORD-01057"/>
    <d v="2024-04-22T00:00:00"/>
    <s v="CUST-0074"/>
    <x v="23"/>
    <s v="R024"/>
    <n v="4"/>
    <n v="1010"/>
    <n v="2.9"/>
    <n v="3922.84"/>
    <s v="Pending"/>
    <x v="4"/>
    <s v="Sports"/>
    <s v="Retail"/>
    <n v="27"/>
    <x v="2"/>
    <n v="516"/>
  </r>
  <r>
    <s v="ORD-01058"/>
    <d v="2024-10-21T00:00:00"/>
    <s v="CUST-0068"/>
    <x v="51"/>
    <s v="R026"/>
    <n v="5"/>
    <n v="960"/>
    <n v="11.4"/>
    <n v="4252.8"/>
    <s v="Completed"/>
    <x v="2"/>
    <s v="Beauty"/>
    <s v="SMB"/>
    <n v="48"/>
    <x v="2"/>
    <n v="675"/>
  </r>
  <r>
    <s v="ORD-01059"/>
    <d v="2024-08-20T00:00:00"/>
    <s v="CUST-0152"/>
    <x v="36"/>
    <s v="R010"/>
    <n v="1"/>
    <n v="1540"/>
    <n v="5.6"/>
    <n v="1453.76"/>
    <s v="Completed"/>
    <x v="4"/>
    <s v="Beauty"/>
    <s v="SMB"/>
    <n v="64"/>
    <x v="1"/>
    <n v="647"/>
  </r>
  <r>
    <s v="ORD-01060"/>
    <d v="2024-04-15T00:00:00"/>
    <s v="CUST-0046"/>
    <x v="22"/>
    <s v="R019"/>
    <n v="9"/>
    <n v="3350"/>
    <n v="2.1"/>
    <n v="29516.85"/>
    <s v="Completed"/>
    <x v="2"/>
    <s v="Beauty"/>
    <s v="SMB"/>
    <n v="45"/>
    <x v="3"/>
    <n v="1728"/>
  </r>
  <r>
    <s v="ORD-01061"/>
    <d v="2024-02-14T00:00:00"/>
    <s v="CUST-0201"/>
    <x v="17"/>
    <s v="R021"/>
    <n v="7"/>
    <n v="3450"/>
    <n v="4.7"/>
    <n v="23014.95"/>
    <s v="Completed"/>
    <x v="5"/>
    <s v="Sports"/>
    <s v="Retail"/>
    <n v="31"/>
    <x v="3"/>
    <n v="2467"/>
  </r>
  <r>
    <s v="ORD-01062"/>
    <d v="2024-10-29T00:00:00"/>
    <s v="CUST-0191"/>
    <x v="6"/>
    <s v="R019"/>
    <n v="10"/>
    <n v="960"/>
    <n v="17.899999999999999"/>
    <n v="7881.6"/>
    <s v="Completed"/>
    <x v="5"/>
    <s v="Sports"/>
    <s v="SMB"/>
    <n v="43"/>
    <x v="3"/>
    <n v="705"/>
  </r>
  <r>
    <s v="ORD-01063"/>
    <d v="2024-11-21T00:00:00"/>
    <s v="CUST-0192"/>
    <x v="32"/>
    <s v="R014"/>
    <n v="1"/>
    <n v="3640"/>
    <n v="8.8000000000000007"/>
    <n v="3319.68"/>
    <s v="Completed"/>
    <x v="4"/>
    <s v="Apparel"/>
    <s v="Retail"/>
    <n v="55"/>
    <x v="1"/>
    <n v="2611"/>
  </r>
  <r>
    <s v="ORD-01064"/>
    <d v="2024-03-27T00:00:00"/>
    <s v="CUST-0074"/>
    <x v="45"/>
    <s v="R017"/>
    <n v="1"/>
    <n v="2210"/>
    <n v="10.7"/>
    <n v="1973.53"/>
    <s v="Completed"/>
    <x v="4"/>
    <s v="Grocery"/>
    <s v="Retail"/>
    <n v="27"/>
    <x v="3"/>
    <n v="1010"/>
  </r>
  <r>
    <s v="ORD-01065"/>
    <d v="2024-01-27T00:00:00"/>
    <s v="CUST-0071"/>
    <x v="30"/>
    <s v="R005"/>
    <n v="2"/>
    <n v="3730"/>
    <n v="13.9"/>
    <n v="6423.06"/>
    <s v="Completed"/>
    <x v="2"/>
    <s v="Home"/>
    <s v="Corporate"/>
    <n v="46"/>
    <x v="0"/>
    <n v="2135"/>
  </r>
  <r>
    <s v="ORD-01066"/>
    <d v="2024-09-07T00:00:00"/>
    <s v="CUST-0210"/>
    <x v="48"/>
    <s v="R010"/>
    <n v="7"/>
    <n v="5410"/>
    <n v="23.6"/>
    <n v="28932.68"/>
    <s v="Completed"/>
    <x v="0"/>
    <s v="Sports"/>
    <s v="Corporate"/>
    <n v="48"/>
    <x v="1"/>
    <n v="2265"/>
  </r>
  <r>
    <s v="ORD-01067"/>
    <d v="2024-11-22T00:00:00"/>
    <s v="CUST-0054"/>
    <x v="31"/>
    <s v="R018"/>
    <n v="7"/>
    <n v="3780"/>
    <n v="8.5"/>
    <n v="24210.9"/>
    <s v="Cancelled"/>
    <x v="3"/>
    <s v="Grocery"/>
    <s v="Corporate"/>
    <n v="62"/>
    <x v="3"/>
    <n v="2436"/>
  </r>
  <r>
    <s v="ORD-01068"/>
    <d v="2024-09-20T00:00:00"/>
    <s v="CUST-0194"/>
    <x v="39"/>
    <s v="R016"/>
    <n v="9"/>
    <n v="4610"/>
    <n v="26.6"/>
    <n v="30453.66"/>
    <s v="Completed"/>
    <x v="2"/>
    <s v="Home"/>
    <s v="SMB"/>
    <n v="55"/>
    <x v="1"/>
    <n v="1850"/>
  </r>
  <r>
    <s v="ORD-01069"/>
    <d v="2024-03-22T00:00:00"/>
    <s v="CUST-0231"/>
    <x v="11"/>
    <s v="R025"/>
    <n v="5"/>
    <n v="2640"/>
    <n v="1.5"/>
    <n v="13002"/>
    <s v="Completed"/>
    <x v="1"/>
    <s v="Electronics"/>
    <s v="Retail"/>
    <n v="61"/>
    <x v="2"/>
    <n v="1149"/>
  </r>
  <r>
    <s v="ORD-01070"/>
    <d v="2024-08-11T00:00:00"/>
    <s v="CUST-0053"/>
    <x v="0"/>
    <s v="R010"/>
    <n v="3"/>
    <n v="3620"/>
    <n v="3.1"/>
    <n v="10523.34"/>
    <s v="Completed"/>
    <x v="2"/>
    <s v="Apparel"/>
    <s v="Retail"/>
    <n v="53"/>
    <x v="1"/>
    <n v="2509"/>
  </r>
  <r>
    <s v="ORD-01071"/>
    <d v="2024-08-26T00:00:00"/>
    <s v="CUST-0290"/>
    <x v="2"/>
    <s v="R018"/>
    <n v="5"/>
    <n v="470"/>
    <n v="10.6"/>
    <n v="2100.9"/>
    <s v="Cancelled"/>
    <x v="2"/>
    <s v="Sports"/>
    <s v="Retail"/>
    <n v="63"/>
    <x v="3"/>
    <n v="302"/>
  </r>
  <r>
    <s v="ORD-01072"/>
    <d v="2024-06-20T00:00:00"/>
    <s v="CUST-0261"/>
    <x v="49"/>
    <s v="R009"/>
    <n v="7"/>
    <n v="5330"/>
    <n v="25"/>
    <n v="27982.5"/>
    <s v="Cancelled"/>
    <x v="2"/>
    <s v="Electronics"/>
    <s v="Retail"/>
    <n v="54"/>
    <x v="1"/>
    <n v="2405"/>
  </r>
  <r>
    <s v="ORD-01073"/>
    <d v="2024-01-01T00:00:00"/>
    <s v="CUST-0045"/>
    <x v="33"/>
    <s v="R014"/>
    <n v="1"/>
    <n v="6080"/>
    <n v="27.8"/>
    <n v="4389.76"/>
    <s v="Completed"/>
    <x v="1"/>
    <s v="Beauty"/>
    <s v="SMB"/>
    <n v="39"/>
    <x v="1"/>
    <n v="2617"/>
  </r>
  <r>
    <s v="ORD-01074"/>
    <d v="2024-02-25T00:00:00"/>
    <s v="CUST-0064"/>
    <x v="22"/>
    <s v="R024"/>
    <n v="6"/>
    <n v="3350"/>
    <n v="12"/>
    <n v="17688"/>
    <s v="Completed"/>
    <x v="5"/>
    <s v="Beauty"/>
    <s v="SMB"/>
    <n v="40"/>
    <x v="2"/>
    <n v="1728"/>
  </r>
  <r>
    <s v="ORD-01075"/>
    <d v="2024-10-27T00:00:00"/>
    <s v="CUST-9754"/>
    <x v="58"/>
    <s v="R027"/>
    <n v="6"/>
    <n v="6940"/>
    <n v="20"/>
    <n v="33312"/>
    <s v="Completed"/>
    <x v="1"/>
    <s v="Sports"/>
    <e v="#N/A"/>
    <e v="#N/A"/>
    <x v="2"/>
    <n v="2827"/>
  </r>
  <r>
    <s v="ORD-01076"/>
    <d v="2024-12-10T00:00:00"/>
    <s v="CUST-0200"/>
    <x v="5"/>
    <s v="R007"/>
    <n v="1"/>
    <n v="370"/>
    <n v="10"/>
    <n v="333"/>
    <s v="Completed"/>
    <x v="5"/>
    <s v="Home"/>
    <s v="Corporate"/>
    <n v="46"/>
    <x v="0"/>
    <n v="288"/>
  </r>
  <r>
    <s v="ORD-01077"/>
    <d v="2024-05-20T00:00:00"/>
    <s v="CUST-0058"/>
    <x v="8"/>
    <s v="R020"/>
    <n v="2"/>
    <n v="5490"/>
    <n v="27.9"/>
    <n v="7916.58"/>
    <s v="Completed"/>
    <x v="4"/>
    <s v="Home"/>
    <s v="SMB"/>
    <n v="49"/>
    <x v="3"/>
    <n v="2549"/>
  </r>
  <r>
    <s v="ORD-01078"/>
    <d v="2024-07-06T00:00:00"/>
    <s v="CUST-0156"/>
    <x v="3"/>
    <s v="R009"/>
    <n v="5"/>
    <n v="3660"/>
    <n v="4.5999999999999996"/>
    <n v="17458.2"/>
    <s v="Completed"/>
    <x v="3"/>
    <s v="Grocery"/>
    <s v="Retail"/>
    <n v="33"/>
    <x v="1"/>
    <n v="2214"/>
  </r>
  <r>
    <s v="ORD-01079"/>
    <d v="2024-09-28T00:00:00"/>
    <s v="CUST-0107"/>
    <x v="42"/>
    <s v="R029"/>
    <n v="6"/>
    <n v="300"/>
    <n v="9"/>
    <n v="1638"/>
    <s v="Completed"/>
    <x v="0"/>
    <s v="Electronics"/>
    <s v="Retail"/>
    <n v="50"/>
    <x v="2"/>
    <n v="128"/>
  </r>
  <r>
    <s v="ORD-01080"/>
    <d v="2024-08-19T00:00:00"/>
    <s v="CUST-0184"/>
    <x v="42"/>
    <s v="R012"/>
    <n v="3"/>
    <n v="300"/>
    <n v="19.2"/>
    <n v="727.2"/>
    <s v="Completed"/>
    <x v="0"/>
    <s v="Electronics"/>
    <s v="Retail"/>
    <n v="63"/>
    <x v="1"/>
    <n v="128"/>
  </r>
  <r>
    <s v="ORD-01081"/>
    <d v="2024-09-02T00:00:00"/>
    <s v="CUST-0202"/>
    <x v="51"/>
    <s v="R014"/>
    <n v="6"/>
    <n v="960"/>
    <n v="29.3"/>
    <n v="4072.32"/>
    <s v="Cancelled"/>
    <x v="1"/>
    <s v="Beauty"/>
    <s v="Retail"/>
    <n v="39"/>
    <x v="1"/>
    <n v="675"/>
  </r>
  <r>
    <s v="ORD-01082"/>
    <d v="2024-04-01T00:00:00"/>
    <s v="CUST-0137"/>
    <x v="34"/>
    <s v="R025"/>
    <n v="1"/>
    <n v="2270"/>
    <n v="12.4"/>
    <n v="1988.52"/>
    <s v="Completed"/>
    <x v="3"/>
    <s v="Grocery"/>
    <s v="Retail"/>
    <n v="41"/>
    <x v="2"/>
    <n v="1412"/>
  </r>
  <r>
    <s v="ORD-01083"/>
    <d v="2024-09-06T00:00:00"/>
    <s v="CUST-0108"/>
    <x v="44"/>
    <s v="R027"/>
    <n v="10"/>
    <n v="2030"/>
    <n v="4"/>
    <n v="19488"/>
    <s v="Completed"/>
    <x v="4"/>
    <s v="Home"/>
    <s v="Corporate"/>
    <n v="59"/>
    <x v="2"/>
    <n v="1143"/>
  </r>
  <r>
    <s v="ORD-01084"/>
    <d v="2024-11-13T00:00:00"/>
    <s v="CUST-0126"/>
    <x v="18"/>
    <s v="R021"/>
    <n v="9"/>
    <n v="1080"/>
    <n v="19.2"/>
    <n v="7853.76"/>
    <s v="Pending"/>
    <x v="3"/>
    <s v="Home"/>
    <s v="Retail"/>
    <n v="37"/>
    <x v="3"/>
    <n v="519"/>
  </r>
  <r>
    <s v="ORD-01085"/>
    <d v="2024-06-20T00:00:00"/>
    <s v="CUST-0107"/>
    <x v="27"/>
    <s v="R025"/>
    <n v="5"/>
    <n v="2860"/>
    <n v="25"/>
    <n v="10725"/>
    <s v="Pending"/>
    <x v="0"/>
    <s v="Sports"/>
    <s v="Retail"/>
    <n v="50"/>
    <x v="2"/>
    <n v="2028"/>
  </r>
  <r>
    <s v="ORD-01086"/>
    <d v="2024-10-23T00:00:00"/>
    <s v="CUST-0071"/>
    <x v="10"/>
    <s v="R012"/>
    <n v="6"/>
    <n v="2270"/>
    <n v="9.3000000000000007"/>
    <n v="12353.34"/>
    <s v="Completed"/>
    <x v="2"/>
    <s v="Grocery"/>
    <s v="Corporate"/>
    <n v="46"/>
    <x v="1"/>
    <n v="1203"/>
  </r>
  <r>
    <s v="ORD-01087"/>
    <d v="2024-02-06T00:00:00"/>
    <s v="CUST-0238"/>
    <x v="20"/>
    <s v="R024"/>
    <n v="1"/>
    <n v="2720"/>
    <n v="15.2"/>
    <n v="2306.56"/>
    <s v="Completed"/>
    <x v="2"/>
    <s v="Apparel"/>
    <s v="Retail"/>
    <n v="49"/>
    <x v="2"/>
    <n v="1962"/>
  </r>
  <r>
    <s v="ORD-01088"/>
    <d v="2024-12-12T00:00:00"/>
    <s v="CUST-0022"/>
    <x v="35"/>
    <s v="R005"/>
    <n v="10"/>
    <n v="3870"/>
    <n v="4.9000000000000004"/>
    <n v="36803.699999999997"/>
    <s v="Cancelled"/>
    <x v="4"/>
    <s v="Electronics"/>
    <s v="Corporate"/>
    <n v="55"/>
    <x v="0"/>
    <n v="1559"/>
  </r>
  <r>
    <s v="ORD-01089"/>
    <d v="2024-02-10T00:00:00"/>
    <s v="CUST-0100"/>
    <x v="55"/>
    <s v="R019"/>
    <n v="8"/>
    <n v="3450"/>
    <n v="20.6"/>
    <n v="21914.400000000001"/>
    <s v="Completed"/>
    <x v="5"/>
    <s v="Apparel"/>
    <s v="Corporate"/>
    <n v="60"/>
    <x v="3"/>
    <n v="1748"/>
  </r>
  <r>
    <s v="ORD-01090"/>
    <d v="2024-04-24T00:00:00"/>
    <s v="CUST-0263"/>
    <x v="2"/>
    <s v="R002"/>
    <n v="1"/>
    <n v="470"/>
    <n v="5.4"/>
    <n v="444.62"/>
    <s v="Refunded"/>
    <x v="3"/>
    <s v="Sports"/>
    <s v="Retail"/>
    <n v="40"/>
    <x v="0"/>
    <n v="302"/>
  </r>
  <r>
    <s v="ORD-01091"/>
    <d v="2024-04-23T00:00:00"/>
    <s v="CUST-0032"/>
    <x v="53"/>
    <s v="R009"/>
    <n v="5"/>
    <n v="3970"/>
    <n v="5.8"/>
    <n v="18698.7"/>
    <s v="Completed"/>
    <x v="5"/>
    <s v="Electronics"/>
    <s v="Retail"/>
    <n v="28"/>
    <x v="1"/>
    <n v="2865"/>
  </r>
  <r>
    <s v="ORD-01092"/>
    <d v="2024-06-26T00:00:00"/>
    <s v="CUST-0227"/>
    <x v="26"/>
    <s v="R012"/>
    <n v="2"/>
    <n v="5100"/>
    <n v="19.899999999999999"/>
    <n v="8170.2"/>
    <s v="Completed"/>
    <x v="4"/>
    <s v="Beauty"/>
    <s v="SMB"/>
    <n v="44"/>
    <x v="1"/>
    <n v="2237"/>
  </r>
  <r>
    <s v="ORD-01093"/>
    <d v="2024-12-30T00:00:00"/>
    <s v="CUST-0124"/>
    <x v="16"/>
    <s v="R001"/>
    <n v="6"/>
    <n v="3450"/>
    <n v="13"/>
    <n v="18009"/>
    <s v="Completed"/>
    <x v="0"/>
    <s v="Beauty"/>
    <s v="Retail"/>
    <n v="57"/>
    <x v="0"/>
    <n v="2420"/>
  </r>
  <r>
    <s v="ORD-01094"/>
    <d v="2024-12-27T00:00:00"/>
    <s v="CUST-0276"/>
    <x v="30"/>
    <s v="R012"/>
    <n v="9"/>
    <n v="3730"/>
    <n v="15.5"/>
    <n v="28366.65"/>
    <s v="Completed"/>
    <x v="1"/>
    <s v="Home"/>
    <s v="Retail"/>
    <n v="26"/>
    <x v="1"/>
    <n v="2135"/>
  </r>
  <r>
    <s v="ORD-01095"/>
    <d v="2024-05-28T00:00:00"/>
    <s v="CUST-0100"/>
    <x v="51"/>
    <s v="R020"/>
    <n v="5"/>
    <n v="960"/>
    <n v="9.3000000000000007"/>
    <n v="4353.6000000000004"/>
    <s v="Completed"/>
    <x v="5"/>
    <s v="Beauty"/>
    <s v="Corporate"/>
    <n v="60"/>
    <x v="3"/>
    <n v="675"/>
  </r>
  <r>
    <s v="ORD-01096"/>
    <d v="2024-08-07T00:00:00"/>
    <s v="CUST-0221"/>
    <x v="54"/>
    <s v="R008"/>
    <n v="3"/>
    <n v="5080"/>
    <n v="17.399999999999999"/>
    <n v="12588.24"/>
    <s v="Cancelled"/>
    <x v="2"/>
    <s v="Home"/>
    <s v="SMB"/>
    <n v="29"/>
    <x v="0"/>
    <n v="2459"/>
  </r>
  <r>
    <s v="ORD-01097"/>
    <d v="2024-01-09T00:00:00"/>
    <s v="CUST-0266"/>
    <x v="35"/>
    <s v="R003"/>
    <n v="4"/>
    <n v="3870"/>
    <n v="20.5"/>
    <n v="12306.6"/>
    <s v="Pending"/>
    <x v="0"/>
    <s v="Electronics"/>
    <s v="Retail"/>
    <n v="65"/>
    <x v="0"/>
    <n v="1559"/>
  </r>
  <r>
    <s v="ORD-01098"/>
    <d v="2024-08-24T00:00:00"/>
    <s v="CUST-0210"/>
    <x v="56"/>
    <s v="R024"/>
    <n v="1"/>
    <n v="3780"/>
    <n v="21.5"/>
    <n v="2967.3"/>
    <s v="Completed"/>
    <x v="0"/>
    <s v="Sports"/>
    <s v="Corporate"/>
    <n v="48"/>
    <x v="2"/>
    <n v="1860"/>
  </r>
  <r>
    <s v="ORD-01099"/>
    <d v="2024-11-26T00:00:00"/>
    <s v="CUST-0293"/>
    <x v="35"/>
    <s v="R017"/>
    <n v="3"/>
    <n v="3870"/>
    <n v="21.9"/>
    <n v="9067.41"/>
    <s v="Pending"/>
    <x v="4"/>
    <s v="Electronics"/>
    <s v="Retail"/>
    <n v="27"/>
    <x v="3"/>
    <n v="1559"/>
  </r>
  <r>
    <s v="ORD-01100"/>
    <d v="2024-06-20T00:00:00"/>
    <s v="CUST-0291"/>
    <x v="44"/>
    <s v="R009"/>
    <n v="4"/>
    <n v="2030"/>
    <n v="23.4"/>
    <n v="6219.92"/>
    <s v="Completed"/>
    <x v="0"/>
    <s v="Home"/>
    <s v="SMB"/>
    <n v="29"/>
    <x v="1"/>
    <n v="1143"/>
  </r>
  <r>
    <s v="ORD-01101"/>
    <d v="2024-04-25T00:00:00"/>
    <s v="CUST-0295"/>
    <x v="45"/>
    <s v="R003"/>
    <n v="6"/>
    <n v="2210"/>
    <n v="9.1"/>
    <n v="12053.34"/>
    <s v="Completed"/>
    <x v="2"/>
    <s v="Grocery"/>
    <s v="SMB"/>
    <n v="48"/>
    <x v="0"/>
    <n v="1010"/>
  </r>
  <r>
    <s v="ORD-01102"/>
    <d v="2024-12-01T00:00:00"/>
    <s v="CUST-0123"/>
    <x v="36"/>
    <s v="R017"/>
    <n v="5"/>
    <n v="1540"/>
    <n v="18.100000000000001"/>
    <n v="6306.3"/>
    <s v="Completed"/>
    <x v="1"/>
    <s v="Beauty"/>
    <s v="Corporate"/>
    <n v="44"/>
    <x v="3"/>
    <n v="647"/>
  </r>
  <r>
    <s v="ORD-01103"/>
    <d v="2024-04-11T00:00:00"/>
    <s v="CUST-0167"/>
    <x v="23"/>
    <s v="R011"/>
    <n v="1"/>
    <n v="1010"/>
    <n v="7.3"/>
    <n v="936.27"/>
    <s v="Completed"/>
    <x v="2"/>
    <s v="Sports"/>
    <s v="Retail"/>
    <n v="43"/>
    <x v="1"/>
    <n v="516"/>
  </r>
  <r>
    <s v="ORD-01104"/>
    <d v="2024-03-09T00:00:00"/>
    <s v="CUST-0247"/>
    <x v="49"/>
    <s v="R015"/>
    <n v="10"/>
    <n v="5330"/>
    <n v="27.3"/>
    <n v="38749.1"/>
    <s v="Completed"/>
    <x v="0"/>
    <s v="Electronics"/>
    <s v="SMB"/>
    <n v="35"/>
    <x v="1"/>
    <n v="2405"/>
  </r>
  <r>
    <s v="ORD-01105"/>
    <d v="2024-09-13T00:00:00"/>
    <s v="CUST-0224"/>
    <x v="25"/>
    <s v="R022"/>
    <n v="7"/>
    <n v="3570"/>
    <n v="24.3"/>
    <n v="18917.43"/>
    <s v="Completed"/>
    <x v="1"/>
    <s v="Electronics"/>
    <s v="Corporate"/>
    <n v="24"/>
    <x v="3"/>
    <n v="1665"/>
  </r>
  <r>
    <s v="ORD-01106"/>
    <d v="2024-10-04T00:00:00"/>
    <s v="CUST-0102"/>
    <x v="22"/>
    <s v="R017"/>
    <n v="1"/>
    <n v="3350"/>
    <n v="14.9"/>
    <n v="2850.85"/>
    <s v="Completed"/>
    <x v="1"/>
    <s v="Beauty"/>
    <s v="SMB"/>
    <n v="62"/>
    <x v="3"/>
    <n v="1728"/>
  </r>
  <r>
    <s v="ORD-01107"/>
    <d v="2024-09-06T00:00:00"/>
    <s v="CUST-0151"/>
    <x v="47"/>
    <s v="R023"/>
    <n v="2"/>
    <n v="2510"/>
    <n v="10.6"/>
    <n v="4487.88"/>
    <s v="Completed"/>
    <x v="3"/>
    <s v="Apparel"/>
    <s v="Retail"/>
    <n v="53"/>
    <x v="3"/>
    <n v="1075"/>
  </r>
  <r>
    <s v="ORD-01108"/>
    <d v="2024-03-18T00:00:00"/>
    <s v="CUST-0182"/>
    <x v="9"/>
    <s v="R025"/>
    <n v="5"/>
    <n v="970"/>
    <n v="6.8"/>
    <n v="4520.2"/>
    <s v="Pending"/>
    <x v="3"/>
    <s v="Grocery"/>
    <s v="Retail"/>
    <n v="54"/>
    <x v="2"/>
    <n v="434"/>
  </r>
  <r>
    <s v="ORD-01109"/>
    <d v="2024-08-15T00:00:00"/>
    <s v="CUST-0152"/>
    <x v="31"/>
    <s v="R002"/>
    <n v="5"/>
    <n v="3780"/>
    <n v="16.600000000000001"/>
    <n v="15762.6"/>
    <s v="Completed"/>
    <x v="4"/>
    <s v="Grocery"/>
    <s v="SMB"/>
    <n v="64"/>
    <x v="0"/>
    <n v="2436"/>
  </r>
  <r>
    <s v="ORD-01110"/>
    <d v="2024-03-28T00:00:00"/>
    <s v="CUST-0247"/>
    <x v="47"/>
    <s v="R007"/>
    <n v="3"/>
    <n v="2510"/>
    <n v="24.9"/>
    <n v="5655.03"/>
    <s v="Cancelled"/>
    <x v="0"/>
    <s v="Apparel"/>
    <s v="SMB"/>
    <n v="35"/>
    <x v="0"/>
    <n v="1075"/>
  </r>
  <r>
    <s v="ORD-01111"/>
    <d v="2024-09-13T00:00:00"/>
    <s v="CUST-0220"/>
    <x v="44"/>
    <s v="R008"/>
    <n v="3"/>
    <n v="2030"/>
    <n v="3.8"/>
    <n v="5858.58"/>
    <s v="Completed"/>
    <x v="1"/>
    <s v="Home"/>
    <s v="Retail"/>
    <n v="34"/>
    <x v="0"/>
    <n v="1143"/>
  </r>
  <r>
    <s v="ORD-01112"/>
    <d v="2024-07-05T00:00:00"/>
    <s v="CUST-0206"/>
    <x v="14"/>
    <s v="R014"/>
    <n v="9"/>
    <n v="190"/>
    <n v="5.4"/>
    <n v="1617.66"/>
    <s v="Completed"/>
    <x v="3"/>
    <s v="Sports"/>
    <s v="Retail"/>
    <n v="40"/>
    <x v="1"/>
    <n v="147"/>
  </r>
  <r>
    <s v="ORD-01113"/>
    <d v="2024-02-16T00:00:00"/>
    <s v="CUST-0219"/>
    <x v="45"/>
    <s v="R020"/>
    <n v="6"/>
    <n v="2210"/>
    <n v="29.4"/>
    <n v="9361.56"/>
    <s v="Completed"/>
    <x v="1"/>
    <s v="Grocery"/>
    <s v="Corporate"/>
    <n v="38"/>
    <x v="3"/>
    <n v="1010"/>
  </r>
  <r>
    <s v="ORD-01114"/>
    <d v="2024-09-11T00:00:00"/>
    <s v="CUST-0298"/>
    <x v="32"/>
    <s v="R005"/>
    <n v="4"/>
    <n v="3640"/>
    <n v="0.6"/>
    <n v="14472.64"/>
    <s v="Completed"/>
    <x v="2"/>
    <s v="Apparel"/>
    <s v="Retail"/>
    <n v="44"/>
    <x v="0"/>
    <n v="2611"/>
  </r>
  <r>
    <s v="ORD-01115"/>
    <d v="2024-11-30T00:00:00"/>
    <s v="CUST-0254"/>
    <x v="38"/>
    <s v="R009"/>
    <n v="9"/>
    <n v="1220"/>
    <n v="24.1"/>
    <n v="8333.82"/>
    <s v="Completed"/>
    <x v="4"/>
    <s v="Electronics"/>
    <s v="Retail"/>
    <n v="35"/>
    <x v="1"/>
    <n v="517"/>
  </r>
  <r>
    <s v="ORD-01116"/>
    <d v="2024-04-20T00:00:00"/>
    <s v="CUST-0085"/>
    <x v="58"/>
    <s v="R009"/>
    <n v="2"/>
    <n v="6940"/>
    <n v="27"/>
    <n v="10132.4"/>
    <s v="Completed"/>
    <x v="1"/>
    <s v="Sports"/>
    <s v="Retail"/>
    <n v="26"/>
    <x v="1"/>
    <n v="2827"/>
  </r>
  <r>
    <s v="ORD-01117"/>
    <d v="2024-11-08T00:00:00"/>
    <s v="CUST-0181"/>
    <x v="27"/>
    <s v="R010"/>
    <n v="6"/>
    <n v="2860"/>
    <n v="6.6"/>
    <n v="16027.44"/>
    <s v="Completed"/>
    <x v="2"/>
    <s v="Sports"/>
    <s v="SMB"/>
    <n v="38"/>
    <x v="1"/>
    <n v="2028"/>
  </r>
  <r>
    <s v="ORD-01118"/>
    <d v="2024-09-10T00:00:00"/>
    <s v="CUST-0143"/>
    <x v="20"/>
    <s v="R018"/>
    <n v="5"/>
    <n v="2720"/>
    <n v="21.4"/>
    <n v="10689.6"/>
    <s v="Completed"/>
    <x v="1"/>
    <s v="Apparel"/>
    <s v="SMB"/>
    <n v="52"/>
    <x v="3"/>
    <n v="1962"/>
  </r>
  <r>
    <s v="ORD-01119"/>
    <d v="2024-06-02T00:00:00"/>
    <s v="CUST-0263"/>
    <x v="1"/>
    <s v="R006"/>
    <n v="5"/>
    <n v="820"/>
    <n v="28.6"/>
    <n v="2927.4"/>
    <s v="Completed"/>
    <x v="3"/>
    <s v="Apparel"/>
    <s v="Retail"/>
    <n v="40"/>
    <x v="0"/>
    <n v="391"/>
  </r>
  <r>
    <s v="ORD-01120"/>
    <d v="2024-07-16T00:00:00"/>
    <s v="CUST-0105"/>
    <x v="52"/>
    <s v="R022"/>
    <n v="6"/>
    <n v="2290"/>
    <n v="18.8"/>
    <n v="11156.88"/>
    <s v="Completed"/>
    <x v="1"/>
    <s v="Beauty"/>
    <s v="SMB"/>
    <n v="51"/>
    <x v="3"/>
    <n v="1219"/>
  </r>
  <r>
    <s v="ORD-01121"/>
    <d v="2024-04-12T00:00:00"/>
    <s v="CUST-0256"/>
    <x v="16"/>
    <s v="R021"/>
    <n v="6"/>
    <n v="3450"/>
    <n v="28.4"/>
    <n v="14821.2"/>
    <s v="Completed"/>
    <x v="5"/>
    <s v="Beauty"/>
    <s v="Retail"/>
    <n v="28"/>
    <x v="3"/>
    <n v="2420"/>
  </r>
  <r>
    <s v="ORD-01122"/>
    <d v="2024-02-18T00:00:00"/>
    <s v="CUST-0260"/>
    <x v="44"/>
    <s v="R002"/>
    <n v="10"/>
    <n v="2030"/>
    <n v="8"/>
    <n v="18676"/>
    <s v="Completed"/>
    <x v="4"/>
    <s v="Home"/>
    <s v="Retail"/>
    <n v="42"/>
    <x v="0"/>
    <n v="1143"/>
  </r>
  <r>
    <s v="ORD-01123"/>
    <d v="2024-03-27T00:00:00"/>
    <s v="CUST-0233"/>
    <x v="15"/>
    <s v="R022"/>
    <n v="1"/>
    <n v="2400"/>
    <n v="9.6999999999999993"/>
    <n v="2167.1999999999998"/>
    <s v="Completed"/>
    <x v="3"/>
    <s v="Sports"/>
    <s v="SMB"/>
    <n v="65"/>
    <x v="3"/>
    <n v="974"/>
  </r>
  <r>
    <s v="ORD-01124"/>
    <d v="2024-03-18T00:00:00"/>
    <s v="CUST-0183"/>
    <x v="44"/>
    <s v="R014"/>
    <n v="4"/>
    <n v="2030"/>
    <n v="24.8"/>
    <n v="6106.24"/>
    <s v="Pending"/>
    <x v="3"/>
    <s v="Home"/>
    <s v="SMB"/>
    <n v="27"/>
    <x v="1"/>
    <n v="1143"/>
  </r>
  <r>
    <s v="ORD-01125"/>
    <d v="2024-08-09T00:00:00"/>
    <s v="CUST-0142"/>
    <x v="46"/>
    <s v="R002"/>
    <n v="5"/>
    <n v="4060"/>
    <n v="9.1"/>
    <n v="18452.7"/>
    <s v="Pending"/>
    <x v="1"/>
    <s v="Grocery"/>
    <s v="Corporate"/>
    <n v="55"/>
    <x v="0"/>
    <n v="2911"/>
  </r>
  <r>
    <s v="ORD-01126"/>
    <d v="2024-05-26T00:00:00"/>
    <s v="CUST-0150"/>
    <x v="44"/>
    <s v="R013"/>
    <n v="9"/>
    <n v="2030"/>
    <n v="15.9"/>
    <n v="15365.07"/>
    <s v="Pending"/>
    <x v="0"/>
    <s v="Home"/>
    <s v="SMB"/>
    <n v="53"/>
    <x v="1"/>
    <n v="1143"/>
  </r>
  <r>
    <s v="ORD-01127"/>
    <d v="2024-08-25T00:00:00"/>
    <s v="CUST-0001"/>
    <x v="22"/>
    <s v="R014"/>
    <n v="1"/>
    <n v="3350"/>
    <n v="23.2"/>
    <n v="2572.8000000000002"/>
    <s v="Refunded"/>
    <x v="0"/>
    <s v="Beauty"/>
    <s v="Retail"/>
    <n v="36"/>
    <x v="1"/>
    <n v="1728"/>
  </r>
  <r>
    <s v="ORD-01128"/>
    <d v="2024-12-08T00:00:00"/>
    <s v="CUST-0104"/>
    <x v="29"/>
    <s v="R006"/>
    <n v="4"/>
    <n v="660"/>
    <n v="27.1"/>
    <n v="1924.56"/>
    <s v="Completed"/>
    <x v="5"/>
    <s v="Home"/>
    <s v="Corporate"/>
    <n v="43"/>
    <x v="0"/>
    <n v="329"/>
  </r>
  <r>
    <s v="ORD-01129"/>
    <d v="2024-05-29T00:00:00"/>
    <s v="CUST-0261"/>
    <x v="40"/>
    <s v="R014"/>
    <n v="3"/>
    <n v="3020"/>
    <n v="7.2"/>
    <n v="8407.68"/>
    <s v="Completed"/>
    <x v="2"/>
    <s v="Beauty"/>
    <s v="Retail"/>
    <n v="54"/>
    <x v="1"/>
    <n v="1626"/>
  </r>
  <r>
    <s v="ORD-01130"/>
    <d v="2024-04-27T00:00:00"/>
    <s v="CUST-0010"/>
    <x v="41"/>
    <s v="R006"/>
    <n v="3"/>
    <n v="2660"/>
    <n v="0.2"/>
    <n v="7964.04"/>
    <s v="Completed"/>
    <x v="3"/>
    <s v="Electronics"/>
    <s v="SMB"/>
    <n v="61"/>
    <x v="0"/>
    <n v="1259"/>
  </r>
  <r>
    <s v="ORD-01131"/>
    <d v="2024-12-24T00:00:00"/>
    <s v="CUST-0237"/>
    <x v="23"/>
    <s v="R006"/>
    <n v="4"/>
    <n v="1010"/>
    <n v="3.1"/>
    <n v="3914.76"/>
    <s v="Completed"/>
    <x v="3"/>
    <s v="Sports"/>
    <s v="Retail"/>
    <n v="49"/>
    <x v="0"/>
    <n v="516"/>
  </r>
  <r>
    <s v="ORD-01132"/>
    <d v="2024-03-29T00:00:00"/>
    <s v="CUST-0128"/>
    <x v="8"/>
    <s v="R017"/>
    <n v="5"/>
    <n v="5490"/>
    <n v="3.6"/>
    <n v="26461.8"/>
    <s v="Completed"/>
    <x v="5"/>
    <s v="Home"/>
    <s v="Retail"/>
    <n v="35"/>
    <x v="3"/>
    <n v="2549"/>
  </r>
  <r>
    <s v="ORD-01133"/>
    <d v="2024-01-31T00:00:00"/>
    <s v="CUST-0182"/>
    <x v="15"/>
    <s v="R019"/>
    <n v="1"/>
    <n v="2400"/>
    <n v="24.3"/>
    <n v="1816.8"/>
    <s v="Completed"/>
    <x v="3"/>
    <s v="Sports"/>
    <s v="Retail"/>
    <n v="54"/>
    <x v="3"/>
    <n v="974"/>
  </r>
  <r>
    <s v="ORD-01134"/>
    <d v="2024-08-28T00:00:00"/>
    <s v="CUST-0131"/>
    <x v="29"/>
    <s v="R009"/>
    <n v="8"/>
    <n v="660"/>
    <n v="19.8"/>
    <n v="4234.5600000000004"/>
    <s v="Completed"/>
    <x v="2"/>
    <s v="Home"/>
    <s v="SMB"/>
    <n v="28"/>
    <x v="1"/>
    <n v="329"/>
  </r>
  <r>
    <s v="ORD-01135"/>
    <d v="2024-07-31T00:00:00"/>
    <s v="CUST-0023"/>
    <x v="49"/>
    <s v="R016"/>
    <n v="9"/>
    <n v="5330"/>
    <n v="16.5"/>
    <n v="40054.949999999997"/>
    <s v="Completed"/>
    <x v="1"/>
    <s v="Electronics"/>
    <s v="SMB"/>
    <n v="43"/>
    <x v="1"/>
    <n v="2405"/>
  </r>
  <r>
    <s v="ORD-01136"/>
    <d v="2024-08-12T00:00:00"/>
    <s v="CUST-0171"/>
    <x v="12"/>
    <s v="R007"/>
    <n v="5"/>
    <n v="2600"/>
    <n v="0.3"/>
    <n v="12961"/>
    <s v="Completed"/>
    <x v="1"/>
    <s v="Electronics"/>
    <s v="Corporate"/>
    <n v="30"/>
    <x v="0"/>
    <n v="1052"/>
  </r>
  <r>
    <s v="ORD-01137"/>
    <d v="2024-06-19T00:00:00"/>
    <s v="CUST-0116"/>
    <x v="54"/>
    <s v="R018"/>
    <n v="4"/>
    <n v="5080"/>
    <n v="13.8"/>
    <n v="17515.84"/>
    <s v="Pending"/>
    <x v="4"/>
    <s v="Home"/>
    <s v="Retail"/>
    <n v="53"/>
    <x v="3"/>
    <n v="2459"/>
  </r>
  <r>
    <s v="ORD-01138"/>
    <d v="2024-11-01T00:00:00"/>
    <s v="CUST-0021"/>
    <x v="50"/>
    <s v="R002"/>
    <n v="7"/>
    <n v="2380"/>
    <n v="15.5"/>
    <n v="14077.7"/>
    <s v="Completed"/>
    <x v="0"/>
    <s v="Grocery"/>
    <s v="Retail"/>
    <n v="44"/>
    <x v="0"/>
    <n v="1182"/>
  </r>
  <r>
    <s v="ORD-01139"/>
    <d v="2024-12-22T00:00:00"/>
    <s v="CUST-0234"/>
    <x v="24"/>
    <s v="R006"/>
    <n v="3"/>
    <n v="4880"/>
    <n v="6.1"/>
    <n v="13746.96"/>
    <s v="Completed"/>
    <x v="4"/>
    <s v="Beauty"/>
    <s v="Retail"/>
    <n v="34"/>
    <x v="0"/>
    <n v="2768"/>
  </r>
  <r>
    <s v="ORD-01140"/>
    <d v="2024-03-04T00:00:00"/>
    <s v="CUST-0225"/>
    <x v="22"/>
    <s v="R009"/>
    <n v="2"/>
    <n v="3350"/>
    <n v="17.2"/>
    <n v="5547.6"/>
    <s v="Completed"/>
    <x v="1"/>
    <s v="Beauty"/>
    <s v="SMB"/>
    <n v="26"/>
    <x v="1"/>
    <n v="1728"/>
  </r>
  <r>
    <s v="ORD-01141"/>
    <d v="2024-02-09T00:00:00"/>
    <s v="CUST-0268"/>
    <x v="9"/>
    <s v="R024"/>
    <n v="5"/>
    <n v="970"/>
    <n v="23.6"/>
    <n v="3705.4"/>
    <s v="Completed"/>
    <x v="1"/>
    <s v="Grocery"/>
    <s v="Retail"/>
    <n v="35"/>
    <x v="2"/>
    <n v="434"/>
  </r>
  <r>
    <s v="ORD-01142"/>
    <d v="2024-12-06T00:00:00"/>
    <s v="CUST-0248"/>
    <x v="42"/>
    <s v="R022"/>
    <n v="5"/>
    <n v="300"/>
    <n v="3.8"/>
    <n v="1443"/>
    <s v="Completed"/>
    <x v="1"/>
    <s v="Electronics"/>
    <s v="SMB"/>
    <n v="57"/>
    <x v="3"/>
    <n v="128"/>
  </r>
  <r>
    <s v="ORD-01143"/>
    <d v="2024-03-07T00:00:00"/>
    <s v="CUST-0026"/>
    <x v="53"/>
    <s v="R005"/>
    <n v="9"/>
    <n v="3970"/>
    <n v="0.8"/>
    <n v="35444.160000000003"/>
    <s v="Completed"/>
    <x v="0"/>
    <s v="Electronics"/>
    <s v="Retail"/>
    <n v="62"/>
    <x v="0"/>
    <n v="2865"/>
  </r>
  <r>
    <s v="ORD-01144"/>
    <d v="2024-05-28T00:00:00"/>
    <s v="CUST-0257"/>
    <x v="20"/>
    <s v="R013"/>
    <n v="4"/>
    <n v="2720"/>
    <n v="12.7"/>
    <n v="9498.24"/>
    <s v="Completed"/>
    <x v="3"/>
    <s v="Apparel"/>
    <s v="Corporate"/>
    <n v="46"/>
    <x v="1"/>
    <n v="1962"/>
  </r>
  <r>
    <s v="ORD-01145"/>
    <d v="2024-04-30T00:00:00"/>
    <s v="CUST-0258"/>
    <x v="43"/>
    <s v="R021"/>
    <n v="3"/>
    <n v="620"/>
    <n v="5.5"/>
    <n v="1757.7"/>
    <s v="Completed"/>
    <x v="0"/>
    <s v="Apparel"/>
    <s v="Retail"/>
    <n v="44"/>
    <x v="3"/>
    <n v="396"/>
  </r>
  <r>
    <s v="ORD-01146"/>
    <d v="2024-07-06T00:00:00"/>
    <s v="CUST-0142"/>
    <x v="36"/>
    <s v="R024"/>
    <n v="2"/>
    <n v="1540"/>
    <n v="2.2000000000000002"/>
    <n v="3012.24"/>
    <s v="Pending"/>
    <x v="1"/>
    <s v="Beauty"/>
    <s v="Corporate"/>
    <n v="55"/>
    <x v="2"/>
    <n v="647"/>
  </r>
  <r>
    <s v="ORD-01147"/>
    <d v="2024-08-30T00:00:00"/>
    <s v="CUST-0020"/>
    <x v="52"/>
    <s v="R026"/>
    <n v="1"/>
    <n v="2290"/>
    <n v="24.4"/>
    <n v="1731.24"/>
    <s v="Cancelled"/>
    <x v="5"/>
    <s v="Beauty"/>
    <s v="Retail"/>
    <n v="46"/>
    <x v="2"/>
    <n v="1219"/>
  </r>
  <r>
    <s v="ORD-01148"/>
    <d v="2024-01-22T00:00:00"/>
    <s v="CUST-0016"/>
    <x v="20"/>
    <s v="R018"/>
    <n v="8"/>
    <n v="2720"/>
    <n v="1.7"/>
    <n v="21390.080000000002"/>
    <s v="Completed"/>
    <x v="2"/>
    <s v="Apparel"/>
    <s v="SMB"/>
    <n v="26"/>
    <x v="3"/>
    <n v="1962"/>
  </r>
  <r>
    <s v="ORD-01149"/>
    <d v="2024-04-08T00:00:00"/>
    <s v="CUST-0288"/>
    <x v="46"/>
    <s v="R023"/>
    <n v="4"/>
    <n v="4060"/>
    <n v="19.600000000000001"/>
    <n v="13056.96"/>
    <s v="Cancelled"/>
    <x v="5"/>
    <s v="Grocery"/>
    <s v="Corporate"/>
    <n v="25"/>
    <x v="3"/>
    <n v="2911"/>
  </r>
  <r>
    <s v="ORD-01150"/>
    <d v="2024-03-19T00:00:00"/>
    <s v="CUST-0133"/>
    <x v="25"/>
    <s v="R016"/>
    <n v="8"/>
    <n v="3570"/>
    <n v="10.8"/>
    <n v="25475.52"/>
    <s v="Completed"/>
    <x v="1"/>
    <s v="Electronics"/>
    <s v="Retail"/>
    <n v="26"/>
    <x v="1"/>
    <n v="1665"/>
  </r>
  <r>
    <s v="ORD-01151"/>
    <d v="2024-02-02T00:00:00"/>
    <s v="CUST-0192"/>
    <x v="17"/>
    <s v="R004"/>
    <n v="10"/>
    <n v="3450"/>
    <n v="13.5"/>
    <n v="29842.5"/>
    <s v="Pending"/>
    <x v="4"/>
    <s v="Sports"/>
    <s v="Retail"/>
    <n v="55"/>
    <x v="0"/>
    <n v="2467"/>
  </r>
  <r>
    <s v="ORD-01152"/>
    <d v="2024-06-26T00:00:00"/>
    <s v="CUST-0298"/>
    <x v="11"/>
    <s v="R007"/>
    <n v="10"/>
    <n v="2640"/>
    <n v="29.8"/>
    <n v="18532.8"/>
    <s v="Completed"/>
    <x v="2"/>
    <s v="Electronics"/>
    <s v="Retail"/>
    <n v="44"/>
    <x v="0"/>
    <n v="1149"/>
  </r>
  <r>
    <s v="ORD-01153"/>
    <d v="2024-11-23T00:00:00"/>
    <s v="CUST-0088"/>
    <x v="5"/>
    <s v="R009"/>
    <n v="3"/>
    <n v="370"/>
    <n v="25.5"/>
    <n v="826.95"/>
    <s v="Completed"/>
    <x v="1"/>
    <s v="Home"/>
    <s v="Retail"/>
    <n v="24"/>
    <x v="1"/>
    <n v="288"/>
  </r>
  <r>
    <s v="ORD-01154"/>
    <d v="2024-12-01T00:00:00"/>
    <s v="CUST-0274"/>
    <x v="38"/>
    <s v="R030"/>
    <n v="3"/>
    <n v="1220"/>
    <n v="7.7"/>
    <n v="3378.18"/>
    <s v="Pending"/>
    <x v="4"/>
    <s v="Electronics"/>
    <s v="Corporate"/>
    <n v="36"/>
    <x v="2"/>
    <n v="517"/>
  </r>
  <r>
    <s v="ORD-01155"/>
    <d v="2024-07-26T00:00:00"/>
    <s v="CUST-0165"/>
    <x v="11"/>
    <s v="R022"/>
    <n v="1"/>
    <n v="2640"/>
    <n v="23.6"/>
    <n v="2016.96"/>
    <s v="Completed"/>
    <x v="0"/>
    <s v="Electronics"/>
    <s v="Retail"/>
    <n v="29"/>
    <x v="3"/>
    <n v="1149"/>
  </r>
  <r>
    <s v="ORD-01156"/>
    <d v="2024-09-28T00:00:00"/>
    <s v="CUST-0275"/>
    <x v="26"/>
    <s v="R011"/>
    <n v="9"/>
    <n v="5100"/>
    <n v="9.5"/>
    <n v="41539.5"/>
    <s v="Completed"/>
    <x v="3"/>
    <s v="Beauty"/>
    <s v="Retail"/>
    <n v="36"/>
    <x v="1"/>
    <n v="2237"/>
  </r>
  <r>
    <s v="ORD-01157"/>
    <d v="2024-05-23T00:00:00"/>
    <s v="CUST-0225"/>
    <x v="33"/>
    <s v="R008"/>
    <n v="7"/>
    <n v="6080"/>
    <n v="17.5"/>
    <n v="35112"/>
    <s v="Completed"/>
    <x v="1"/>
    <s v="Beauty"/>
    <s v="SMB"/>
    <n v="26"/>
    <x v="0"/>
    <n v="2617"/>
  </r>
  <r>
    <s v="ORD-01158"/>
    <d v="2024-11-06T00:00:00"/>
    <s v="CUST-0059"/>
    <x v="42"/>
    <s v="R026"/>
    <n v="1"/>
    <n v="300"/>
    <n v="26.9"/>
    <n v="219.3"/>
    <s v="Completed"/>
    <x v="0"/>
    <s v="Electronics"/>
    <s v="Corporate"/>
    <n v="29"/>
    <x v="2"/>
    <n v="128"/>
  </r>
  <r>
    <s v="ORD-01159"/>
    <d v="2024-12-24T00:00:00"/>
    <s v="CUST-0149"/>
    <x v="40"/>
    <s v="R020"/>
    <n v="6"/>
    <n v="3020"/>
    <n v="28.5"/>
    <n v="12955.8"/>
    <s v="Completed"/>
    <x v="5"/>
    <s v="Beauty"/>
    <s v="Retail"/>
    <n v="44"/>
    <x v="3"/>
    <n v="1626"/>
  </r>
  <r>
    <s v="ORD-01160"/>
    <d v="2024-01-03T00:00:00"/>
    <s v="CUST-0283"/>
    <x v="42"/>
    <s v="R018"/>
    <n v="8"/>
    <n v="300"/>
    <n v="1.2"/>
    <n v="2371.1999999999998"/>
    <s v="Completed"/>
    <x v="2"/>
    <s v="Electronics"/>
    <s v="SMB"/>
    <n v="50"/>
    <x v="3"/>
    <n v="128"/>
  </r>
  <r>
    <s v="ORD-01161"/>
    <d v="2024-08-19T00:00:00"/>
    <s v="CUST-0039"/>
    <x v="22"/>
    <s v="R011"/>
    <n v="9"/>
    <n v="3350"/>
    <n v="0.6"/>
    <n v="29969.1"/>
    <s v="Refunded"/>
    <x v="4"/>
    <s v="Beauty"/>
    <s v="Retail"/>
    <n v="37"/>
    <x v="1"/>
    <n v="1728"/>
  </r>
  <r>
    <s v="ORD-01162"/>
    <d v="2024-07-06T00:00:00"/>
    <s v="CUST-0046"/>
    <x v="37"/>
    <s v="R024"/>
    <n v="4"/>
    <n v="4070"/>
    <n v="10.1"/>
    <n v="14635.72"/>
    <s v="Completed"/>
    <x v="2"/>
    <s v="Grocery"/>
    <s v="SMB"/>
    <n v="45"/>
    <x v="2"/>
    <n v="2027"/>
  </r>
  <r>
    <s v="ORD-01163"/>
    <d v="2024-11-18T00:00:00"/>
    <s v="CUST-0105"/>
    <x v="56"/>
    <s v="R024"/>
    <n v="9"/>
    <n v="3780"/>
    <n v="27.8"/>
    <n v="24562.44"/>
    <s v="Cancelled"/>
    <x v="1"/>
    <s v="Sports"/>
    <s v="SMB"/>
    <n v="51"/>
    <x v="2"/>
    <n v="1860"/>
  </r>
  <r>
    <s v="ORD-01164"/>
    <d v="2024-04-25T00:00:00"/>
    <s v="CUST-0006"/>
    <x v="18"/>
    <s v="R030"/>
    <n v="6"/>
    <n v="1080"/>
    <n v="17.5"/>
    <n v="5346"/>
    <s v="Completed"/>
    <x v="0"/>
    <s v="Home"/>
    <s v="SMB"/>
    <n v="44"/>
    <x v="2"/>
    <n v="519"/>
  </r>
  <r>
    <s v="ORD-01165"/>
    <d v="2024-11-07T00:00:00"/>
    <s v="CUST-0192"/>
    <x v="12"/>
    <s v="R023"/>
    <n v="3"/>
    <n v="2600"/>
    <n v="1.9"/>
    <n v="7651.8"/>
    <s v="Completed"/>
    <x v="4"/>
    <s v="Electronics"/>
    <s v="Retail"/>
    <n v="55"/>
    <x v="3"/>
    <n v="1052"/>
  </r>
  <r>
    <s v="ORD-01166"/>
    <d v="2024-03-24T00:00:00"/>
    <s v="CUST-0290"/>
    <x v="20"/>
    <s v="R008"/>
    <n v="5"/>
    <n v="2720"/>
    <n v="1.8"/>
    <n v="13355.2"/>
    <s v="Cancelled"/>
    <x v="2"/>
    <s v="Apparel"/>
    <s v="Retail"/>
    <n v="63"/>
    <x v="0"/>
    <n v="1962"/>
  </r>
  <r>
    <s v="ORD-01167"/>
    <d v="2024-07-12T00:00:00"/>
    <s v="CUST-0287"/>
    <x v="3"/>
    <s v="R012"/>
    <n v="8"/>
    <n v="3660"/>
    <n v="29.5"/>
    <n v="20642.400000000001"/>
    <s v="Completed"/>
    <x v="1"/>
    <s v="Grocery"/>
    <s v="SMB"/>
    <n v="53"/>
    <x v="1"/>
    <n v="2214"/>
  </r>
  <r>
    <s v="ORD-01168"/>
    <d v="2024-10-02T00:00:00"/>
    <s v="CUST-0025"/>
    <x v="21"/>
    <s v="R005"/>
    <n v="9"/>
    <n v="1650"/>
    <n v="19.8"/>
    <n v="11909.7"/>
    <s v="Refunded"/>
    <x v="4"/>
    <s v="Beauty"/>
    <s v="Retail"/>
    <n v="23"/>
    <x v="0"/>
    <n v="1222"/>
  </r>
  <r>
    <s v="ORD-01169"/>
    <d v="2024-07-29T00:00:00"/>
    <s v="CUST-0139"/>
    <x v="27"/>
    <s v="R019"/>
    <n v="3"/>
    <n v="2860"/>
    <n v="22.7"/>
    <n v="6632.34"/>
    <s v="Completed"/>
    <x v="5"/>
    <s v="Sports"/>
    <s v="SMB"/>
    <n v="65"/>
    <x v="3"/>
    <n v="2028"/>
  </r>
  <r>
    <s v="ORD-01170"/>
    <d v="2024-05-17T00:00:00"/>
    <s v="CUST-0278"/>
    <x v="17"/>
    <s v="R025"/>
    <n v="4"/>
    <n v="3450"/>
    <n v="9.1999999999999993"/>
    <n v="12530.4"/>
    <s v="Completed"/>
    <x v="5"/>
    <s v="Sports"/>
    <s v="Retail"/>
    <n v="41"/>
    <x v="2"/>
    <n v="2467"/>
  </r>
  <r>
    <s v="ORD-01171"/>
    <d v="2024-04-23T00:00:00"/>
    <s v="CUST-0258"/>
    <x v="44"/>
    <s v="R003"/>
    <n v="4"/>
    <n v="2030"/>
    <n v="17.100000000000001"/>
    <n v="6731.48"/>
    <s v="Completed"/>
    <x v="0"/>
    <s v="Home"/>
    <s v="Retail"/>
    <n v="44"/>
    <x v="0"/>
    <n v="1143"/>
  </r>
  <r>
    <s v="ORD-01172"/>
    <d v="2024-04-19T00:00:00"/>
    <s v="CUST-0106"/>
    <x v="34"/>
    <s v="R016"/>
    <n v="4"/>
    <n v="2270"/>
    <n v="27.3"/>
    <n v="6601.16"/>
    <s v="Completed"/>
    <x v="0"/>
    <s v="Grocery"/>
    <s v="Retail"/>
    <n v="22"/>
    <x v="1"/>
    <n v="1412"/>
  </r>
  <r>
    <s v="ORD-01173"/>
    <d v="2024-03-22T00:00:00"/>
    <s v="CUST-0009"/>
    <x v="54"/>
    <s v="R013"/>
    <n v="9"/>
    <n v="5080"/>
    <n v="10.9"/>
    <n v="40736.519999999997"/>
    <s v="Completed"/>
    <x v="3"/>
    <s v="Home"/>
    <s v="Retail"/>
    <n v="61"/>
    <x v="1"/>
    <n v="2459"/>
  </r>
  <r>
    <s v="ORD-01174"/>
    <d v="2024-11-06T00:00:00"/>
    <s v="CUST-0209"/>
    <x v="37"/>
    <s v="R029"/>
    <n v="8"/>
    <n v="4070"/>
    <n v="17.7"/>
    <n v="26796.880000000001"/>
    <s v="Completed"/>
    <x v="0"/>
    <s v="Grocery"/>
    <s v="Retail"/>
    <n v="31"/>
    <x v="2"/>
    <n v="2027"/>
  </r>
  <r>
    <s v="ORD-01175"/>
    <d v="2024-03-21T00:00:00"/>
    <s v="CUST-0111"/>
    <x v="36"/>
    <s v="R005"/>
    <n v="1"/>
    <n v="1540"/>
    <n v="0.9"/>
    <n v="1526.14"/>
    <s v="Completed"/>
    <x v="1"/>
    <s v="Beauty"/>
    <s v="SMB"/>
    <n v="64"/>
    <x v="0"/>
    <n v="647"/>
  </r>
  <r>
    <s v="ORD-01176"/>
    <d v="2024-05-04T00:00:00"/>
    <s v="CUST-0014"/>
    <x v="26"/>
    <s v="R024"/>
    <n v="10"/>
    <n v="5100"/>
    <n v="3"/>
    <n v="49470"/>
    <s v="Completed"/>
    <x v="4"/>
    <s v="Beauty"/>
    <s v="Retail"/>
    <n v="48"/>
    <x v="2"/>
    <n v="2237"/>
  </r>
  <r>
    <s v="ORD-01177"/>
    <d v="2024-12-30T00:00:00"/>
    <s v="CUST-0073"/>
    <x v="0"/>
    <s v="R006"/>
    <n v="6"/>
    <n v="3620"/>
    <n v="20.2"/>
    <n v="17332.560000000001"/>
    <s v="Completed"/>
    <x v="0"/>
    <s v="Apparel"/>
    <s v="Corporate"/>
    <n v="40"/>
    <x v="0"/>
    <n v="2509"/>
  </r>
  <r>
    <s v="ORD-01178"/>
    <d v="2024-02-02T00:00:00"/>
    <s v="CUST-0147"/>
    <x v="24"/>
    <s v="R003"/>
    <n v="7"/>
    <n v="4880"/>
    <n v="5"/>
    <n v="32452"/>
    <s v="Completed"/>
    <x v="0"/>
    <s v="Beauty"/>
    <s v="Retail"/>
    <n v="56"/>
    <x v="0"/>
    <n v="2768"/>
  </r>
  <r>
    <s v="ORD-01179"/>
    <d v="2024-06-29T00:00:00"/>
    <s v="CUST-0006"/>
    <x v="11"/>
    <s v="R024"/>
    <n v="1"/>
    <n v="2640"/>
    <n v="4.0999999999999996"/>
    <n v="2531.7600000000002"/>
    <s v="Completed"/>
    <x v="0"/>
    <s v="Electronics"/>
    <s v="SMB"/>
    <n v="44"/>
    <x v="2"/>
    <n v="1149"/>
  </r>
  <r>
    <s v="ORD-01180"/>
    <d v="2024-08-04T00:00:00"/>
    <s v="CUST-0031"/>
    <x v="37"/>
    <s v="R020"/>
    <n v="9"/>
    <n v="4070"/>
    <n v="4.4000000000000004"/>
    <n v="35018.28"/>
    <s v="Completed"/>
    <x v="5"/>
    <s v="Grocery"/>
    <s v="Retail"/>
    <n v="53"/>
    <x v="3"/>
    <n v="2027"/>
  </r>
  <r>
    <s v="ORD-01181"/>
    <d v="2024-11-21T00:00:00"/>
    <s v="CUST-0084"/>
    <x v="25"/>
    <s v="R025"/>
    <n v="9"/>
    <n v="3570"/>
    <n v="24.8"/>
    <n v="24161.759999999998"/>
    <s v="Completed"/>
    <x v="1"/>
    <s v="Electronics"/>
    <s v="Retail"/>
    <n v="28"/>
    <x v="2"/>
    <n v="1665"/>
  </r>
  <r>
    <s v="ORD-01182"/>
    <d v="2024-06-27T00:00:00"/>
    <s v="CUST-0203"/>
    <x v="22"/>
    <s v="R005"/>
    <n v="10"/>
    <n v="3350"/>
    <n v="25.1"/>
    <n v="25091.5"/>
    <s v="Cancelled"/>
    <x v="1"/>
    <s v="Beauty"/>
    <s v="SMB"/>
    <n v="55"/>
    <x v="0"/>
    <n v="1728"/>
  </r>
  <r>
    <s v="ORD-01183"/>
    <d v="2024-01-16T00:00:00"/>
    <s v="CUST-0138"/>
    <x v="56"/>
    <s v="R025"/>
    <n v="3"/>
    <n v="3780"/>
    <n v="3.8"/>
    <n v="10909.08"/>
    <s v="Completed"/>
    <x v="1"/>
    <s v="Sports"/>
    <s v="Retail"/>
    <n v="24"/>
    <x v="2"/>
    <n v="1860"/>
  </r>
  <r>
    <s v="ORD-01184"/>
    <d v="2024-12-25T00:00:00"/>
    <s v="CUST-0157"/>
    <x v="25"/>
    <s v="R008"/>
    <n v="4"/>
    <n v="3570"/>
    <n v="0.9"/>
    <n v="14151.48"/>
    <s v="Pending"/>
    <x v="0"/>
    <s v="Electronics"/>
    <s v="Corporate"/>
    <n v="52"/>
    <x v="0"/>
    <n v="1665"/>
  </r>
  <r>
    <s v="ORD-01185"/>
    <d v="2024-05-24T00:00:00"/>
    <s v="CUST-0298"/>
    <x v="27"/>
    <s v="R024"/>
    <n v="5"/>
    <n v="2860"/>
    <n v="20.100000000000001"/>
    <n v="11425.7"/>
    <s v="Completed"/>
    <x v="2"/>
    <s v="Sports"/>
    <s v="Retail"/>
    <n v="44"/>
    <x v="2"/>
    <n v="2028"/>
  </r>
  <r>
    <s v="ORD-01186"/>
    <d v="2024-08-14T00:00:00"/>
    <s v="CUST-0132"/>
    <x v="43"/>
    <s v="R003"/>
    <n v="1"/>
    <n v="620"/>
    <n v="1.1000000000000001"/>
    <n v="613.17999999999995"/>
    <s v="Cancelled"/>
    <x v="2"/>
    <s v="Apparel"/>
    <s v="Retail"/>
    <n v="41"/>
    <x v="0"/>
    <n v="396"/>
  </r>
  <r>
    <s v="ORD-01187"/>
    <d v="2024-05-20T00:00:00"/>
    <s v="CUST-0006"/>
    <x v="25"/>
    <s v="R012"/>
    <n v="1"/>
    <n v="3570"/>
    <n v="11.1"/>
    <n v="3173.73"/>
    <s v="Cancelled"/>
    <x v="0"/>
    <s v="Electronics"/>
    <s v="SMB"/>
    <n v="44"/>
    <x v="1"/>
    <n v="1665"/>
  </r>
  <r>
    <s v="ORD-01188"/>
    <d v="2024-09-16T00:00:00"/>
    <s v="CUST-0011"/>
    <x v="49"/>
    <s v="R012"/>
    <n v="1"/>
    <n v="5330"/>
    <n v="3.5"/>
    <n v="5143.45"/>
    <s v="Completed"/>
    <x v="1"/>
    <s v="Electronics"/>
    <s v="Corporate"/>
    <n v="41"/>
    <x v="1"/>
    <n v="2405"/>
  </r>
  <r>
    <s v="ORD-01189"/>
    <d v="2024-02-26T00:00:00"/>
    <s v="CUST-0170"/>
    <x v="48"/>
    <s v="R018"/>
    <n v="7"/>
    <n v="5410"/>
    <n v="26.2"/>
    <n v="27948.06"/>
    <s v="Completed"/>
    <x v="3"/>
    <s v="Sports"/>
    <s v="SMB"/>
    <n v="22"/>
    <x v="3"/>
    <n v="2265"/>
  </r>
  <r>
    <s v="ORD-01190"/>
    <d v="2024-03-23T00:00:00"/>
    <s v="CUST-0109"/>
    <x v="54"/>
    <s v="R016"/>
    <n v="10"/>
    <n v="5080"/>
    <n v="3.7"/>
    <n v="48920.4"/>
    <s v="Pending"/>
    <x v="0"/>
    <s v="Home"/>
    <s v="Retail"/>
    <n v="42"/>
    <x v="1"/>
    <n v="2459"/>
  </r>
  <r>
    <s v="ORD-01191"/>
    <d v="2024-03-19T00:00:00"/>
    <s v="CUST-0066"/>
    <x v="25"/>
    <s v="R005"/>
    <n v="9"/>
    <n v="3570"/>
    <n v="5.6"/>
    <n v="30330.720000000001"/>
    <s v="Completed"/>
    <x v="2"/>
    <s v="Electronics"/>
    <s v="Retail"/>
    <n v="24"/>
    <x v="0"/>
    <n v="1665"/>
  </r>
  <r>
    <s v="ORD-01192"/>
    <d v="2024-12-30T00:00:00"/>
    <s v="CUST-0055"/>
    <x v="9"/>
    <s v="R022"/>
    <n v="9"/>
    <n v="970"/>
    <n v="19.5"/>
    <n v="7027.65"/>
    <s v="Completed"/>
    <x v="4"/>
    <s v="Grocery"/>
    <s v="Retail"/>
    <n v="34"/>
    <x v="3"/>
    <n v="434"/>
  </r>
  <r>
    <s v="ORD-01193"/>
    <d v="2024-03-06T00:00:00"/>
    <s v="CUST-0298"/>
    <x v="42"/>
    <s v="R009"/>
    <n v="10"/>
    <n v="300"/>
    <n v="23"/>
    <n v="2310"/>
    <s v="Cancelled"/>
    <x v="2"/>
    <s v="Electronics"/>
    <s v="Retail"/>
    <n v="44"/>
    <x v="1"/>
    <n v="128"/>
  </r>
  <r>
    <s v="ORD-01194"/>
    <d v="2024-07-06T00:00:00"/>
    <s v="CUST-0024"/>
    <x v="33"/>
    <s v="R003"/>
    <n v="10"/>
    <n v="6080"/>
    <n v="3.9"/>
    <n v="58428.800000000003"/>
    <s v="Completed"/>
    <x v="1"/>
    <s v="Beauty"/>
    <s v="SMB"/>
    <n v="64"/>
    <x v="0"/>
    <n v="2617"/>
  </r>
  <r>
    <s v="ORD-01195"/>
    <d v="2024-09-04T00:00:00"/>
    <s v="CUST-0008"/>
    <x v="26"/>
    <s v="R011"/>
    <n v="2"/>
    <n v="5100"/>
    <n v="11"/>
    <n v="9078"/>
    <s v="Completed"/>
    <x v="0"/>
    <s v="Beauty"/>
    <s v="SMB"/>
    <n v="39"/>
    <x v="1"/>
    <n v="2237"/>
  </r>
  <r>
    <s v="ORD-01196"/>
    <d v="2024-04-12T00:00:00"/>
    <s v="CUST-0070"/>
    <x v="55"/>
    <s v="R019"/>
    <n v="9"/>
    <n v="3450"/>
    <n v="23.7"/>
    <n v="23691.15"/>
    <s v="Completed"/>
    <x v="3"/>
    <s v="Apparel"/>
    <s v="Retail"/>
    <n v="42"/>
    <x v="3"/>
    <n v="1748"/>
  </r>
  <r>
    <s v="ORD-01197"/>
    <d v="2024-02-13T00:00:00"/>
    <s v="CUST-0270"/>
    <x v="19"/>
    <s v="R011"/>
    <n v="5"/>
    <n v="2480"/>
    <n v="20.399999999999999"/>
    <n v="9870.4"/>
    <s v="Completed"/>
    <x v="4"/>
    <s v="Apparel"/>
    <s v="Retail"/>
    <n v="29"/>
    <x v="1"/>
    <n v="1173"/>
  </r>
  <r>
    <s v="ORD-01198"/>
    <d v="2024-02-12T00:00:00"/>
    <s v="CUST-0175"/>
    <x v="14"/>
    <s v="R010"/>
    <n v="4"/>
    <n v="190"/>
    <n v="2.6"/>
    <n v="740.24"/>
    <s v="Completed"/>
    <x v="2"/>
    <s v="Sports"/>
    <s v="Corporate"/>
    <n v="55"/>
    <x v="1"/>
    <n v="147"/>
  </r>
  <r>
    <s v="ORD-01199"/>
    <d v="2024-01-09T00:00:00"/>
    <s v="CUST-0227"/>
    <x v="34"/>
    <s v="R020"/>
    <n v="4"/>
    <n v="2270"/>
    <n v="8.1"/>
    <n v="8344.52"/>
    <s v="Pending"/>
    <x v="4"/>
    <s v="Grocery"/>
    <s v="SMB"/>
    <n v="44"/>
    <x v="3"/>
    <n v="1412"/>
  </r>
  <r>
    <s v="ORD-01200"/>
    <d v="2024-04-18T00:00:00"/>
    <s v="CUST-0041"/>
    <x v="47"/>
    <s v="R028"/>
    <n v="7"/>
    <n v="2510"/>
    <n v="25.5"/>
    <n v="13089.65"/>
    <s v="Completed"/>
    <x v="4"/>
    <s v="Apparel"/>
    <s v="SMB"/>
    <n v="26"/>
    <x v="2"/>
    <n v="1075"/>
  </r>
  <r>
    <s v="ORD-01201"/>
    <d v="2024-05-11T00:00:00"/>
    <s v="CUST-0147"/>
    <x v="56"/>
    <s v="R004"/>
    <n v="3"/>
    <n v="3780"/>
    <n v="16.8"/>
    <n v="9434.8799999999992"/>
    <s v="Completed"/>
    <x v="0"/>
    <s v="Sports"/>
    <s v="Retail"/>
    <n v="56"/>
    <x v="0"/>
    <n v="1860"/>
  </r>
  <r>
    <s v="ORD-01202"/>
    <d v="2024-08-14T00:00:00"/>
    <s v="CUST-0185"/>
    <x v="25"/>
    <s v="R010"/>
    <n v="7"/>
    <n v="3570"/>
    <n v="23.7"/>
    <n v="19067.37"/>
    <s v="Completed"/>
    <x v="5"/>
    <s v="Electronics"/>
    <s v="SMB"/>
    <n v="43"/>
    <x v="1"/>
    <n v="1665"/>
  </r>
  <r>
    <s v="ORD-01203"/>
    <d v="2024-09-24T00:00:00"/>
    <s v="CUST-0210"/>
    <x v="29"/>
    <s v="R011"/>
    <n v="4"/>
    <n v="660"/>
    <n v="3.6"/>
    <n v="2544.96"/>
    <s v="Completed"/>
    <x v="0"/>
    <s v="Home"/>
    <s v="Corporate"/>
    <n v="48"/>
    <x v="1"/>
    <n v="329"/>
  </r>
  <r>
    <s v="ORD-01204"/>
    <d v="2024-07-28T00:00:00"/>
    <s v="CUST-0289"/>
    <x v="9"/>
    <s v="R010"/>
    <n v="7"/>
    <n v="970"/>
    <n v="23.7"/>
    <n v="5180.7700000000004"/>
    <s v="Completed"/>
    <x v="3"/>
    <s v="Grocery"/>
    <s v="Retail"/>
    <n v="54"/>
    <x v="1"/>
    <n v="434"/>
  </r>
  <r>
    <s v="ORD-01205"/>
    <d v="2024-02-16T00:00:00"/>
    <s v="CUST-0017"/>
    <x v="10"/>
    <s v="R006"/>
    <n v="8"/>
    <n v="2270"/>
    <n v="6.8"/>
    <n v="16925.12"/>
    <s v="Completed"/>
    <x v="2"/>
    <s v="Grocery"/>
    <s v="SMB"/>
    <n v="38"/>
    <x v="0"/>
    <n v="1203"/>
  </r>
  <r>
    <s v="ORD-01206"/>
    <d v="2024-10-20T00:00:00"/>
    <s v="CUST-0115"/>
    <x v="15"/>
    <s v="R012"/>
    <n v="1"/>
    <n v="2400"/>
    <n v="26.5"/>
    <n v="1764"/>
    <s v="Completed"/>
    <x v="3"/>
    <s v="Sports"/>
    <s v="SMB"/>
    <n v="65"/>
    <x v="1"/>
    <n v="974"/>
  </r>
  <r>
    <s v="ORD-01207"/>
    <d v="2024-08-21T00:00:00"/>
    <s v="CUST-0183"/>
    <x v="54"/>
    <s v="R010"/>
    <n v="5"/>
    <n v="5080"/>
    <n v="29.6"/>
    <n v="17881.599999999999"/>
    <s v="Completed"/>
    <x v="3"/>
    <s v="Home"/>
    <s v="SMB"/>
    <n v="27"/>
    <x v="1"/>
    <n v="2459"/>
  </r>
  <r>
    <s v="ORD-01208"/>
    <d v="2024-02-29T00:00:00"/>
    <s v="CUST-0193"/>
    <x v="22"/>
    <s v="R014"/>
    <n v="9"/>
    <n v="3350"/>
    <n v="6.2"/>
    <n v="28280.7"/>
    <s v="Completed"/>
    <x v="4"/>
    <s v="Beauty"/>
    <s v="Retail"/>
    <n v="42"/>
    <x v="1"/>
    <n v="1728"/>
  </r>
  <r>
    <s v="ORD-01209"/>
    <d v="2024-09-25T00:00:00"/>
    <s v="CUST-0019"/>
    <x v="36"/>
    <s v="R001"/>
    <n v="4"/>
    <n v="1540"/>
    <n v="22.2"/>
    <n v="4792.4799999999996"/>
    <s v="Completed"/>
    <x v="1"/>
    <s v="Beauty"/>
    <s v="Retail"/>
    <n v="22"/>
    <x v="0"/>
    <n v="647"/>
  </r>
  <r>
    <s v="ORD-01210"/>
    <d v="2024-05-19T00:00:00"/>
    <s v="CUST-0097"/>
    <x v="54"/>
    <s v="R002"/>
    <n v="10"/>
    <n v="5080"/>
    <n v="11.8"/>
    <n v="44805.599999999999"/>
    <s v="Completed"/>
    <x v="3"/>
    <s v="Home"/>
    <s v="Retail"/>
    <n v="65"/>
    <x v="0"/>
    <n v="2459"/>
  </r>
  <r>
    <s v="ORD-01211"/>
    <d v="2024-01-05T00:00:00"/>
    <s v="CUST-0237"/>
    <x v="59"/>
    <s v="R012"/>
    <n v="9"/>
    <n v="3560"/>
    <n v="15.9"/>
    <n v="26945.64"/>
    <s v="Completed"/>
    <x v="3"/>
    <s v="Apparel"/>
    <s v="Retail"/>
    <n v="49"/>
    <x v="1"/>
    <n v="2629"/>
  </r>
  <r>
    <s v="ORD-01212"/>
    <d v="2024-12-03T00:00:00"/>
    <s v="CUST-0252"/>
    <x v="18"/>
    <s v="R009"/>
    <n v="2"/>
    <n v="1080"/>
    <n v="21.1"/>
    <n v="1704.24"/>
    <s v="Completed"/>
    <x v="4"/>
    <s v="Home"/>
    <s v="Retail"/>
    <n v="27"/>
    <x v="1"/>
    <n v="519"/>
  </r>
  <r>
    <s v="ORD-01213"/>
    <d v="2024-01-19T00:00:00"/>
    <s v="CUST-0216"/>
    <x v="50"/>
    <s v="R018"/>
    <n v="5"/>
    <n v="2380"/>
    <n v="20.5"/>
    <n v="9460.5"/>
    <s v="Completed"/>
    <x v="3"/>
    <s v="Grocery"/>
    <s v="Retail"/>
    <n v="50"/>
    <x v="3"/>
    <n v="1182"/>
  </r>
  <r>
    <s v="ORD-01214"/>
    <d v="2024-07-25T00:00:00"/>
    <s v="CUST-0248"/>
    <x v="19"/>
    <s v="R025"/>
    <n v="9"/>
    <n v="2480"/>
    <n v="1.2"/>
    <n v="22052.16"/>
    <s v="Completed"/>
    <x v="1"/>
    <s v="Apparel"/>
    <s v="SMB"/>
    <n v="57"/>
    <x v="2"/>
    <n v="1173"/>
  </r>
  <r>
    <s v="ORD-01215"/>
    <d v="2024-02-26T00:00:00"/>
    <s v="CUST-0044"/>
    <x v="52"/>
    <s v="R012"/>
    <n v="9"/>
    <n v="2290"/>
    <n v="0.9"/>
    <n v="20424.509999999998"/>
    <s v="Completed"/>
    <x v="5"/>
    <s v="Beauty"/>
    <s v="SMB"/>
    <n v="29"/>
    <x v="1"/>
    <n v="1219"/>
  </r>
  <r>
    <s v="ORD-01216"/>
    <d v="2024-03-31T00:00:00"/>
    <s v="CUST-0251"/>
    <x v="55"/>
    <s v="R011"/>
    <n v="3"/>
    <n v="3450"/>
    <n v="29.5"/>
    <n v="7296.75"/>
    <s v="Completed"/>
    <x v="3"/>
    <s v="Apparel"/>
    <s v="Retail"/>
    <n v="44"/>
    <x v="1"/>
    <n v="1748"/>
  </r>
  <r>
    <s v="ORD-01217"/>
    <d v="2024-10-04T00:00:00"/>
    <s v="CUST-0280"/>
    <x v="16"/>
    <s v="R024"/>
    <n v="9"/>
    <n v="3450"/>
    <n v="19.399999999999999"/>
    <n v="25026.3"/>
    <s v="Completed"/>
    <x v="2"/>
    <s v="Beauty"/>
    <s v="SMB"/>
    <n v="27"/>
    <x v="2"/>
    <n v="2420"/>
  </r>
  <r>
    <s v="ORD-01218"/>
    <d v="2024-08-12T00:00:00"/>
    <s v="CUST-0108"/>
    <x v="12"/>
    <s v="R030"/>
    <n v="2"/>
    <n v="2600"/>
    <n v="20.2"/>
    <n v="4149.6000000000004"/>
    <s v="Cancelled"/>
    <x v="4"/>
    <s v="Electronics"/>
    <s v="Corporate"/>
    <n v="59"/>
    <x v="2"/>
    <n v="1052"/>
  </r>
  <r>
    <s v="ORD-01219"/>
    <d v="2024-08-15T00:00:00"/>
    <s v="CUST-0058"/>
    <x v="28"/>
    <s v="R025"/>
    <n v="1"/>
    <n v="2760"/>
    <n v="9.5"/>
    <n v="2497.8000000000002"/>
    <s v="Completed"/>
    <x v="4"/>
    <s v="Grocery"/>
    <s v="SMB"/>
    <n v="49"/>
    <x v="2"/>
    <n v="1435"/>
  </r>
  <r>
    <s v="ORD-01220"/>
    <d v="2024-10-28T00:00:00"/>
    <s v="CUST-0090"/>
    <x v="39"/>
    <s v="R003"/>
    <n v="4"/>
    <n v="4610"/>
    <n v="14.8"/>
    <n v="15710.88"/>
    <s v="Completed"/>
    <x v="4"/>
    <s v="Home"/>
    <s v="Corporate"/>
    <n v="26"/>
    <x v="0"/>
    <n v="1850"/>
  </r>
  <r>
    <s v="ORD-01221"/>
    <d v="2024-08-28T00:00:00"/>
    <s v="CUST-0204"/>
    <x v="19"/>
    <s v="R024"/>
    <n v="3"/>
    <n v="2480"/>
    <n v="3.7"/>
    <n v="7164.72"/>
    <s v="Completed"/>
    <x v="5"/>
    <s v="Apparel"/>
    <s v="Retail"/>
    <n v="60"/>
    <x v="2"/>
    <n v="1173"/>
  </r>
  <r>
    <s v="ORD-01222"/>
    <d v="2024-11-14T00:00:00"/>
    <s v="CUST-0044"/>
    <x v="58"/>
    <s v="R011"/>
    <n v="5"/>
    <n v="6940"/>
    <n v="0.3"/>
    <n v="34595.9"/>
    <s v="Completed"/>
    <x v="5"/>
    <s v="Sports"/>
    <s v="SMB"/>
    <n v="29"/>
    <x v="1"/>
    <n v="2827"/>
  </r>
  <r>
    <s v="ORD-01223"/>
    <d v="2024-09-25T00:00:00"/>
    <s v="CUST-0068"/>
    <x v="34"/>
    <s v="R023"/>
    <n v="8"/>
    <n v="2270"/>
    <n v="15.6"/>
    <n v="15327.04"/>
    <s v="Pending"/>
    <x v="2"/>
    <s v="Grocery"/>
    <s v="SMB"/>
    <n v="48"/>
    <x v="3"/>
    <n v="1412"/>
  </r>
  <r>
    <s v="ORD-01224"/>
    <d v="2024-05-19T00:00:00"/>
    <s v="CUST-0127"/>
    <x v="26"/>
    <s v="R030"/>
    <n v="5"/>
    <n v="5100"/>
    <n v="9.5"/>
    <n v="23077.5"/>
    <s v="Completed"/>
    <x v="4"/>
    <s v="Beauty"/>
    <s v="SMB"/>
    <n v="36"/>
    <x v="2"/>
    <n v="2237"/>
  </r>
  <r>
    <s v="ORD-01225"/>
    <d v="2024-10-29T00:00:00"/>
    <s v="CUST-0191"/>
    <x v="13"/>
    <s v="R011"/>
    <n v="5"/>
    <n v="3250"/>
    <n v="8.1"/>
    <n v="14933.75"/>
    <s v="Completed"/>
    <x v="5"/>
    <s v="Home"/>
    <s v="SMB"/>
    <n v="43"/>
    <x v="1"/>
    <n v="1556"/>
  </r>
  <r>
    <s v="ORD-01226"/>
    <d v="2024-11-13T00:00:00"/>
    <s v="CUST-0028"/>
    <x v="53"/>
    <s v="R003"/>
    <n v="6"/>
    <n v="3970"/>
    <n v="18.8"/>
    <n v="19341.84"/>
    <s v="Pending"/>
    <x v="4"/>
    <s v="Electronics"/>
    <s v="Retail"/>
    <n v="59"/>
    <x v="0"/>
    <n v="2865"/>
  </r>
  <r>
    <s v="ORD-01227"/>
    <d v="2024-09-11T00:00:00"/>
    <s v="CUST-0027"/>
    <x v="49"/>
    <s v="R025"/>
    <n v="4"/>
    <n v="5330"/>
    <n v="19.7"/>
    <n v="17119.96"/>
    <s v="Completed"/>
    <x v="5"/>
    <s v="Electronics"/>
    <s v="Corporate"/>
    <n v="52"/>
    <x v="2"/>
    <n v="2405"/>
  </r>
  <r>
    <s v="ORD-01228"/>
    <d v="2024-11-11T00:00:00"/>
    <s v="CUST-0193"/>
    <x v="41"/>
    <s v="R004"/>
    <n v="7"/>
    <n v="2660"/>
    <n v="8.5"/>
    <n v="17037.3"/>
    <s v="Completed"/>
    <x v="4"/>
    <s v="Electronics"/>
    <s v="Retail"/>
    <n v="42"/>
    <x v="0"/>
    <n v="1259"/>
  </r>
  <r>
    <s v="ORD-01229"/>
    <d v="2024-05-10T00:00:00"/>
    <s v="CUST-0202"/>
    <x v="4"/>
    <s v="R029"/>
    <n v="5"/>
    <n v="3160"/>
    <n v="13.4"/>
    <n v="13682.8"/>
    <s v="Pending"/>
    <x v="1"/>
    <s v="Apparel"/>
    <s v="Retail"/>
    <n v="39"/>
    <x v="2"/>
    <n v="1886"/>
  </r>
  <r>
    <s v="ORD-01230"/>
    <d v="2024-12-08T00:00:00"/>
    <s v="CUST-0230"/>
    <x v="23"/>
    <s v="R019"/>
    <n v="10"/>
    <n v="1010"/>
    <n v="14"/>
    <n v="8686"/>
    <s v="Completed"/>
    <x v="0"/>
    <s v="Sports"/>
    <s v="Corporate"/>
    <n v="33"/>
    <x v="3"/>
    <n v="516"/>
  </r>
  <r>
    <s v="ORD-01231"/>
    <d v="2024-03-25T00:00:00"/>
    <s v="CUST-0280"/>
    <x v="36"/>
    <s v="R003"/>
    <n v="3"/>
    <n v="1540"/>
    <n v="13.7"/>
    <n v="3987.06"/>
    <s v="Pending"/>
    <x v="2"/>
    <s v="Beauty"/>
    <s v="SMB"/>
    <n v="27"/>
    <x v="0"/>
    <n v="647"/>
  </r>
  <r>
    <s v="ORD-01232"/>
    <d v="2024-01-22T00:00:00"/>
    <s v="CUST-0196"/>
    <x v="26"/>
    <s v="R009"/>
    <n v="10"/>
    <n v="5100"/>
    <n v="13.8"/>
    <n v="43962"/>
    <s v="Completed"/>
    <x v="1"/>
    <s v="Beauty"/>
    <s v="Retail"/>
    <n v="26"/>
    <x v="1"/>
    <n v="2237"/>
  </r>
  <r>
    <s v="ORD-01233"/>
    <d v="2024-06-14T00:00:00"/>
    <s v="CUST-0019"/>
    <x v="7"/>
    <s v="R030"/>
    <n v="3"/>
    <n v="1430"/>
    <n v="1.5"/>
    <n v="4225.6499999999996"/>
    <s v="Completed"/>
    <x v="1"/>
    <s v="Electronics"/>
    <s v="Retail"/>
    <n v="22"/>
    <x v="2"/>
    <n v="861"/>
  </r>
  <r>
    <s v="ORD-01234"/>
    <d v="2024-11-24T00:00:00"/>
    <s v="CUST-0201"/>
    <x v="8"/>
    <s v="R013"/>
    <n v="8"/>
    <n v="5490"/>
    <n v="23.2"/>
    <n v="33730.559999999998"/>
    <s v="Completed"/>
    <x v="5"/>
    <s v="Home"/>
    <s v="Retail"/>
    <n v="31"/>
    <x v="1"/>
    <n v="2549"/>
  </r>
  <r>
    <s v="ORD-01235"/>
    <d v="2024-07-22T00:00:00"/>
    <s v="CUST-0146"/>
    <x v="21"/>
    <s v="R008"/>
    <n v="6"/>
    <n v="1650"/>
    <n v="16.8"/>
    <n v="8236.7999999999993"/>
    <s v="Completed"/>
    <x v="5"/>
    <s v="Beauty"/>
    <s v="Retail"/>
    <n v="22"/>
    <x v="0"/>
    <n v="1222"/>
  </r>
  <r>
    <s v="ORD-01236"/>
    <d v="2024-06-17T00:00:00"/>
    <s v="CUST-0199"/>
    <x v="40"/>
    <s v="R018"/>
    <n v="3"/>
    <n v="3020"/>
    <n v="14.5"/>
    <n v="7746.3"/>
    <s v="Completed"/>
    <x v="5"/>
    <s v="Beauty"/>
    <s v="SMB"/>
    <n v="31"/>
    <x v="3"/>
    <n v="1626"/>
  </r>
  <r>
    <s v="ORD-01237"/>
    <d v="2024-05-26T00:00:00"/>
    <s v="CUST-0099"/>
    <x v="36"/>
    <s v="R003"/>
    <n v="5"/>
    <n v="1540"/>
    <n v="27.2"/>
    <n v="5605.6"/>
    <s v="Completed"/>
    <x v="4"/>
    <s v="Beauty"/>
    <s v="SMB"/>
    <n v="54"/>
    <x v="0"/>
    <n v="647"/>
  </r>
  <r>
    <s v="ORD-00372"/>
    <d v="2024-01-16T00:00:00"/>
    <s v="CUST-0094"/>
    <x v="58"/>
    <s v="R023"/>
    <n v="4"/>
    <n v="6940"/>
    <n v="3.2"/>
    <n v="26871.68"/>
    <s v="Completed"/>
    <x v="0"/>
    <s v="Sports"/>
    <s v="SMB"/>
    <n v="60"/>
    <x v="3"/>
    <n v="2827"/>
  </r>
  <r>
    <s v="ORD-01239"/>
    <d v="2024-08-13T00:00:00"/>
    <s v="CUST-0275"/>
    <x v="26"/>
    <s v="R017"/>
    <n v="2"/>
    <n v="5100"/>
    <n v="18.100000000000001"/>
    <n v="8353.7999999999993"/>
    <s v="Completed"/>
    <x v="3"/>
    <s v="Beauty"/>
    <s v="Retail"/>
    <n v="36"/>
    <x v="3"/>
    <n v="2237"/>
  </r>
  <r>
    <s v="ORD-01240"/>
    <d v="2024-10-10T00:00:00"/>
    <s v="CUST-0230"/>
    <x v="49"/>
    <s v="R016"/>
    <n v="6"/>
    <n v="5330"/>
    <n v="0.3"/>
    <n v="31884.06"/>
    <s v="Pending"/>
    <x v="0"/>
    <s v="Electronics"/>
    <s v="Corporate"/>
    <n v="33"/>
    <x v="1"/>
    <n v="2405"/>
  </r>
  <r>
    <s v="ORD-01241"/>
    <d v="2024-06-06T00:00:00"/>
    <s v="CUST-0227"/>
    <x v="6"/>
    <s v="R029"/>
    <n v="5"/>
    <n v="960"/>
    <n v="16.600000000000001"/>
    <n v="4003.2"/>
    <s v="Completed"/>
    <x v="4"/>
    <s v="Sports"/>
    <s v="SMB"/>
    <n v="44"/>
    <x v="2"/>
    <n v="705"/>
  </r>
  <r>
    <s v="ORD-01365"/>
    <d v="2024-07-08T00:00:00"/>
    <s v="CUST-0200"/>
    <x v="0"/>
    <s v="R022"/>
    <n v="7"/>
    <n v="3620"/>
    <n v="5.4"/>
    <n v="23971.64"/>
    <s v="Completed"/>
    <x v="5"/>
    <s v="Apparel"/>
    <s v="Corporate"/>
    <n v="46"/>
    <x v="3"/>
    <n v="2509"/>
  </r>
  <r>
    <s v="ORD-01243"/>
    <d v="2024-03-17T00:00:00"/>
    <s v="CUST-0268"/>
    <x v="12"/>
    <s v="R006"/>
    <n v="6"/>
    <n v="2600"/>
    <n v="25.9"/>
    <n v="11559.6"/>
    <s v="Completed"/>
    <x v="1"/>
    <s v="Electronics"/>
    <s v="Retail"/>
    <n v="35"/>
    <x v="0"/>
    <n v="1052"/>
  </r>
  <r>
    <s v="ORD-01244"/>
    <d v="2024-01-07T00:00:00"/>
    <s v="CUST-0163"/>
    <x v="41"/>
    <s v="R013"/>
    <n v="7"/>
    <n v="2660"/>
    <n v="20.2"/>
    <n v="14858.76"/>
    <s v="Completed"/>
    <x v="0"/>
    <s v="Electronics"/>
    <s v="Retail"/>
    <n v="49"/>
    <x v="1"/>
    <n v="1259"/>
  </r>
  <r>
    <s v="ORD-01245"/>
    <d v="2024-06-29T00:00:00"/>
    <s v="CUST-0233"/>
    <x v="19"/>
    <s v="R022"/>
    <n v="9"/>
    <n v="2480"/>
    <n v="14.7"/>
    <n v="19038.96"/>
    <s v="Completed"/>
    <x v="3"/>
    <s v="Apparel"/>
    <s v="SMB"/>
    <n v="65"/>
    <x v="3"/>
    <n v="1173"/>
  </r>
  <r>
    <s v="ORD-01246"/>
    <d v="2024-10-03T00:00:00"/>
    <s v="CUST-0181"/>
    <x v="41"/>
    <s v="R015"/>
    <n v="4"/>
    <n v="2660"/>
    <n v="8.9"/>
    <n v="9693.0400000000009"/>
    <s v="Completed"/>
    <x v="2"/>
    <s v="Electronics"/>
    <s v="SMB"/>
    <n v="38"/>
    <x v="1"/>
    <n v="1259"/>
  </r>
  <r>
    <s v="ORD-01247"/>
    <d v="2024-09-05T00:00:00"/>
    <s v="CUST-0254"/>
    <x v="49"/>
    <s v="R010"/>
    <n v="1"/>
    <n v="5330"/>
    <n v="26.8"/>
    <n v="3901.56"/>
    <s v="Completed"/>
    <x v="4"/>
    <s v="Electronics"/>
    <s v="Retail"/>
    <n v="35"/>
    <x v="1"/>
    <n v="2405"/>
  </r>
  <r>
    <s v="ORD-01248"/>
    <d v="2024-09-09T00:00:00"/>
    <s v="CUST-0116"/>
    <x v="17"/>
    <s v="R027"/>
    <n v="6"/>
    <n v="3450"/>
    <n v="19.2"/>
    <n v="16725.599999999999"/>
    <s v="Pending"/>
    <x v="4"/>
    <s v="Sports"/>
    <s v="Retail"/>
    <n v="53"/>
    <x v="2"/>
    <n v="2467"/>
  </r>
  <r>
    <s v="ORD-01249"/>
    <d v="2024-02-12T00:00:00"/>
    <s v="CUST-0259"/>
    <x v="14"/>
    <s v="R025"/>
    <n v="10"/>
    <n v="190"/>
    <n v="18.100000000000001"/>
    <n v="1556.1"/>
    <s v="Completed"/>
    <x v="3"/>
    <s v="Sports"/>
    <s v="Retail"/>
    <n v="34"/>
    <x v="2"/>
    <n v="147"/>
  </r>
  <r>
    <s v="ORD-01250"/>
    <d v="2024-10-19T00:00:00"/>
    <s v="CUST-0198"/>
    <x v="53"/>
    <s v="R009"/>
    <n v="9"/>
    <n v="3970"/>
    <n v="18.2"/>
    <n v="29227.14"/>
    <s v="Pending"/>
    <x v="1"/>
    <s v="Electronics"/>
    <s v="Corporate"/>
    <n v="22"/>
    <x v="1"/>
    <n v="2865"/>
  </r>
  <r>
    <s v="ORD-01251"/>
    <d v="2024-04-22T00:00:00"/>
    <s v="CUST-0204"/>
    <x v="39"/>
    <s v="R002"/>
    <n v="4"/>
    <n v="4610"/>
    <n v="15.1"/>
    <n v="15655.56"/>
    <s v="Cancelled"/>
    <x v="5"/>
    <s v="Home"/>
    <s v="Retail"/>
    <n v="60"/>
    <x v="0"/>
    <n v="1850"/>
  </r>
  <r>
    <s v="ORD-01252"/>
    <d v="2024-07-03T00:00:00"/>
    <s v="CUST-0216"/>
    <x v="43"/>
    <s v="R025"/>
    <n v="2"/>
    <n v="620"/>
    <n v="3.3"/>
    <n v="1199.08"/>
    <s v="Completed"/>
    <x v="3"/>
    <s v="Apparel"/>
    <s v="Retail"/>
    <n v="50"/>
    <x v="2"/>
    <n v="396"/>
  </r>
  <r>
    <s v="ORD-01253"/>
    <d v="2024-07-08T00:00:00"/>
    <s v="CUST-0030"/>
    <x v="36"/>
    <s v="R025"/>
    <n v="7"/>
    <n v="1540"/>
    <n v="27.5"/>
    <n v="7815.5"/>
    <s v="Completed"/>
    <x v="4"/>
    <s v="Beauty"/>
    <s v="Corporate"/>
    <n v="43"/>
    <x v="2"/>
    <n v="647"/>
  </r>
  <r>
    <s v="ORD-01254"/>
    <d v="2024-07-07T00:00:00"/>
    <s v="CUST-0019"/>
    <x v="2"/>
    <s v="R017"/>
    <n v="10"/>
    <n v="470"/>
    <n v="3.9"/>
    <n v="4516.7"/>
    <s v="Completed"/>
    <x v="1"/>
    <s v="Sports"/>
    <s v="Retail"/>
    <n v="22"/>
    <x v="3"/>
    <n v="302"/>
  </r>
  <r>
    <s v="ORD-01255"/>
    <d v="2024-11-07T00:00:00"/>
    <s v="CUST-0034"/>
    <x v="24"/>
    <s v="R002"/>
    <n v="5"/>
    <n v="4880"/>
    <n v="27.4"/>
    <n v="17714.400000000001"/>
    <s v="Completed"/>
    <x v="2"/>
    <s v="Beauty"/>
    <s v="Retail"/>
    <n v="47"/>
    <x v="0"/>
    <n v="2768"/>
  </r>
  <r>
    <s v="ORD-01256"/>
    <d v="2024-09-13T00:00:00"/>
    <s v="CUST-0063"/>
    <x v="48"/>
    <s v="R029"/>
    <n v="1"/>
    <n v="5410"/>
    <n v="8.3000000000000007"/>
    <n v="4960.97"/>
    <s v="Completed"/>
    <x v="3"/>
    <s v="Sports"/>
    <s v="SMB"/>
    <n v="53"/>
    <x v="2"/>
    <n v="2265"/>
  </r>
  <r>
    <s v="ORD-01257"/>
    <d v="2024-07-09T00:00:00"/>
    <s v="CUST-0203"/>
    <x v="35"/>
    <s v="R022"/>
    <n v="8"/>
    <n v="3870"/>
    <n v="9.3000000000000007"/>
    <n v="28080.720000000001"/>
    <s v="Pending"/>
    <x v="1"/>
    <s v="Electronics"/>
    <s v="SMB"/>
    <n v="55"/>
    <x v="3"/>
    <n v="1559"/>
  </r>
  <r>
    <s v="ORD-01258"/>
    <d v="2024-06-14T00:00:00"/>
    <s v="CUST-0016"/>
    <x v="11"/>
    <s v="R017"/>
    <n v="10"/>
    <n v="2640"/>
    <n v="19.899999999999999"/>
    <n v="21146.400000000001"/>
    <s v="Completed"/>
    <x v="2"/>
    <s v="Electronics"/>
    <s v="SMB"/>
    <n v="26"/>
    <x v="3"/>
    <n v="1149"/>
  </r>
  <r>
    <s v="ORD-01259"/>
    <d v="2024-08-04T00:00:00"/>
    <s v="CUST-0198"/>
    <x v="54"/>
    <s v="R007"/>
    <n v="1"/>
    <n v="5080"/>
    <n v="8.6"/>
    <n v="4643.12"/>
    <s v="Completed"/>
    <x v="1"/>
    <s v="Home"/>
    <s v="Corporate"/>
    <n v="22"/>
    <x v="0"/>
    <n v="2459"/>
  </r>
  <r>
    <s v="ORD-01260"/>
    <d v="2024-04-17T00:00:00"/>
    <s v="CUST-0212"/>
    <x v="13"/>
    <s v="R018"/>
    <n v="9"/>
    <n v="3250"/>
    <n v="18.2"/>
    <n v="23926.5"/>
    <s v="Pending"/>
    <x v="1"/>
    <s v="Home"/>
    <s v="SMB"/>
    <n v="46"/>
    <x v="3"/>
    <n v="1556"/>
  </r>
  <r>
    <s v="ORD-01261"/>
    <d v="2024-11-11T00:00:00"/>
    <s v="CUST-0265"/>
    <x v="53"/>
    <s v="R002"/>
    <n v="8"/>
    <n v="3970"/>
    <n v="22.4"/>
    <n v="24645.759999999998"/>
    <s v="Completed"/>
    <x v="1"/>
    <s v="Electronics"/>
    <s v="Retail"/>
    <n v="49"/>
    <x v="0"/>
    <n v="2865"/>
  </r>
  <r>
    <s v="ORD-01262"/>
    <d v="2024-04-25T00:00:00"/>
    <s v="CUST-0165"/>
    <x v="29"/>
    <s v="R017"/>
    <n v="3"/>
    <n v="660"/>
    <n v="3.1"/>
    <n v="1918.62"/>
    <s v="Completed"/>
    <x v="0"/>
    <s v="Home"/>
    <s v="Retail"/>
    <n v="29"/>
    <x v="3"/>
    <n v="329"/>
  </r>
  <r>
    <s v="ORD-01263"/>
    <d v="2024-03-06T00:00:00"/>
    <s v="CUST-0109"/>
    <x v="12"/>
    <s v="R022"/>
    <n v="7"/>
    <n v="2600"/>
    <n v="15.4"/>
    <n v="15397.2"/>
    <s v="Completed"/>
    <x v="0"/>
    <s v="Electronics"/>
    <s v="Retail"/>
    <n v="42"/>
    <x v="3"/>
    <n v="1052"/>
  </r>
  <r>
    <s v="ORD-01264"/>
    <d v="2024-09-30T00:00:00"/>
    <s v="CUST-0155"/>
    <x v="29"/>
    <s v="R015"/>
    <n v="9"/>
    <n v="660"/>
    <n v="23.7"/>
    <n v="4532.22"/>
    <s v="Completed"/>
    <x v="0"/>
    <s v="Home"/>
    <s v="Corporate"/>
    <n v="40"/>
    <x v="1"/>
    <n v="329"/>
  </r>
  <r>
    <s v="ORD-01265"/>
    <d v="2024-04-13T00:00:00"/>
    <s v="CUST-0194"/>
    <x v="50"/>
    <s v="R021"/>
    <n v="3"/>
    <n v="2380"/>
    <n v="19.5"/>
    <n v="5747.7"/>
    <s v="Cancelled"/>
    <x v="2"/>
    <s v="Grocery"/>
    <s v="SMB"/>
    <n v="55"/>
    <x v="3"/>
    <n v="1182"/>
  </r>
  <r>
    <s v="ORD-01266"/>
    <d v="2024-11-28T00:00:00"/>
    <s v="CUST-0084"/>
    <x v="21"/>
    <s v="R010"/>
    <n v="9"/>
    <n v="1650"/>
    <n v="2.5"/>
    <n v="14478.75"/>
    <s v="Completed"/>
    <x v="1"/>
    <s v="Beauty"/>
    <s v="Retail"/>
    <n v="28"/>
    <x v="1"/>
    <n v="1222"/>
  </r>
  <r>
    <s v="ORD-01267"/>
    <d v="2024-12-24T00:00:00"/>
    <s v="CUST-9684"/>
    <x v="11"/>
    <s v="R006"/>
    <n v="8"/>
    <n v="2640"/>
    <n v="24.4"/>
    <n v="15966.72"/>
    <s v="Completed"/>
    <x v="3"/>
    <s v="Electronics"/>
    <e v="#N/A"/>
    <e v="#N/A"/>
    <x v="0"/>
    <n v="1149"/>
  </r>
  <r>
    <s v="ORD-01268"/>
    <d v="2024-03-19T00:00:00"/>
    <s v="CUST-0218"/>
    <x v="50"/>
    <s v="R013"/>
    <n v="8"/>
    <n v="2380"/>
    <n v="24.2"/>
    <n v="14432.32"/>
    <s v="Completed"/>
    <x v="3"/>
    <s v="Grocery"/>
    <s v="Retail"/>
    <n v="39"/>
    <x v="1"/>
    <n v="1182"/>
  </r>
  <r>
    <s v="ORD-01269"/>
    <d v="2024-03-22T00:00:00"/>
    <s v="CUST-0194"/>
    <x v="45"/>
    <s v="R007"/>
    <n v="10"/>
    <n v="2210"/>
    <n v="3.6"/>
    <n v="21304.400000000001"/>
    <s v="Completed"/>
    <x v="2"/>
    <s v="Grocery"/>
    <s v="SMB"/>
    <n v="55"/>
    <x v="0"/>
    <n v="1010"/>
  </r>
  <r>
    <s v="ORD-01270"/>
    <d v="2024-04-09T00:00:00"/>
    <s v="CUST-0037"/>
    <x v="33"/>
    <s v="R018"/>
    <n v="9"/>
    <n v="6080"/>
    <n v="17.2"/>
    <n v="45308.160000000003"/>
    <s v="Pending"/>
    <x v="4"/>
    <s v="Beauty"/>
    <s v="Retail"/>
    <n v="52"/>
    <x v="3"/>
    <n v="2617"/>
  </r>
  <r>
    <s v="ORD-01271"/>
    <d v="2024-02-10T00:00:00"/>
    <s v="CUST-0245"/>
    <x v="23"/>
    <s v="R022"/>
    <n v="8"/>
    <n v="1010"/>
    <n v="12.3"/>
    <n v="7086.16"/>
    <s v="Completed"/>
    <x v="5"/>
    <s v="Sports"/>
    <s v="Retail"/>
    <n v="65"/>
    <x v="3"/>
    <n v="516"/>
  </r>
  <r>
    <s v="ORD-01272"/>
    <d v="2024-10-17T00:00:00"/>
    <s v="CUST-0266"/>
    <x v="3"/>
    <s v="R011"/>
    <n v="8"/>
    <n v="3660"/>
    <n v="8.4"/>
    <n v="26820.48"/>
    <s v="Completed"/>
    <x v="0"/>
    <s v="Grocery"/>
    <s v="Retail"/>
    <n v="65"/>
    <x v="1"/>
    <n v="2214"/>
  </r>
  <r>
    <s v="ORD-01273"/>
    <d v="2024-05-31T00:00:00"/>
    <s v="CUST-0058"/>
    <x v="39"/>
    <s v="R029"/>
    <n v="8"/>
    <n v="4610"/>
    <n v="15.4"/>
    <n v="31200.48"/>
    <s v="Cancelled"/>
    <x v="4"/>
    <s v="Home"/>
    <s v="SMB"/>
    <n v="49"/>
    <x v="2"/>
    <n v="1850"/>
  </r>
  <r>
    <s v="ORD-01274"/>
    <d v="2024-08-21T00:00:00"/>
    <s v="CUST-0058"/>
    <x v="26"/>
    <s v="R006"/>
    <n v="9"/>
    <n v="5100"/>
    <n v="25.2"/>
    <n v="34333.199999999997"/>
    <s v="Cancelled"/>
    <x v="4"/>
    <s v="Beauty"/>
    <s v="SMB"/>
    <n v="49"/>
    <x v="0"/>
    <n v="2237"/>
  </r>
  <r>
    <s v="ORD-01275"/>
    <d v="2024-03-26T00:00:00"/>
    <s v="CUST-0028"/>
    <x v="40"/>
    <s v="R019"/>
    <n v="5"/>
    <n v="3020"/>
    <n v="23"/>
    <n v="11627"/>
    <s v="Completed"/>
    <x v="4"/>
    <s v="Beauty"/>
    <s v="Retail"/>
    <n v="59"/>
    <x v="3"/>
    <n v="1626"/>
  </r>
  <r>
    <s v="ORD-01276"/>
    <d v="2024-05-01T00:00:00"/>
    <s v="CUST-0262"/>
    <x v="56"/>
    <s v="R015"/>
    <n v="8"/>
    <n v="3780"/>
    <n v="17.100000000000001"/>
    <n v="25068.959999999999"/>
    <s v="Completed"/>
    <x v="3"/>
    <s v="Sports"/>
    <s v="Retail"/>
    <n v="52"/>
    <x v="1"/>
    <n v="1860"/>
  </r>
  <r>
    <s v="ORD-01277"/>
    <d v="2024-05-25T00:00:00"/>
    <s v="CUST-0241"/>
    <x v="45"/>
    <s v="R001"/>
    <n v="10"/>
    <n v="2210"/>
    <n v="8.5"/>
    <n v="20221.5"/>
    <s v="Completed"/>
    <x v="0"/>
    <s v="Grocery"/>
    <s v="Corporate"/>
    <n v="47"/>
    <x v="0"/>
    <n v="1010"/>
  </r>
  <r>
    <s v="ORD-01278"/>
    <d v="2024-11-08T00:00:00"/>
    <s v="CUST-0109"/>
    <x v="45"/>
    <s v="R015"/>
    <n v="4"/>
    <n v="2210"/>
    <n v="3.1"/>
    <n v="8565.9599999999991"/>
    <s v="Completed"/>
    <x v="0"/>
    <s v="Grocery"/>
    <s v="Retail"/>
    <n v="42"/>
    <x v="1"/>
    <n v="1010"/>
  </r>
  <r>
    <s v="ORD-01279"/>
    <d v="2024-09-05T00:00:00"/>
    <s v="CUST-0228"/>
    <x v="21"/>
    <s v="R015"/>
    <n v="1"/>
    <n v="1650"/>
    <n v="10"/>
    <n v="1485"/>
    <s v="Completed"/>
    <x v="0"/>
    <s v="Beauty"/>
    <s v="Corporate"/>
    <n v="37"/>
    <x v="1"/>
    <n v="1222"/>
  </r>
  <r>
    <s v="ORD-01280"/>
    <d v="2024-11-01T00:00:00"/>
    <s v="CUST-0239"/>
    <x v="14"/>
    <s v="R005"/>
    <n v="6"/>
    <n v="190"/>
    <n v="3.5"/>
    <n v="1100.0999999999999"/>
    <s v="Cancelled"/>
    <x v="3"/>
    <s v="Sports"/>
    <s v="Retail"/>
    <n v="61"/>
    <x v="0"/>
    <n v="147"/>
  </r>
  <r>
    <s v="ORD-01281"/>
    <d v="2024-10-24T00:00:00"/>
    <s v="CUST-0092"/>
    <x v="27"/>
    <s v="R027"/>
    <n v="8"/>
    <n v="2860"/>
    <n v="14.7"/>
    <n v="19516.64"/>
    <s v="Completed"/>
    <x v="4"/>
    <s v="Sports"/>
    <s v="SMB"/>
    <n v="28"/>
    <x v="2"/>
    <n v="2028"/>
  </r>
  <r>
    <s v="ORD-01282"/>
    <d v="2024-06-05T00:00:00"/>
    <s v="CUST-0283"/>
    <x v="42"/>
    <s v="R030"/>
    <n v="9"/>
    <n v="300"/>
    <n v="19.5"/>
    <n v="2173.5"/>
    <s v="Completed"/>
    <x v="2"/>
    <s v="Electronics"/>
    <s v="SMB"/>
    <n v="50"/>
    <x v="2"/>
    <n v="128"/>
  </r>
  <r>
    <s v="ORD-01283"/>
    <d v="2024-11-12T00:00:00"/>
    <s v="CUST-0206"/>
    <x v="51"/>
    <s v="R007"/>
    <n v="10"/>
    <n v="960"/>
    <n v="9.6999999999999993"/>
    <n v="8668.7999999999993"/>
    <s v="Completed"/>
    <x v="3"/>
    <s v="Beauty"/>
    <s v="Retail"/>
    <n v="40"/>
    <x v="0"/>
    <n v="675"/>
  </r>
  <r>
    <s v="ORD-01284"/>
    <d v="2024-05-09T00:00:00"/>
    <s v="CUST-0174"/>
    <x v="1"/>
    <s v="R013"/>
    <n v="5"/>
    <n v="820"/>
    <n v="0.5"/>
    <n v="4079.5"/>
    <s v="Completed"/>
    <x v="0"/>
    <s v="Apparel"/>
    <s v="Retail"/>
    <n v="54"/>
    <x v="1"/>
    <n v="391"/>
  </r>
  <r>
    <s v="ORD-01285"/>
    <d v="2024-04-01T00:00:00"/>
    <s v="CUST-0040"/>
    <x v="5"/>
    <s v="R004"/>
    <n v="2"/>
    <n v="370"/>
    <n v="10.5"/>
    <n v="662.3"/>
    <s v="Pending"/>
    <x v="1"/>
    <s v="Home"/>
    <s v="Retail"/>
    <n v="28"/>
    <x v="0"/>
    <n v="288"/>
  </r>
  <r>
    <s v="ORD-01286"/>
    <d v="2024-06-10T00:00:00"/>
    <s v="CUST-0153"/>
    <x v="8"/>
    <s v="R023"/>
    <n v="9"/>
    <n v="5490"/>
    <n v="14.2"/>
    <n v="42393.78"/>
    <s v="Cancelled"/>
    <x v="3"/>
    <s v="Home"/>
    <s v="Retail"/>
    <n v="35"/>
    <x v="3"/>
    <n v="2549"/>
  </r>
  <r>
    <s v="ORD-01287"/>
    <d v="2024-04-16T00:00:00"/>
    <s v="CUST-0236"/>
    <x v="5"/>
    <s v="R018"/>
    <n v="3"/>
    <n v="370"/>
    <n v="18.399999999999999"/>
    <n v="905.76"/>
    <s v="Completed"/>
    <x v="5"/>
    <s v="Home"/>
    <s v="SMB"/>
    <n v="28"/>
    <x v="3"/>
    <n v="288"/>
  </r>
  <r>
    <s v="ORD-01288"/>
    <d v="2024-10-19T00:00:00"/>
    <s v="CUST-0295"/>
    <x v="14"/>
    <s v="R018"/>
    <n v="6"/>
    <n v="190"/>
    <n v="12.9"/>
    <n v="992.94"/>
    <s v="Completed"/>
    <x v="2"/>
    <s v="Sports"/>
    <s v="SMB"/>
    <n v="48"/>
    <x v="3"/>
    <n v="147"/>
  </r>
  <r>
    <s v="ORD-01289"/>
    <d v="2024-04-15T00:00:00"/>
    <s v="CUST-0145"/>
    <x v="45"/>
    <s v="R023"/>
    <n v="8"/>
    <n v="2210"/>
    <n v="9.8000000000000007"/>
    <n v="15947.36"/>
    <s v="Completed"/>
    <x v="4"/>
    <s v="Grocery"/>
    <s v="SMB"/>
    <n v="44"/>
    <x v="3"/>
    <n v="1010"/>
  </r>
  <r>
    <s v="ORD-01290"/>
    <d v="2024-06-10T00:00:00"/>
    <s v="CUST-0192"/>
    <x v="21"/>
    <s v="R009"/>
    <n v="7"/>
    <n v="1650"/>
    <n v="8.4"/>
    <n v="10579.8"/>
    <s v="Completed"/>
    <x v="4"/>
    <s v="Beauty"/>
    <s v="Retail"/>
    <n v="55"/>
    <x v="1"/>
    <n v="1222"/>
  </r>
  <r>
    <s v="ORD-01291"/>
    <d v="2024-03-08T00:00:00"/>
    <s v="CUST-0148"/>
    <x v="29"/>
    <s v="R013"/>
    <n v="8"/>
    <n v="660"/>
    <n v="7.5"/>
    <n v="4884"/>
    <s v="Completed"/>
    <x v="1"/>
    <s v="Home"/>
    <s v="Retail"/>
    <n v="32"/>
    <x v="1"/>
    <n v="329"/>
  </r>
  <r>
    <s v="ORD-01292"/>
    <d v="2024-12-18T00:00:00"/>
    <s v="CUST-0227"/>
    <x v="39"/>
    <s v="R004"/>
    <n v="3"/>
    <n v="4610"/>
    <n v="29.6"/>
    <n v="9736.32"/>
    <s v="Completed"/>
    <x v="4"/>
    <s v="Home"/>
    <s v="SMB"/>
    <n v="44"/>
    <x v="0"/>
    <n v="1850"/>
  </r>
  <r>
    <s v="ORD-01293"/>
    <d v="2024-02-03T00:00:00"/>
    <s v="CUST-0170"/>
    <x v="45"/>
    <s v="R025"/>
    <n v="6"/>
    <n v="2210"/>
    <n v="9.5"/>
    <n v="12000.3"/>
    <s v="Completed"/>
    <x v="3"/>
    <s v="Grocery"/>
    <s v="SMB"/>
    <n v="22"/>
    <x v="2"/>
    <n v="1010"/>
  </r>
  <r>
    <s v="ORD-01294"/>
    <d v="2024-08-29T00:00:00"/>
    <s v="CUST-0102"/>
    <x v="52"/>
    <s v="R017"/>
    <n v="4"/>
    <n v="2290"/>
    <n v="3.3"/>
    <n v="8857.7199999999993"/>
    <s v="Completed"/>
    <x v="1"/>
    <s v="Beauty"/>
    <s v="SMB"/>
    <n v="62"/>
    <x v="3"/>
    <n v="1219"/>
  </r>
  <r>
    <s v="ORD-01295"/>
    <d v="2024-03-18T00:00:00"/>
    <s v="CUST-0071"/>
    <x v="18"/>
    <s v="R026"/>
    <n v="5"/>
    <n v="1080"/>
    <n v="26.1"/>
    <n v="3990.6"/>
    <s v="Completed"/>
    <x v="2"/>
    <s v="Home"/>
    <s v="Corporate"/>
    <n v="46"/>
    <x v="2"/>
    <n v="519"/>
  </r>
  <r>
    <s v="ORD-01296"/>
    <d v="2024-01-21T00:00:00"/>
    <s v="CUST-0080"/>
    <x v="6"/>
    <s v="R010"/>
    <n v="7"/>
    <n v="960"/>
    <n v="17.7"/>
    <n v="5530.56"/>
    <s v="Completed"/>
    <x v="0"/>
    <s v="Sports"/>
    <s v="SMB"/>
    <n v="30"/>
    <x v="1"/>
    <n v="705"/>
  </r>
  <r>
    <s v="ORD-01297"/>
    <d v="2024-06-02T00:00:00"/>
    <s v="CUST-0272"/>
    <x v="15"/>
    <s v="R008"/>
    <n v="1"/>
    <n v="2400"/>
    <n v="29.9"/>
    <n v="1682.4"/>
    <s v="Completed"/>
    <x v="3"/>
    <s v="Sports"/>
    <s v="SMB"/>
    <n v="47"/>
    <x v="0"/>
    <n v="974"/>
  </r>
  <r>
    <s v="ORD-01298"/>
    <d v="2024-12-10T00:00:00"/>
    <s v="CUST-0076"/>
    <x v="52"/>
    <s v="R010"/>
    <n v="9"/>
    <n v="2290"/>
    <n v="28.8"/>
    <n v="14674.32"/>
    <s v="Completed"/>
    <x v="3"/>
    <s v="Beauty"/>
    <s v="Retail"/>
    <n v="38"/>
    <x v="1"/>
    <n v="1219"/>
  </r>
  <r>
    <s v="ORD-01299"/>
    <d v="2024-01-03T00:00:00"/>
    <s v="CUST-0222"/>
    <x v="18"/>
    <s v="R018"/>
    <n v="9"/>
    <n v="1080"/>
    <n v="10.3"/>
    <n v="8718.84"/>
    <s v="Completed"/>
    <x v="1"/>
    <s v="Home"/>
    <s v="Retail"/>
    <n v="37"/>
    <x v="3"/>
    <n v="519"/>
  </r>
  <r>
    <s v="ORD-01300"/>
    <d v="2024-06-06T00:00:00"/>
    <s v="CUST-0091"/>
    <x v="57"/>
    <s v="R004"/>
    <n v="1"/>
    <n v="1090"/>
    <n v="5.8"/>
    <n v="1026.78"/>
    <s v="Cancelled"/>
    <x v="2"/>
    <s v="Home"/>
    <s v="Retail"/>
    <n v="55"/>
    <x v="0"/>
    <n v="464"/>
  </r>
  <r>
    <s v="ORD-01301"/>
    <d v="2024-09-25T00:00:00"/>
    <s v="CUST-0126"/>
    <x v="45"/>
    <s v="R018"/>
    <n v="3"/>
    <n v="2210"/>
    <n v="18.2"/>
    <n v="5423.34"/>
    <s v="Pending"/>
    <x v="3"/>
    <s v="Grocery"/>
    <s v="Retail"/>
    <n v="37"/>
    <x v="3"/>
    <n v="1010"/>
  </r>
  <r>
    <s v="ORD-01302"/>
    <d v="2024-10-23T00:00:00"/>
    <s v="CUST-0241"/>
    <x v="0"/>
    <s v="R015"/>
    <n v="8"/>
    <n v="3620"/>
    <n v="1.4"/>
    <n v="28554.560000000001"/>
    <s v="Completed"/>
    <x v="0"/>
    <s v="Apparel"/>
    <s v="Corporate"/>
    <n v="47"/>
    <x v="1"/>
    <n v="2509"/>
  </r>
  <r>
    <s v="ORD-01303"/>
    <d v="2024-03-09T00:00:00"/>
    <s v="CUST-0118"/>
    <x v="44"/>
    <s v="R011"/>
    <n v="7"/>
    <n v="2030"/>
    <n v="27.7"/>
    <n v="10273.83"/>
    <s v="Completed"/>
    <x v="5"/>
    <s v="Home"/>
    <s v="Retail"/>
    <n v="26"/>
    <x v="1"/>
    <n v="1143"/>
  </r>
  <r>
    <s v="ORD-01304"/>
    <d v="2024-01-25T00:00:00"/>
    <s v="CUST-0090"/>
    <x v="35"/>
    <s v="R023"/>
    <n v="1"/>
    <n v="3870"/>
    <n v="29.6"/>
    <n v="2724.48"/>
    <s v="Completed"/>
    <x v="4"/>
    <s v="Electronics"/>
    <s v="Corporate"/>
    <n v="26"/>
    <x v="3"/>
    <n v="1559"/>
  </r>
  <r>
    <s v="ORD-01305"/>
    <d v="2024-02-02T00:00:00"/>
    <s v="CUST-0037"/>
    <x v="25"/>
    <s v="R014"/>
    <n v="5"/>
    <n v="3570"/>
    <n v="11.8"/>
    <n v="15743.7"/>
    <s v="Refunded"/>
    <x v="4"/>
    <s v="Electronics"/>
    <s v="Retail"/>
    <n v="52"/>
    <x v="1"/>
    <n v="1665"/>
  </r>
  <r>
    <s v="ORD-01306"/>
    <d v="2024-12-24T00:00:00"/>
    <s v="CUST-0083"/>
    <x v="49"/>
    <s v="R019"/>
    <n v="7"/>
    <n v="5330"/>
    <n v="8.1999999999999993"/>
    <n v="34250.58"/>
    <s v="Completed"/>
    <x v="4"/>
    <s v="Electronics"/>
    <s v="Corporate"/>
    <n v="31"/>
    <x v="3"/>
    <n v="2405"/>
  </r>
  <r>
    <s v="ORD-01307"/>
    <d v="2024-09-29T00:00:00"/>
    <s v="CUST-0154"/>
    <x v="38"/>
    <s v="R009"/>
    <n v="5"/>
    <n v="1220"/>
    <n v="17.8"/>
    <n v="5014.2"/>
    <s v="Refunded"/>
    <x v="0"/>
    <s v="Electronics"/>
    <s v="Retail"/>
    <n v="36"/>
    <x v="1"/>
    <n v="517"/>
  </r>
  <r>
    <s v="ORD-01308"/>
    <d v="2024-10-22T00:00:00"/>
    <s v="CUST-0265"/>
    <x v="55"/>
    <s v="R019"/>
    <n v="7"/>
    <n v="3450"/>
    <n v="29.3"/>
    <n v="17074.05"/>
    <s v="Completed"/>
    <x v="1"/>
    <s v="Apparel"/>
    <s v="Retail"/>
    <n v="49"/>
    <x v="3"/>
    <n v="1748"/>
  </r>
  <r>
    <s v="ORD-01309"/>
    <d v="2024-09-03T00:00:00"/>
    <s v="CUST-0115"/>
    <x v="59"/>
    <s v="R013"/>
    <n v="6"/>
    <n v="3560"/>
    <n v="9.4"/>
    <n v="19352.16"/>
    <s v="Pending"/>
    <x v="3"/>
    <s v="Apparel"/>
    <s v="SMB"/>
    <n v="65"/>
    <x v="1"/>
    <n v="2629"/>
  </r>
  <r>
    <s v="ORD-01310"/>
    <d v="2024-04-03T00:00:00"/>
    <s v="CUST-0274"/>
    <x v="5"/>
    <s v="R005"/>
    <n v="4"/>
    <n v="370"/>
    <n v="4.9000000000000004"/>
    <n v="1407.48"/>
    <s v="Completed"/>
    <x v="4"/>
    <s v="Home"/>
    <s v="Corporate"/>
    <n v="36"/>
    <x v="0"/>
    <n v="288"/>
  </r>
  <r>
    <s v="ORD-01311"/>
    <d v="2024-12-21T00:00:00"/>
    <s v="CUST-0269"/>
    <x v="38"/>
    <s v="R003"/>
    <n v="1"/>
    <n v="1220"/>
    <n v="15.2"/>
    <n v="1034.56"/>
    <s v="Completed"/>
    <x v="0"/>
    <s v="Electronics"/>
    <s v="Retail"/>
    <n v="48"/>
    <x v="0"/>
    <n v="517"/>
  </r>
  <r>
    <s v="ORD-01312"/>
    <d v="2024-06-23T00:00:00"/>
    <s v="CUST-0045"/>
    <x v="32"/>
    <s v="R006"/>
    <n v="3"/>
    <n v="3640"/>
    <n v="12.3"/>
    <n v="9576.84"/>
    <s v="Pending"/>
    <x v="1"/>
    <s v="Apparel"/>
    <s v="SMB"/>
    <n v="39"/>
    <x v="0"/>
    <n v="2611"/>
  </r>
  <r>
    <s v="ORD-01313"/>
    <d v="2024-09-24T00:00:00"/>
    <s v="CUST-0054"/>
    <x v="40"/>
    <s v="R010"/>
    <n v="8"/>
    <n v="3020"/>
    <n v="28.2"/>
    <n v="17346.88"/>
    <s v="Pending"/>
    <x v="3"/>
    <s v="Beauty"/>
    <s v="Corporate"/>
    <n v="62"/>
    <x v="1"/>
    <n v="1626"/>
  </r>
  <r>
    <s v="ORD-01314"/>
    <d v="2024-06-26T00:00:00"/>
    <s v="CUST-0160"/>
    <x v="26"/>
    <s v="R008"/>
    <n v="3"/>
    <n v="5100"/>
    <n v="7.8"/>
    <n v="14106.6"/>
    <s v="Completed"/>
    <x v="5"/>
    <s v="Beauty"/>
    <s v="Retail"/>
    <n v="27"/>
    <x v="0"/>
    <n v="2237"/>
  </r>
  <r>
    <s v="ORD-01315"/>
    <d v="2024-04-25T00:00:00"/>
    <s v="CUST-0163"/>
    <x v="42"/>
    <s v="R001"/>
    <n v="9"/>
    <n v="300"/>
    <n v="19"/>
    <n v="2187"/>
    <s v="Completed"/>
    <x v="0"/>
    <s v="Electronics"/>
    <s v="Retail"/>
    <n v="49"/>
    <x v="0"/>
    <n v="128"/>
  </r>
  <r>
    <s v="ORD-01316"/>
    <d v="2024-12-08T00:00:00"/>
    <s v="CUST-0006"/>
    <x v="52"/>
    <s v="R007"/>
    <n v="10"/>
    <n v="2290"/>
    <n v="27.7"/>
    <n v="16556.7"/>
    <s v="Completed"/>
    <x v="0"/>
    <s v="Beauty"/>
    <s v="SMB"/>
    <n v="44"/>
    <x v="0"/>
    <n v="1219"/>
  </r>
  <r>
    <s v="ORD-01317"/>
    <d v="2024-06-11T00:00:00"/>
    <s v="CUST-0142"/>
    <x v="32"/>
    <s v="R024"/>
    <n v="9"/>
    <n v="3640"/>
    <n v="20.100000000000001"/>
    <n v="26175.24"/>
    <s v="Completed"/>
    <x v="1"/>
    <s v="Apparel"/>
    <s v="Corporate"/>
    <n v="55"/>
    <x v="2"/>
    <n v="2611"/>
  </r>
  <r>
    <s v="ORD-01318"/>
    <d v="2024-09-30T00:00:00"/>
    <s v="CUST-0262"/>
    <x v="1"/>
    <s v="R022"/>
    <n v="4"/>
    <n v="820"/>
    <n v="7.6"/>
    <n v="3030.72"/>
    <s v="Completed"/>
    <x v="3"/>
    <s v="Apparel"/>
    <s v="Retail"/>
    <n v="52"/>
    <x v="3"/>
    <n v="391"/>
  </r>
  <r>
    <s v="ORD-01319"/>
    <d v="2024-05-31T00:00:00"/>
    <s v="CUST-0049"/>
    <x v="9"/>
    <s v="R014"/>
    <n v="1"/>
    <n v="970"/>
    <n v="1.7"/>
    <n v="953.51"/>
    <s v="Completed"/>
    <x v="3"/>
    <s v="Grocery"/>
    <s v="Corporate"/>
    <n v="42"/>
    <x v="1"/>
    <n v="434"/>
  </r>
  <r>
    <s v="ORD-01320"/>
    <d v="2024-01-27T00:00:00"/>
    <s v="CUST-0204"/>
    <x v="59"/>
    <s v="R019"/>
    <n v="5"/>
    <n v="3560"/>
    <n v="10.5"/>
    <n v="15931"/>
    <s v="Completed"/>
    <x v="5"/>
    <s v="Apparel"/>
    <s v="Retail"/>
    <n v="60"/>
    <x v="3"/>
    <n v="2629"/>
  </r>
  <r>
    <s v="ORD-01321"/>
    <d v="2024-01-17T00:00:00"/>
    <s v="CUST-0164"/>
    <x v="57"/>
    <s v="R009"/>
    <n v="6"/>
    <n v="1090"/>
    <n v="2.4"/>
    <n v="6383.04"/>
    <s v="Pending"/>
    <x v="1"/>
    <s v="Home"/>
    <s v="Retail"/>
    <n v="60"/>
    <x v="1"/>
    <n v="464"/>
  </r>
  <r>
    <s v="ORD-01322"/>
    <d v="2024-01-15T00:00:00"/>
    <s v="CUST-0003"/>
    <x v="41"/>
    <s v="R017"/>
    <n v="6"/>
    <n v="2660"/>
    <n v="6.4"/>
    <n v="14938.56"/>
    <s v="Completed"/>
    <x v="3"/>
    <s v="Electronics"/>
    <s v="Retail"/>
    <n v="33"/>
    <x v="3"/>
    <n v="1259"/>
  </r>
  <r>
    <s v="ORD-01323"/>
    <d v="2024-05-20T00:00:00"/>
    <s v="CUST-0032"/>
    <x v="53"/>
    <s v="R001"/>
    <n v="5"/>
    <n v="3970"/>
    <n v="18.8"/>
    <n v="16118.2"/>
    <s v="Pending"/>
    <x v="5"/>
    <s v="Electronics"/>
    <s v="Retail"/>
    <n v="28"/>
    <x v="0"/>
    <n v="2865"/>
  </r>
  <r>
    <s v="ORD-01324"/>
    <d v="2024-03-18T00:00:00"/>
    <s v="CUST-0208"/>
    <x v="58"/>
    <s v="R021"/>
    <n v="7"/>
    <n v="6940"/>
    <n v="23.8"/>
    <n v="37017.96"/>
    <s v="Refunded"/>
    <x v="3"/>
    <s v="Sports"/>
    <s v="Retail"/>
    <n v="49"/>
    <x v="3"/>
    <n v="2827"/>
  </r>
  <r>
    <s v="ORD-01325"/>
    <d v="2024-09-09T00:00:00"/>
    <s v="CUST-0183"/>
    <x v="15"/>
    <s v="R004"/>
    <n v="3"/>
    <n v="2400"/>
    <n v="9.8000000000000007"/>
    <n v="6494.4"/>
    <s v="Completed"/>
    <x v="3"/>
    <s v="Sports"/>
    <s v="SMB"/>
    <n v="27"/>
    <x v="0"/>
    <n v="974"/>
  </r>
  <r>
    <s v="ORD-01326"/>
    <d v="2024-04-13T00:00:00"/>
    <s v="CUST-0021"/>
    <x v="17"/>
    <s v="R023"/>
    <n v="8"/>
    <n v="3450"/>
    <n v="26.6"/>
    <n v="20258.400000000001"/>
    <s v="Cancelled"/>
    <x v="0"/>
    <s v="Sports"/>
    <s v="Retail"/>
    <n v="44"/>
    <x v="3"/>
    <n v="2467"/>
  </r>
  <r>
    <s v="ORD-01327"/>
    <d v="2024-04-07T00:00:00"/>
    <s v="CUST-0080"/>
    <x v="38"/>
    <s v="R004"/>
    <n v="4"/>
    <n v="1220"/>
    <n v="5.5"/>
    <n v="4611.6000000000004"/>
    <s v="Completed"/>
    <x v="0"/>
    <s v="Electronics"/>
    <s v="SMB"/>
    <n v="30"/>
    <x v="0"/>
    <n v="517"/>
  </r>
  <r>
    <s v="ORD-01328"/>
    <d v="2024-09-01T00:00:00"/>
    <s v="CUST-0286"/>
    <x v="43"/>
    <s v="R007"/>
    <n v="1"/>
    <n v="620"/>
    <n v="22.3"/>
    <n v="481.74"/>
    <s v="Pending"/>
    <x v="2"/>
    <s v="Apparel"/>
    <s v="Retail"/>
    <n v="62"/>
    <x v="0"/>
    <n v="396"/>
  </r>
  <r>
    <s v="ORD-01329"/>
    <d v="2024-02-26T00:00:00"/>
    <s v="CUST-0152"/>
    <x v="42"/>
    <s v="R023"/>
    <n v="1"/>
    <n v="300"/>
    <n v="12.5"/>
    <n v="262.5"/>
    <s v="Completed"/>
    <x v="4"/>
    <s v="Electronics"/>
    <s v="SMB"/>
    <n v="64"/>
    <x v="3"/>
    <n v="128"/>
  </r>
  <r>
    <s v="ORD-01330"/>
    <d v="2024-07-29T00:00:00"/>
    <s v="CUST-0254"/>
    <x v="23"/>
    <s v="R020"/>
    <n v="3"/>
    <n v="1010"/>
    <n v="14.1"/>
    <n v="2602.77"/>
    <s v="Completed"/>
    <x v="4"/>
    <s v="Sports"/>
    <s v="Retail"/>
    <n v="35"/>
    <x v="3"/>
    <n v="516"/>
  </r>
  <r>
    <s v="ORD-01331"/>
    <d v="2024-11-04T00:00:00"/>
    <s v="CUST-0290"/>
    <x v="54"/>
    <s v="R027"/>
    <n v="2"/>
    <n v="5080"/>
    <n v="16.8"/>
    <n v="8453.1200000000008"/>
    <s v="Completed"/>
    <x v="2"/>
    <s v="Home"/>
    <s v="Retail"/>
    <n v="63"/>
    <x v="2"/>
    <n v="2459"/>
  </r>
  <r>
    <s v="ORD-01332"/>
    <d v="2024-05-04T00:00:00"/>
    <s v="CUST-0101"/>
    <x v="4"/>
    <s v="R027"/>
    <n v="2"/>
    <n v="3160"/>
    <n v="21.4"/>
    <n v="4967.5200000000004"/>
    <s v="Completed"/>
    <x v="5"/>
    <s v="Apparel"/>
    <s v="SMB"/>
    <n v="40"/>
    <x v="2"/>
    <n v="1886"/>
  </r>
  <r>
    <s v="ORD-01333"/>
    <d v="2024-08-31T00:00:00"/>
    <s v="CUST-0058"/>
    <x v="16"/>
    <s v="R016"/>
    <n v="7"/>
    <n v="3450"/>
    <n v="21.3"/>
    <n v="19006.05"/>
    <s v="Completed"/>
    <x v="4"/>
    <s v="Beauty"/>
    <s v="SMB"/>
    <n v="49"/>
    <x v="1"/>
    <n v="2420"/>
  </r>
  <r>
    <s v="ORD-01334"/>
    <d v="2024-01-31T00:00:00"/>
    <s v="CUST-0296"/>
    <x v="49"/>
    <s v="R006"/>
    <n v="2"/>
    <n v="5330"/>
    <n v="4.3"/>
    <n v="10201.620000000001"/>
    <s v="Completed"/>
    <x v="2"/>
    <s v="Electronics"/>
    <s v="Corporate"/>
    <n v="47"/>
    <x v="0"/>
    <n v="2405"/>
  </r>
  <r>
    <s v="ORD-01335"/>
    <d v="2024-11-30T00:00:00"/>
    <s v="CUST-0249"/>
    <x v="58"/>
    <s v="R014"/>
    <n v="5"/>
    <n v="6940"/>
    <n v="2.9"/>
    <n v="33693.699999999997"/>
    <s v="Completed"/>
    <x v="3"/>
    <s v="Sports"/>
    <s v="Retail"/>
    <n v="44"/>
    <x v="1"/>
    <n v="2827"/>
  </r>
  <r>
    <s v="ORD-01336"/>
    <d v="2024-08-30T00:00:00"/>
    <s v="CUST-0055"/>
    <x v="29"/>
    <s v="R028"/>
    <n v="5"/>
    <n v="660"/>
    <n v="15.8"/>
    <n v="2778.6"/>
    <s v="Completed"/>
    <x v="4"/>
    <s v="Home"/>
    <s v="Retail"/>
    <n v="34"/>
    <x v="2"/>
    <n v="329"/>
  </r>
  <r>
    <s v="ORD-01337"/>
    <d v="2024-08-15T00:00:00"/>
    <s v="CUST-0005"/>
    <x v="26"/>
    <s v="R013"/>
    <n v="9"/>
    <n v="5100"/>
    <n v="0.4"/>
    <n v="45716.4"/>
    <s v="Completed"/>
    <x v="1"/>
    <s v="Beauty"/>
    <s v="Corporate"/>
    <n v="52"/>
    <x v="1"/>
    <n v="2237"/>
  </r>
  <r>
    <s v="ORD-01338"/>
    <d v="2024-01-24T00:00:00"/>
    <s v="CUST-9595"/>
    <x v="21"/>
    <s v="R014"/>
    <n v="5"/>
    <n v="1650"/>
    <n v="0.8"/>
    <n v="8184"/>
    <s v="Pending"/>
    <x v="1"/>
    <s v="Beauty"/>
    <e v="#N/A"/>
    <e v="#N/A"/>
    <x v="1"/>
    <n v="1222"/>
  </r>
  <r>
    <s v="ORD-01339"/>
    <d v="2024-10-01T00:00:00"/>
    <s v="CUST-0138"/>
    <x v="32"/>
    <s v="R018"/>
    <n v="7"/>
    <n v="3640"/>
    <n v="25.5"/>
    <n v="18982.599999999999"/>
    <s v="Completed"/>
    <x v="1"/>
    <s v="Apparel"/>
    <s v="Retail"/>
    <n v="24"/>
    <x v="3"/>
    <n v="2611"/>
  </r>
  <r>
    <s v="ORD-01340"/>
    <d v="2024-12-17T00:00:00"/>
    <s v="CUST-0112"/>
    <x v="24"/>
    <s v="R029"/>
    <n v="6"/>
    <n v="4880"/>
    <n v="12.6"/>
    <n v="25590.720000000001"/>
    <s v="Cancelled"/>
    <x v="5"/>
    <s v="Beauty"/>
    <s v="Retail"/>
    <n v="64"/>
    <x v="2"/>
    <n v="2768"/>
  </r>
  <r>
    <s v="ORD-01341"/>
    <d v="2024-05-10T00:00:00"/>
    <s v="CUST-0254"/>
    <x v="49"/>
    <s v="R028"/>
    <n v="4"/>
    <n v="5330"/>
    <n v="16.2"/>
    <n v="17866.16"/>
    <s v="Completed"/>
    <x v="4"/>
    <s v="Electronics"/>
    <s v="Retail"/>
    <n v="35"/>
    <x v="2"/>
    <n v="2405"/>
  </r>
  <r>
    <s v="ORD-01342"/>
    <d v="2024-04-18T00:00:00"/>
    <s v="CUST-0087"/>
    <x v="8"/>
    <s v="R023"/>
    <n v="3"/>
    <n v="5490"/>
    <n v="26.7"/>
    <n v="12072.51"/>
    <s v="Completed"/>
    <x v="0"/>
    <s v="Home"/>
    <s v="SMB"/>
    <n v="49"/>
    <x v="3"/>
    <n v="2549"/>
  </r>
  <r>
    <s v="ORD-01343"/>
    <d v="2024-09-29T00:00:00"/>
    <s v="CUST-0142"/>
    <x v="14"/>
    <s v="R002"/>
    <n v="7"/>
    <n v="190"/>
    <n v="11.6"/>
    <n v="1175.72"/>
    <s v="Completed"/>
    <x v="1"/>
    <s v="Sports"/>
    <s v="Corporate"/>
    <n v="55"/>
    <x v="0"/>
    <n v="147"/>
  </r>
  <r>
    <s v="ORD-01344"/>
    <d v="2024-05-25T00:00:00"/>
    <s v="CUST-0293"/>
    <x v="4"/>
    <s v="R016"/>
    <n v="5"/>
    <n v="3160"/>
    <n v="24.1"/>
    <n v="11992.2"/>
    <s v="Completed"/>
    <x v="4"/>
    <s v="Apparel"/>
    <s v="Retail"/>
    <n v="27"/>
    <x v="1"/>
    <n v="1886"/>
  </r>
  <r>
    <s v="ORD-01345"/>
    <d v="2024-04-13T00:00:00"/>
    <s v="CUST-0025"/>
    <x v="57"/>
    <s v="R023"/>
    <n v="1"/>
    <n v="1090"/>
    <n v="9.6"/>
    <n v="985.36"/>
    <s v="Refunded"/>
    <x v="4"/>
    <s v="Home"/>
    <s v="Retail"/>
    <n v="23"/>
    <x v="3"/>
    <n v="464"/>
  </r>
  <r>
    <s v="ORD-01346"/>
    <d v="2024-06-04T00:00:00"/>
    <s v="CUST-0096"/>
    <x v="5"/>
    <s v="R004"/>
    <n v="9"/>
    <n v="370"/>
    <n v="4"/>
    <n v="3196.8"/>
    <s v="Completed"/>
    <x v="2"/>
    <s v="Home"/>
    <s v="Corporate"/>
    <n v="27"/>
    <x v="0"/>
    <n v="288"/>
  </r>
  <r>
    <s v="ORD-01347"/>
    <d v="2024-01-09T00:00:00"/>
    <s v="CUST-0069"/>
    <x v="41"/>
    <s v="R002"/>
    <n v="5"/>
    <n v="2660"/>
    <n v="24.6"/>
    <n v="10028.200000000001"/>
    <s v="Cancelled"/>
    <x v="1"/>
    <s v="Electronics"/>
    <s v="Retail"/>
    <n v="51"/>
    <x v="0"/>
    <n v="1259"/>
  </r>
  <r>
    <s v="ORD-01348"/>
    <d v="2024-02-05T00:00:00"/>
    <s v="CUST-0220"/>
    <x v="59"/>
    <s v="R018"/>
    <n v="4"/>
    <n v="3560"/>
    <n v="25.7"/>
    <n v="10580.32"/>
    <s v="Completed"/>
    <x v="1"/>
    <s v="Apparel"/>
    <s v="Retail"/>
    <n v="34"/>
    <x v="3"/>
    <n v="2629"/>
  </r>
  <r>
    <s v="ORD-01349"/>
    <d v="2024-04-28T00:00:00"/>
    <s v="CUST-0005"/>
    <x v="51"/>
    <s v="R005"/>
    <n v="8"/>
    <n v="960"/>
    <n v="0.1"/>
    <n v="7672.32"/>
    <s v="Completed"/>
    <x v="1"/>
    <s v="Beauty"/>
    <s v="Corporate"/>
    <n v="52"/>
    <x v="0"/>
    <n v="675"/>
  </r>
  <r>
    <s v="ORD-01350"/>
    <d v="2024-12-18T00:00:00"/>
    <s v="CUST-0222"/>
    <x v="5"/>
    <s v="R024"/>
    <n v="10"/>
    <n v="370"/>
    <n v="16.399999999999999"/>
    <n v="3093.2"/>
    <s v="Cancelled"/>
    <x v="1"/>
    <s v="Home"/>
    <s v="Retail"/>
    <n v="37"/>
    <x v="2"/>
    <n v="288"/>
  </r>
  <r>
    <s v="ORD-01351"/>
    <d v="2024-04-17T00:00:00"/>
    <s v="CUST-0039"/>
    <x v="20"/>
    <s v="R029"/>
    <n v="4"/>
    <n v="2720"/>
    <n v="3.1"/>
    <n v="10542.72"/>
    <s v="Completed"/>
    <x v="4"/>
    <s v="Apparel"/>
    <s v="Retail"/>
    <n v="37"/>
    <x v="2"/>
    <n v="1962"/>
  </r>
  <r>
    <s v="ORD-01352"/>
    <d v="2024-05-29T00:00:00"/>
    <s v="CUST-0224"/>
    <x v="54"/>
    <s v="R005"/>
    <n v="10"/>
    <n v="5080"/>
    <n v="6.8"/>
    <n v="47345.599999999999"/>
    <s v="Completed"/>
    <x v="1"/>
    <s v="Home"/>
    <s v="Corporate"/>
    <n v="24"/>
    <x v="0"/>
    <n v="2459"/>
  </r>
  <r>
    <s v="ORD-01353"/>
    <d v="2024-03-28T00:00:00"/>
    <s v="CUST-0288"/>
    <x v="52"/>
    <s v="R008"/>
    <n v="6"/>
    <n v="2290"/>
    <n v="22.6"/>
    <n v="10634.76"/>
    <s v="Completed"/>
    <x v="5"/>
    <s v="Beauty"/>
    <s v="Corporate"/>
    <n v="25"/>
    <x v="0"/>
    <n v="1219"/>
  </r>
  <r>
    <s v="ORD-01354"/>
    <d v="2024-07-29T00:00:00"/>
    <s v="CUST-0002"/>
    <x v="28"/>
    <s v="R006"/>
    <n v="4"/>
    <n v="2760"/>
    <n v="27.2"/>
    <n v="8037.12"/>
    <s v="Refunded"/>
    <x v="0"/>
    <s v="Grocery"/>
    <s v="Corporate"/>
    <n v="42"/>
    <x v="0"/>
    <n v="1435"/>
  </r>
  <r>
    <s v="ORD-01355"/>
    <d v="2024-06-23T00:00:00"/>
    <s v="CUST-0172"/>
    <x v="10"/>
    <s v="R027"/>
    <n v="9"/>
    <n v="2270"/>
    <n v="5.2"/>
    <n v="19367.64"/>
    <s v="Completed"/>
    <x v="0"/>
    <s v="Grocery"/>
    <s v="Retail"/>
    <n v="65"/>
    <x v="2"/>
    <n v="1203"/>
  </r>
  <r>
    <s v="ORD-01356"/>
    <d v="2024-07-27T00:00:00"/>
    <s v="CUST-0287"/>
    <x v="47"/>
    <s v="R008"/>
    <n v="3"/>
    <n v="2510"/>
    <n v="16.399999999999999"/>
    <n v="6295.08"/>
    <s v="Completed"/>
    <x v="1"/>
    <s v="Apparel"/>
    <s v="SMB"/>
    <n v="53"/>
    <x v="0"/>
    <n v="1075"/>
  </r>
  <r>
    <s v="ORD-01357"/>
    <d v="2024-02-15T00:00:00"/>
    <s v="CUST-0020"/>
    <x v="50"/>
    <s v="R012"/>
    <n v="1"/>
    <n v="2380"/>
    <n v="23.5"/>
    <n v="1820.7"/>
    <s v="Completed"/>
    <x v="5"/>
    <s v="Grocery"/>
    <s v="Retail"/>
    <n v="46"/>
    <x v="1"/>
    <n v="1182"/>
  </r>
  <r>
    <s v="ORD-01358"/>
    <d v="2024-06-04T00:00:00"/>
    <s v="CUST-0039"/>
    <x v="56"/>
    <s v="R019"/>
    <n v="2"/>
    <n v="3780"/>
    <n v="29.1"/>
    <n v="5360.04"/>
    <s v="Completed"/>
    <x v="4"/>
    <s v="Sports"/>
    <s v="Retail"/>
    <n v="37"/>
    <x v="3"/>
    <n v="1860"/>
  </r>
  <r>
    <s v="ORD-01359"/>
    <d v="2024-09-11T00:00:00"/>
    <s v="CUST-0128"/>
    <x v="55"/>
    <s v="R026"/>
    <n v="1"/>
    <n v="3450"/>
    <n v="17.8"/>
    <n v="2835.9"/>
    <s v="Completed"/>
    <x v="5"/>
    <s v="Apparel"/>
    <s v="Retail"/>
    <n v="35"/>
    <x v="2"/>
    <n v="1748"/>
  </r>
  <r>
    <s v="ORD-01360"/>
    <d v="2024-06-08T00:00:00"/>
    <s v="CUST-0149"/>
    <x v="24"/>
    <s v="R006"/>
    <n v="6"/>
    <n v="4880"/>
    <n v="15.6"/>
    <n v="24712.32"/>
    <s v="Pending"/>
    <x v="5"/>
    <s v="Beauty"/>
    <s v="Retail"/>
    <n v="44"/>
    <x v="0"/>
    <n v="2768"/>
  </r>
  <r>
    <s v="ORD-01361"/>
    <d v="2024-05-15T00:00:00"/>
    <s v="CUST-0101"/>
    <x v="51"/>
    <s v="R016"/>
    <n v="6"/>
    <n v="960"/>
    <n v="7.5"/>
    <n v="5328"/>
    <s v="Pending"/>
    <x v="5"/>
    <s v="Beauty"/>
    <s v="SMB"/>
    <n v="40"/>
    <x v="1"/>
    <n v="675"/>
  </r>
  <r>
    <s v="ORD-01362"/>
    <d v="2024-08-28T00:00:00"/>
    <s v="CUST-0106"/>
    <x v="59"/>
    <s v="R023"/>
    <n v="1"/>
    <n v="3560"/>
    <n v="12.9"/>
    <n v="3100.76"/>
    <s v="Completed"/>
    <x v="0"/>
    <s v="Apparel"/>
    <s v="Retail"/>
    <n v="22"/>
    <x v="3"/>
    <n v="2629"/>
  </r>
  <r>
    <s v="ORD-01363"/>
    <d v="2024-06-23T00:00:00"/>
    <s v="CUST-0085"/>
    <x v="46"/>
    <s v="R005"/>
    <n v="5"/>
    <n v="4060"/>
    <n v="18.100000000000001"/>
    <n v="16625.7"/>
    <s v="Pending"/>
    <x v="1"/>
    <s v="Grocery"/>
    <s v="Retail"/>
    <n v="26"/>
    <x v="0"/>
    <n v="2911"/>
  </r>
  <r>
    <s v="ORD-01364"/>
    <d v="2024-09-10T00:00:00"/>
    <s v="CUST-0071"/>
    <x v="20"/>
    <s v="R020"/>
    <n v="10"/>
    <n v="2720"/>
    <n v="23.2"/>
    <n v="20889.599999999999"/>
    <s v="Completed"/>
    <x v="2"/>
    <s v="Apparel"/>
    <s v="Corporate"/>
    <n v="46"/>
    <x v="3"/>
    <n v="1962"/>
  </r>
  <r>
    <s v="ORD-01365"/>
    <d v="2024-09-12T00:00:00"/>
    <s v="CUST-0185"/>
    <x v="45"/>
    <s v="R022"/>
    <n v="1"/>
    <n v="2210"/>
    <n v="5.8"/>
    <n v="2081.8200000000002"/>
    <s v="Pending"/>
    <x v="5"/>
    <s v="Grocery"/>
    <s v="SMB"/>
    <n v="43"/>
    <x v="3"/>
    <n v="1010"/>
  </r>
  <r>
    <s v="ORD-01366"/>
    <d v="2024-09-12T00:00:00"/>
    <s v="CUST-0182"/>
    <x v="16"/>
    <s v="R013"/>
    <n v="5"/>
    <n v="3450"/>
    <n v="27.9"/>
    <n v="12437.25"/>
    <s v="Pending"/>
    <x v="3"/>
    <s v="Beauty"/>
    <s v="Retail"/>
    <n v="54"/>
    <x v="1"/>
    <n v="2420"/>
  </r>
  <r>
    <s v="ORD-01367"/>
    <d v="2024-09-15T00:00:00"/>
    <s v="CUST-0177"/>
    <x v="50"/>
    <s v="R023"/>
    <n v="9"/>
    <n v="2380"/>
    <n v="15.2"/>
    <n v="18164.16"/>
    <s v="Refunded"/>
    <x v="3"/>
    <s v="Grocery"/>
    <s v="SMB"/>
    <n v="36"/>
    <x v="3"/>
    <n v="1182"/>
  </r>
  <r>
    <s v="ORD-01368"/>
    <d v="2024-09-16T00:00:00"/>
    <s v="CUST-0253"/>
    <x v="50"/>
    <s v="R002"/>
    <n v="2"/>
    <n v="2380"/>
    <n v="24.3"/>
    <n v="3603.32"/>
    <s v="Completed"/>
    <x v="2"/>
    <s v="Grocery"/>
    <s v="SMB"/>
    <n v="53"/>
    <x v="0"/>
    <n v="1182"/>
  </r>
  <r>
    <s v="ORD-01369"/>
    <d v="2024-09-25T00:00:00"/>
    <s v="CUST-0071"/>
    <x v="59"/>
    <s v="R012"/>
    <n v="9"/>
    <n v="3560"/>
    <n v="6.6"/>
    <n v="29925.360000000001"/>
    <s v="Refunded"/>
    <x v="2"/>
    <s v="Apparel"/>
    <s v="Corporate"/>
    <n v="46"/>
    <x v="1"/>
    <n v="2629"/>
  </r>
  <r>
    <s v="ORD-01370"/>
    <d v="2024-02-08T00:00:00"/>
    <s v="CUST-0240"/>
    <x v="38"/>
    <s v="R018"/>
    <n v="7"/>
    <n v="1220"/>
    <n v="29.4"/>
    <n v="6029.24"/>
    <s v="Completed"/>
    <x v="1"/>
    <s v="Electronics"/>
    <s v="Corporate"/>
    <n v="35"/>
    <x v="3"/>
    <n v="517"/>
  </r>
  <r>
    <s v="ORD-01371"/>
    <d v="2024-09-25T00:00:00"/>
    <s v="CUST-0050"/>
    <x v="58"/>
    <s v="R017"/>
    <n v="7"/>
    <n v="6940"/>
    <n v="9.6"/>
    <n v="43916.32"/>
    <s v="Completed"/>
    <x v="3"/>
    <s v="Sports"/>
    <s v="Retail"/>
    <n v="37"/>
    <x v="3"/>
    <n v="2827"/>
  </r>
  <r>
    <s v="ORD-01372"/>
    <d v="2024-04-13T00:00:00"/>
    <s v="CUST-0089"/>
    <x v="57"/>
    <s v="R022"/>
    <n v="2"/>
    <n v="1090"/>
    <n v="17"/>
    <n v="1809.4"/>
    <s v="Completed"/>
    <x v="3"/>
    <s v="Home"/>
    <s v="SMB"/>
    <n v="43"/>
    <x v="3"/>
    <n v="464"/>
  </r>
  <r>
    <s v="ORD-01373"/>
    <d v="2024-07-13T00:00:00"/>
    <s v="CUST-0209"/>
    <x v="50"/>
    <s v="R028"/>
    <n v="4"/>
    <n v="2380"/>
    <n v="18.899999999999999"/>
    <n v="7720.72"/>
    <s v="Pending"/>
    <x v="0"/>
    <s v="Grocery"/>
    <s v="Retail"/>
    <n v="31"/>
    <x v="2"/>
    <n v="1182"/>
  </r>
  <r>
    <s v="ORD-01374"/>
    <d v="2024-10-13T00:00:00"/>
    <s v="CUST-0089"/>
    <x v="10"/>
    <s v="R004"/>
    <n v="6"/>
    <n v="2270"/>
    <n v="20.9"/>
    <n v="10773.42"/>
    <s v="Pending"/>
    <x v="3"/>
    <s v="Grocery"/>
    <s v="SMB"/>
    <n v="43"/>
    <x v="0"/>
    <n v="1203"/>
  </r>
  <r>
    <s v="ORD-01375"/>
    <d v="2024-10-16T00:00:00"/>
    <s v="CUST-0093"/>
    <x v="44"/>
    <s v="R019"/>
    <n v="10"/>
    <n v="2030"/>
    <n v="25"/>
    <n v="15225"/>
    <s v="Completed"/>
    <x v="0"/>
    <s v="Home"/>
    <s v="Retail"/>
    <n v="36"/>
    <x v="3"/>
    <n v="1143"/>
  </r>
  <r>
    <s v="ORD-01376"/>
    <d v="2024-08-04T00:00:00"/>
    <s v="CUST-0018"/>
    <x v="57"/>
    <s v="R027"/>
    <n v="3"/>
    <n v="1090"/>
    <n v="12.1"/>
    <n v="2874.33"/>
    <s v="Completed"/>
    <x v="0"/>
    <s v="Home"/>
    <s v="SMB"/>
    <n v="54"/>
    <x v="2"/>
    <n v="464"/>
  </r>
  <r>
    <s v="ORD-01377"/>
    <d v="2024-01-12T00:00:00"/>
    <s v="CUST-0089"/>
    <x v="47"/>
    <s v="R017"/>
    <n v="3"/>
    <n v="2510"/>
    <n v="28.7"/>
    <n v="5368.89"/>
    <s v="Completed"/>
    <x v="3"/>
    <s v="Apparel"/>
    <s v="SMB"/>
    <n v="43"/>
    <x v="3"/>
    <n v="1075"/>
  </r>
  <r>
    <s v="ORD-01378"/>
    <d v="2024-04-30T00:00:00"/>
    <s v="CUST-0116"/>
    <x v="10"/>
    <s v="R026"/>
    <n v="9"/>
    <n v="2270"/>
    <n v="25.4"/>
    <n v="15240.78"/>
    <s v="Pending"/>
    <x v="4"/>
    <s v="Grocery"/>
    <s v="Retail"/>
    <n v="53"/>
    <x v="2"/>
    <n v="1203"/>
  </r>
  <r>
    <s v="ORD-01379"/>
    <d v="2024-04-18T00:00:00"/>
    <s v="CUST-0071"/>
    <x v="53"/>
    <s v="R029"/>
    <n v="9"/>
    <n v="3970"/>
    <n v="10.1"/>
    <n v="32121.27"/>
    <s v="Cancelled"/>
    <x v="2"/>
    <s v="Electronics"/>
    <s v="Corporate"/>
    <n v="46"/>
    <x v="2"/>
    <n v="2865"/>
  </r>
  <r>
    <s v="ORD-01380"/>
    <d v="2024-10-05T00:00:00"/>
    <s v="CUST-0115"/>
    <x v="45"/>
    <s v="R014"/>
    <n v="6"/>
    <n v="2210"/>
    <n v="7.4"/>
    <n v="12278.76"/>
    <s v="Completed"/>
    <x v="3"/>
    <s v="Grocery"/>
    <s v="SMB"/>
    <n v="65"/>
    <x v="1"/>
    <n v="1010"/>
  </r>
  <r>
    <s v="ORD-01381"/>
    <d v="2024-03-09T00:00:00"/>
    <s v="CUST-0258"/>
    <x v="36"/>
    <s v="R017"/>
    <n v="7"/>
    <n v="1540"/>
    <n v="20.6"/>
    <n v="8559.32"/>
    <s v="Completed"/>
    <x v="0"/>
    <s v="Beauty"/>
    <s v="Retail"/>
    <n v="44"/>
    <x v="3"/>
    <n v="647"/>
  </r>
  <r>
    <s v="ORD-01382"/>
    <d v="2024-02-12T00:00:00"/>
    <s v="CUST-0290"/>
    <x v="39"/>
    <s v="R027"/>
    <n v="9"/>
    <n v="4610"/>
    <n v="2.1"/>
    <n v="40618.71"/>
    <s v="Completed"/>
    <x v="2"/>
    <s v="Home"/>
    <s v="Retail"/>
    <n v="63"/>
    <x v="2"/>
    <n v="1850"/>
  </r>
  <r>
    <s v="ORD-01383"/>
    <d v="2024-08-23T00:00:00"/>
    <s v="CUST-0279"/>
    <x v="53"/>
    <s v="R002"/>
    <n v="10"/>
    <n v="3970"/>
    <n v="13.3"/>
    <n v="34419.9"/>
    <s v="Pending"/>
    <x v="3"/>
    <s v="Electronics"/>
    <s v="Retail"/>
    <n v="56"/>
    <x v="0"/>
    <n v="2865"/>
  </r>
  <r>
    <s v="ORD-01384"/>
    <d v="2024-08-30T00:00:00"/>
    <s v="CUST-0132"/>
    <x v="41"/>
    <s v="R008"/>
    <n v="8"/>
    <n v="2660"/>
    <n v="16.8"/>
    <n v="17704.96"/>
    <s v="Completed"/>
    <x v="2"/>
    <s v="Electronics"/>
    <s v="Retail"/>
    <n v="41"/>
    <x v="0"/>
    <n v="1259"/>
  </r>
  <r>
    <s v="ORD-01385"/>
    <d v="2024-02-07T00:00:00"/>
    <s v="CUST-0029"/>
    <x v="16"/>
    <s v="R021"/>
    <n v="6"/>
    <n v="3450"/>
    <n v="23.4"/>
    <n v="15856.2"/>
    <s v="Completed"/>
    <x v="1"/>
    <s v="Beauty"/>
    <s v="Corporate"/>
    <n v="54"/>
    <x v="3"/>
    <n v="2420"/>
  </r>
  <r>
    <s v="ORD-01386"/>
    <d v="2024-11-25T00:00:00"/>
    <s v="CUST-0295"/>
    <x v="2"/>
    <s v="R007"/>
    <n v="10"/>
    <n v="470"/>
    <n v="21.2"/>
    <n v="3703.6"/>
    <s v="Completed"/>
    <x v="2"/>
    <s v="Sports"/>
    <s v="SMB"/>
    <n v="48"/>
    <x v="0"/>
    <n v="302"/>
  </r>
  <r>
    <s v="ORD-00168"/>
    <d v="2024-02-12T00:00:00"/>
    <s v="CUST-0106"/>
    <x v="56"/>
    <s v="R022"/>
    <n v="7"/>
    <n v="3780"/>
    <n v="10.1"/>
    <n v="23787.54"/>
    <s v="Completed"/>
    <x v="0"/>
    <s v="Sports"/>
    <s v="Retail"/>
    <n v="22"/>
    <x v="3"/>
    <n v="1860"/>
  </r>
  <r>
    <s v="ORD-01388"/>
    <d v="2024-02-02T00:00:00"/>
    <s v="CUST-0127"/>
    <x v="0"/>
    <s v="R027"/>
    <n v="3"/>
    <n v="3620"/>
    <n v="4.2"/>
    <n v="10403.879999999999"/>
    <s v="Completed"/>
    <x v="4"/>
    <s v="Apparel"/>
    <s v="SMB"/>
    <n v="36"/>
    <x v="2"/>
    <n v="2509"/>
  </r>
  <r>
    <s v="ORD-01389"/>
    <d v="2024-09-06T00:00:00"/>
    <s v="CUST-0031"/>
    <x v="51"/>
    <s v="R028"/>
    <n v="7"/>
    <n v="960"/>
    <n v="9"/>
    <n v="6115.2"/>
    <s v="Completed"/>
    <x v="5"/>
    <s v="Beauty"/>
    <s v="Retail"/>
    <n v="53"/>
    <x v="2"/>
    <n v="675"/>
  </r>
  <r>
    <s v="ORD-01390"/>
    <d v="2024-02-22T00:00:00"/>
    <s v="CUST-0256"/>
    <x v="22"/>
    <s v="R007"/>
    <n v="10"/>
    <n v="3350"/>
    <n v="1.2"/>
    <n v="33098"/>
    <s v="Cancelled"/>
    <x v="5"/>
    <s v="Beauty"/>
    <s v="Retail"/>
    <n v="28"/>
    <x v="0"/>
    <n v="1728"/>
  </r>
  <r>
    <s v="ORD-01391"/>
    <d v="2024-04-06T00:00:00"/>
    <s v="CUST-0131"/>
    <x v="15"/>
    <s v="R030"/>
    <n v="3"/>
    <n v="2400"/>
    <n v="15.4"/>
    <n v="6091.2"/>
    <s v="Completed"/>
    <x v="2"/>
    <s v="Sports"/>
    <s v="SMB"/>
    <n v="28"/>
    <x v="2"/>
    <n v="974"/>
  </r>
  <r>
    <s v="ORD-01392"/>
    <d v="2024-04-25T00:00:00"/>
    <s v="CUST-0270"/>
    <x v="27"/>
    <s v="R002"/>
    <n v="2"/>
    <n v="2860"/>
    <n v="10.5"/>
    <n v="5119.3999999999996"/>
    <s v="Completed"/>
    <x v="4"/>
    <s v="Sports"/>
    <s v="Retail"/>
    <n v="29"/>
    <x v="0"/>
    <n v="2028"/>
  </r>
  <r>
    <s v="ORD-01393"/>
    <d v="2024-11-24T00:00:00"/>
    <s v="CUST-0212"/>
    <x v="52"/>
    <s v="R008"/>
    <n v="4"/>
    <n v="2290"/>
    <n v="5.9"/>
    <n v="8619.56"/>
    <s v="Completed"/>
    <x v="1"/>
    <s v="Beauty"/>
    <s v="SMB"/>
    <n v="46"/>
    <x v="0"/>
    <n v="1219"/>
  </r>
  <r>
    <s v="ORD-01394"/>
    <d v="2024-07-26T00:00:00"/>
    <s v="CUST-0216"/>
    <x v="49"/>
    <s v="R023"/>
    <n v="7"/>
    <n v="5330"/>
    <n v="3.5"/>
    <n v="36004.15"/>
    <s v="Cancelled"/>
    <x v="3"/>
    <s v="Electronics"/>
    <s v="Retail"/>
    <n v="50"/>
    <x v="3"/>
    <n v="2405"/>
  </r>
  <r>
    <s v="ORD-01395"/>
    <d v="2024-10-20T00:00:00"/>
    <s v="CUST-0189"/>
    <x v="32"/>
    <s v="R018"/>
    <n v="10"/>
    <n v="3640"/>
    <n v="20.100000000000001"/>
    <n v="29083.599999999999"/>
    <s v="Completed"/>
    <x v="1"/>
    <s v="Apparel"/>
    <s v="Retail"/>
    <n v="41"/>
    <x v="3"/>
    <n v="2611"/>
  </r>
  <r>
    <s v="ORD-01396"/>
    <d v="2024-12-07T00:00:00"/>
    <s v="CUST-0064"/>
    <x v="54"/>
    <s v="R024"/>
    <n v="10"/>
    <n v="5080"/>
    <n v="2.1"/>
    <n v="49733.2"/>
    <s v="Completed"/>
    <x v="5"/>
    <s v="Home"/>
    <s v="SMB"/>
    <n v="40"/>
    <x v="2"/>
    <n v="2459"/>
  </r>
  <r>
    <s v="ORD-01397"/>
    <d v="2024-08-13T00:00:00"/>
    <s v="CUST-0016"/>
    <x v="57"/>
    <s v="R018"/>
    <n v="4"/>
    <n v="1090"/>
    <n v="18.5"/>
    <n v="3553.4"/>
    <s v="Refunded"/>
    <x v="2"/>
    <s v="Home"/>
    <s v="SMB"/>
    <n v="26"/>
    <x v="3"/>
    <n v="464"/>
  </r>
  <r>
    <s v="ORD-01398"/>
    <d v="2024-12-19T00:00:00"/>
    <s v="CUST-0296"/>
    <x v="16"/>
    <s v="R030"/>
    <n v="10"/>
    <n v="3450"/>
    <n v="26.5"/>
    <n v="25357.5"/>
    <s v="Refunded"/>
    <x v="2"/>
    <s v="Beauty"/>
    <s v="Corporate"/>
    <n v="47"/>
    <x v="2"/>
    <n v="2420"/>
  </r>
  <r>
    <s v="ORD-01399"/>
    <d v="2024-07-10T00:00:00"/>
    <s v="CUST-0031"/>
    <x v="48"/>
    <s v="R009"/>
    <n v="9"/>
    <n v="5410"/>
    <n v="11.5"/>
    <n v="43090.65"/>
    <s v="Completed"/>
    <x v="5"/>
    <s v="Sports"/>
    <s v="Retail"/>
    <n v="53"/>
    <x v="1"/>
    <n v="2265"/>
  </r>
  <r>
    <s v="ORD-01400"/>
    <d v="2024-06-02T00:00:00"/>
    <s v="CUST-0207"/>
    <x v="55"/>
    <s v="R030"/>
    <n v="9"/>
    <n v="3450"/>
    <n v="0.3"/>
    <n v="30956.85"/>
    <s v="Refunded"/>
    <x v="5"/>
    <s v="Apparel"/>
    <s v="SMB"/>
    <n v="34"/>
    <x v="2"/>
    <n v="1748"/>
  </r>
  <r>
    <s v="ORD-01401"/>
    <d v="2024-11-18T00:00:00"/>
    <s v="CUST-0165"/>
    <x v="4"/>
    <s v="R025"/>
    <n v="10"/>
    <n v="3160"/>
    <n v="13.6"/>
    <n v="27302.400000000001"/>
    <s v="Completed"/>
    <x v="0"/>
    <s v="Apparel"/>
    <s v="Retail"/>
    <n v="29"/>
    <x v="2"/>
    <n v="1886"/>
  </r>
  <r>
    <s v="ORD-01402"/>
    <d v="2024-05-21T00:00:00"/>
    <s v="CUST-0281"/>
    <x v="36"/>
    <s v="R026"/>
    <n v="3"/>
    <n v="1540"/>
    <n v="21.2"/>
    <n v="3640.56"/>
    <s v="Completed"/>
    <x v="4"/>
    <s v="Beauty"/>
    <s v="Corporate"/>
    <n v="57"/>
    <x v="2"/>
    <n v="647"/>
  </r>
  <r>
    <s v="ORD-01403"/>
    <d v="2024-04-20T00:00:00"/>
    <s v="CUST-0018"/>
    <x v="32"/>
    <s v="R022"/>
    <n v="5"/>
    <n v="3640"/>
    <n v="17.5"/>
    <n v="15015"/>
    <s v="Completed"/>
    <x v="0"/>
    <s v="Apparel"/>
    <s v="SMB"/>
    <n v="54"/>
    <x v="3"/>
    <n v="2611"/>
  </r>
  <r>
    <s v="ORD-01404"/>
    <d v="2024-01-11T00:00:00"/>
    <s v="CUST-0204"/>
    <x v="56"/>
    <s v="R002"/>
    <n v="4"/>
    <n v="3780"/>
    <n v="9"/>
    <n v="13759.2"/>
    <s v="Pending"/>
    <x v="5"/>
    <s v="Sports"/>
    <s v="Retail"/>
    <n v="60"/>
    <x v="0"/>
    <n v="1860"/>
  </r>
  <r>
    <s v="ORD-01405"/>
    <d v="2024-08-22T00:00:00"/>
    <s v="CUST-0028"/>
    <x v="20"/>
    <s v="R025"/>
    <n v="9"/>
    <n v="2720"/>
    <n v="8.9"/>
    <n v="22301.279999999999"/>
    <s v="Completed"/>
    <x v="4"/>
    <s v="Apparel"/>
    <s v="Retail"/>
    <n v="59"/>
    <x v="2"/>
    <n v="1962"/>
  </r>
  <r>
    <s v="ORD-01406"/>
    <d v="2024-12-22T00:00:00"/>
    <s v="CUST-0144"/>
    <x v="0"/>
    <s v="R004"/>
    <n v="4"/>
    <n v="3620"/>
    <n v="8"/>
    <n v="13321.6"/>
    <s v="Pending"/>
    <x v="1"/>
    <s v="Apparel"/>
    <s v="Retail"/>
    <n v="49"/>
    <x v="0"/>
    <n v="2509"/>
  </r>
  <r>
    <s v="ORD-01407"/>
    <d v="2024-02-03T00:00:00"/>
    <s v="CUST-0043"/>
    <x v="55"/>
    <s v="R004"/>
    <n v="1"/>
    <n v="3450"/>
    <n v="0.2"/>
    <n v="3443.1"/>
    <s v="Completed"/>
    <x v="5"/>
    <s v="Apparel"/>
    <s v="Retail"/>
    <n v="61"/>
    <x v="0"/>
    <n v="1748"/>
  </r>
  <r>
    <s v="ORD-01408"/>
    <d v="2024-12-14T00:00:00"/>
    <s v="CUST-0246"/>
    <x v="32"/>
    <s v="R014"/>
    <n v="7"/>
    <n v="3640"/>
    <n v="4.5999999999999996"/>
    <n v="24307.919999999998"/>
    <s v="Completed"/>
    <x v="2"/>
    <s v="Apparel"/>
    <s v="SMB"/>
    <n v="29"/>
    <x v="1"/>
    <n v="2611"/>
  </r>
  <r>
    <s v="ORD-01409"/>
    <d v="2024-05-11T00:00:00"/>
    <s v="CUST-0156"/>
    <x v="43"/>
    <s v="R023"/>
    <n v="9"/>
    <n v="620"/>
    <n v="8.5"/>
    <n v="5105.7"/>
    <s v="Completed"/>
    <x v="3"/>
    <s v="Apparel"/>
    <s v="Retail"/>
    <n v="33"/>
    <x v="3"/>
    <n v="396"/>
  </r>
  <r>
    <s v="ORD-01410"/>
    <d v="2024-05-11T00:00:00"/>
    <s v="CUST-0066"/>
    <x v="56"/>
    <s v="R016"/>
    <n v="10"/>
    <n v="3780"/>
    <n v="5.8"/>
    <n v="35607.599999999999"/>
    <s v="Completed"/>
    <x v="2"/>
    <s v="Sports"/>
    <s v="Retail"/>
    <n v="24"/>
    <x v="1"/>
    <n v="1860"/>
  </r>
  <r>
    <s v="ORD-01411"/>
    <d v="2024-08-14T00:00:00"/>
    <s v="CUST-0121"/>
    <x v="25"/>
    <s v="R009"/>
    <n v="7"/>
    <n v="3570"/>
    <n v="26.1"/>
    <n v="18467.61"/>
    <s v="Completed"/>
    <x v="2"/>
    <s v="Electronics"/>
    <s v="SMB"/>
    <n v="55"/>
    <x v="1"/>
    <n v="1665"/>
  </r>
  <r>
    <s v="ORD-01412"/>
    <d v="2024-01-15T00:00:00"/>
    <s v="CUST-0066"/>
    <x v="21"/>
    <s v="R002"/>
    <n v="2"/>
    <n v="1650"/>
    <n v="3.8"/>
    <n v="3174.6"/>
    <s v="Completed"/>
    <x v="2"/>
    <s v="Beauty"/>
    <s v="Retail"/>
    <n v="24"/>
    <x v="0"/>
    <n v="1222"/>
  </r>
  <r>
    <s v="ORD-01413"/>
    <d v="2024-02-24T00:00:00"/>
    <s v="CUST-0099"/>
    <x v="51"/>
    <s v="R012"/>
    <n v="2"/>
    <n v="960"/>
    <n v="6.8"/>
    <n v="1789.44"/>
    <s v="Completed"/>
    <x v="4"/>
    <s v="Beauty"/>
    <s v="SMB"/>
    <n v="54"/>
    <x v="1"/>
    <n v="675"/>
  </r>
  <r>
    <s v="ORD-01414"/>
    <d v="2024-03-25T00:00:00"/>
    <s v="CUST-0054"/>
    <x v="42"/>
    <s v="R006"/>
    <n v="2"/>
    <n v="300"/>
    <n v="2.8"/>
    <n v="583.20000000000005"/>
    <s v="Completed"/>
    <x v="3"/>
    <s v="Electronics"/>
    <s v="Corporate"/>
    <n v="62"/>
    <x v="0"/>
    <n v="128"/>
  </r>
  <r>
    <s v="ORD-01415"/>
    <d v="2024-09-26T00:00:00"/>
    <s v="CUST-0124"/>
    <x v="46"/>
    <s v="R027"/>
    <n v="10"/>
    <n v="4060"/>
    <n v="15.1"/>
    <n v="34469.4"/>
    <s v="Completed"/>
    <x v="0"/>
    <s v="Grocery"/>
    <s v="Retail"/>
    <n v="57"/>
    <x v="2"/>
    <n v="2911"/>
  </r>
  <r>
    <s v="ORD-01416"/>
    <d v="2024-01-29T00:00:00"/>
    <s v="CUST-0211"/>
    <x v="49"/>
    <s v="R022"/>
    <n v="6"/>
    <n v="5330"/>
    <n v="2"/>
    <n v="31340.400000000001"/>
    <s v="Completed"/>
    <x v="4"/>
    <s v="Electronics"/>
    <s v="Retail"/>
    <n v="36"/>
    <x v="3"/>
    <n v="2405"/>
  </r>
  <r>
    <s v="ORD-01417"/>
    <d v="2024-10-07T00:00:00"/>
    <s v="CUST-0298"/>
    <x v="30"/>
    <s v="R021"/>
    <n v="9"/>
    <n v="3730"/>
    <n v="24.5"/>
    <n v="25345.35"/>
    <s v="Refunded"/>
    <x v="2"/>
    <s v="Home"/>
    <s v="Retail"/>
    <n v="44"/>
    <x v="3"/>
    <n v="2135"/>
  </r>
  <r>
    <s v="ORD-01418"/>
    <d v="2024-11-15T00:00:00"/>
    <s v="CUST-0164"/>
    <x v="33"/>
    <s v="R030"/>
    <n v="1"/>
    <n v="6080"/>
    <n v="4.4000000000000004"/>
    <n v="5812.48"/>
    <s v="Cancelled"/>
    <x v="1"/>
    <s v="Beauty"/>
    <s v="Retail"/>
    <n v="60"/>
    <x v="2"/>
    <n v="2617"/>
  </r>
  <r>
    <s v="ORD-01419"/>
    <d v="2024-08-20T00:00:00"/>
    <s v="CUST-0003"/>
    <x v="20"/>
    <s v="R025"/>
    <n v="5"/>
    <n v="2720"/>
    <n v="9.1999999999999993"/>
    <n v="12348.8"/>
    <s v="Completed"/>
    <x v="3"/>
    <s v="Apparel"/>
    <s v="Retail"/>
    <n v="33"/>
    <x v="2"/>
    <n v="1962"/>
  </r>
  <r>
    <s v="ORD-01420"/>
    <d v="2024-05-26T00:00:00"/>
    <s v="CUST-0239"/>
    <x v="55"/>
    <s v="R023"/>
    <n v="1"/>
    <n v="3450"/>
    <n v="15.6"/>
    <n v="2911.8"/>
    <s v="Completed"/>
    <x v="3"/>
    <s v="Apparel"/>
    <s v="Retail"/>
    <n v="61"/>
    <x v="3"/>
    <n v="1748"/>
  </r>
  <r>
    <s v="ORD-01421"/>
    <d v="2024-07-11T00:00:00"/>
    <s v="CUST-0116"/>
    <x v="57"/>
    <s v="R022"/>
    <n v="2"/>
    <n v="1090"/>
    <n v="0.4"/>
    <n v="2171.2800000000002"/>
    <s v="Refunded"/>
    <x v="4"/>
    <s v="Home"/>
    <s v="Retail"/>
    <n v="53"/>
    <x v="3"/>
    <n v="464"/>
  </r>
  <r>
    <s v="ORD-01422"/>
    <d v="2024-12-17T00:00:00"/>
    <s v="CUST-0232"/>
    <x v="25"/>
    <s v="R017"/>
    <n v="2"/>
    <n v="3570"/>
    <n v="9"/>
    <n v="6497.4"/>
    <s v="Completed"/>
    <x v="5"/>
    <s v="Electronics"/>
    <s v="Retail"/>
    <n v="38"/>
    <x v="3"/>
    <n v="1665"/>
  </r>
  <r>
    <s v="ORD-01423"/>
    <d v="2024-05-25T00:00:00"/>
    <s v="CUST-0121"/>
    <x v="19"/>
    <s v="R014"/>
    <n v="9"/>
    <n v="2480"/>
    <n v="3.6"/>
    <n v="21516.48"/>
    <s v="Pending"/>
    <x v="2"/>
    <s v="Apparel"/>
    <s v="SMB"/>
    <n v="55"/>
    <x v="1"/>
    <n v="1173"/>
  </r>
  <r>
    <s v="ORD-01424"/>
    <d v="2024-01-12T00:00:00"/>
    <s v="CUST-0178"/>
    <x v="31"/>
    <s v="R022"/>
    <n v="9"/>
    <n v="3780"/>
    <n v="4.5"/>
    <n v="32489.1"/>
    <s v="Completed"/>
    <x v="5"/>
    <s v="Grocery"/>
    <s v="Retail"/>
    <n v="25"/>
    <x v="3"/>
    <n v="2436"/>
  </r>
  <r>
    <s v="ORD-01425"/>
    <d v="2024-12-05T00:00:00"/>
    <s v="CUST-0131"/>
    <x v="46"/>
    <s v="R010"/>
    <n v="5"/>
    <n v="4060"/>
    <n v="2.7"/>
    <n v="19751.900000000001"/>
    <s v="Completed"/>
    <x v="2"/>
    <s v="Grocery"/>
    <s v="SMB"/>
    <n v="28"/>
    <x v="1"/>
    <n v="2911"/>
  </r>
  <r>
    <s v="ORD-01426"/>
    <d v="2024-09-29T00:00:00"/>
    <s v="CUST-0155"/>
    <x v="42"/>
    <s v="R002"/>
    <n v="8"/>
    <n v="300"/>
    <n v="19.8"/>
    <n v="1924.8"/>
    <s v="Cancelled"/>
    <x v="0"/>
    <s v="Electronics"/>
    <s v="Corporate"/>
    <n v="40"/>
    <x v="0"/>
    <n v="128"/>
  </r>
  <r>
    <s v="ORD-01427"/>
    <d v="2024-06-11T00:00:00"/>
    <s v="CUST-0170"/>
    <x v="13"/>
    <s v="R002"/>
    <n v="10"/>
    <n v="3250"/>
    <n v="21.3"/>
    <n v="25577.5"/>
    <s v="Cancelled"/>
    <x v="3"/>
    <s v="Home"/>
    <s v="SMB"/>
    <n v="22"/>
    <x v="0"/>
    <n v="1556"/>
  </r>
  <r>
    <s v="ORD-01428"/>
    <d v="2024-11-20T00:00:00"/>
    <s v="CUST-0180"/>
    <x v="27"/>
    <s v="R009"/>
    <n v="2"/>
    <n v="2860"/>
    <n v="13.7"/>
    <n v="4936.3599999999997"/>
    <s v="Completed"/>
    <x v="1"/>
    <s v="Sports"/>
    <s v="Retail"/>
    <n v="36"/>
    <x v="1"/>
    <n v="2028"/>
  </r>
  <r>
    <s v="ORD-01429"/>
    <d v="2024-08-19T00:00:00"/>
    <s v="CUST-0066"/>
    <x v="38"/>
    <s v="R017"/>
    <n v="10"/>
    <n v="1220"/>
    <n v="15.4"/>
    <n v="10321.200000000001"/>
    <s v="Completed"/>
    <x v="2"/>
    <s v="Electronics"/>
    <s v="Retail"/>
    <n v="24"/>
    <x v="3"/>
    <n v="517"/>
  </r>
  <r>
    <s v="ORD-01430"/>
    <d v="2024-05-27T00:00:00"/>
    <s v="CUST-0267"/>
    <x v="31"/>
    <s v="R010"/>
    <n v="3"/>
    <n v="3780"/>
    <n v="1.9"/>
    <n v="11124.54"/>
    <s v="Completed"/>
    <x v="5"/>
    <s v="Grocery"/>
    <s v="Retail"/>
    <n v="27"/>
    <x v="1"/>
    <n v="2436"/>
  </r>
  <r>
    <s v="ORD-01431"/>
    <d v="2024-10-14T00:00:00"/>
    <s v="CUST-0034"/>
    <x v="8"/>
    <s v="R018"/>
    <n v="6"/>
    <n v="5490"/>
    <n v="0.5"/>
    <n v="32775.300000000003"/>
    <s v="Pending"/>
    <x v="2"/>
    <s v="Home"/>
    <s v="Retail"/>
    <n v="47"/>
    <x v="3"/>
    <n v="2549"/>
  </r>
  <r>
    <s v="ORD-01432"/>
    <d v="2024-07-22T00:00:00"/>
    <s v="CUST-0029"/>
    <x v="34"/>
    <s v="R029"/>
    <n v="6"/>
    <n v="2270"/>
    <n v="21.5"/>
    <n v="10691.7"/>
    <s v="Completed"/>
    <x v="1"/>
    <s v="Grocery"/>
    <s v="Corporate"/>
    <n v="54"/>
    <x v="2"/>
    <n v="1412"/>
  </r>
  <r>
    <s v="ORD-01433"/>
    <d v="2024-11-04T00:00:00"/>
    <s v="CUST-0224"/>
    <x v="45"/>
    <s v="R023"/>
    <n v="7"/>
    <n v="2210"/>
    <n v="10.3"/>
    <n v="13876.59"/>
    <s v="Completed"/>
    <x v="1"/>
    <s v="Grocery"/>
    <s v="Corporate"/>
    <n v="24"/>
    <x v="3"/>
    <n v="1010"/>
  </r>
  <r>
    <s v="ORD-01434"/>
    <d v="2024-11-09T00:00:00"/>
    <s v="CUST-9889"/>
    <x v="57"/>
    <s v="R009"/>
    <n v="8"/>
    <n v="1090"/>
    <n v="21.7"/>
    <n v="6827.76"/>
    <s v="Completed"/>
    <x v="0"/>
    <s v="Home"/>
    <e v="#N/A"/>
    <e v="#N/A"/>
    <x v="1"/>
    <n v="464"/>
  </r>
  <r>
    <s v="ORD-01435"/>
    <d v="2024-11-02T00:00:00"/>
    <s v="CUST-0130"/>
    <x v="59"/>
    <s v="R002"/>
    <n v="5"/>
    <n v="3560"/>
    <n v="19.399999999999999"/>
    <n v="14346.8"/>
    <s v="Pending"/>
    <x v="4"/>
    <s v="Apparel"/>
    <s v="Corporate"/>
    <n v="41"/>
    <x v="0"/>
    <n v="2629"/>
  </r>
  <r>
    <s v="ORD-01436"/>
    <d v="2024-06-09T00:00:00"/>
    <s v="CUST-0060"/>
    <x v="23"/>
    <s v="R028"/>
    <n v="7"/>
    <n v="1010"/>
    <n v="28.2"/>
    <n v="5076.26"/>
    <s v="Completed"/>
    <x v="0"/>
    <s v="Sports"/>
    <s v="Retail"/>
    <n v="39"/>
    <x v="2"/>
    <n v="516"/>
  </r>
  <r>
    <s v="ORD-01437"/>
    <d v="2024-06-27T00:00:00"/>
    <s v="CUST-0299"/>
    <x v="44"/>
    <s v="R015"/>
    <n v="2"/>
    <n v="2030"/>
    <n v="27.3"/>
    <n v="2951.62"/>
    <s v="Refunded"/>
    <x v="3"/>
    <s v="Home"/>
    <s v="Corporate"/>
    <n v="51"/>
    <x v="1"/>
    <n v="1143"/>
  </r>
  <r>
    <s v="ORD-01438"/>
    <d v="2024-02-28T00:00:00"/>
    <s v="CUST-0013"/>
    <x v="49"/>
    <s v="R012"/>
    <n v="6"/>
    <n v="5330"/>
    <n v="0.6"/>
    <n v="31788.12"/>
    <s v="Completed"/>
    <x v="2"/>
    <s v="Electronics"/>
    <s v="Retail"/>
    <n v="41"/>
    <x v="1"/>
    <n v="2405"/>
  </r>
  <r>
    <s v="ORD-01439"/>
    <d v="2024-08-10T00:00:00"/>
    <s v="CUST-0193"/>
    <x v="11"/>
    <s v="R007"/>
    <n v="2"/>
    <n v="2640"/>
    <n v="26"/>
    <n v="3907.2"/>
    <s v="Pending"/>
    <x v="4"/>
    <s v="Electronics"/>
    <s v="Retail"/>
    <n v="42"/>
    <x v="0"/>
    <n v="1149"/>
  </r>
  <r>
    <s v="ORD-01440"/>
    <d v="2024-06-04T00:00:00"/>
    <s v="CUST-0170"/>
    <x v="41"/>
    <s v="R012"/>
    <n v="8"/>
    <n v="2660"/>
    <n v="2.9"/>
    <n v="20662.88"/>
    <s v="Completed"/>
    <x v="3"/>
    <s v="Electronics"/>
    <s v="SMB"/>
    <n v="22"/>
    <x v="1"/>
    <n v="1259"/>
  </r>
  <r>
    <s v="ORD-01441"/>
    <d v="2024-04-08T00:00:00"/>
    <s v="CUST-0063"/>
    <x v="13"/>
    <s v="R023"/>
    <n v="6"/>
    <n v="3250"/>
    <n v="11.1"/>
    <n v="17335.5"/>
    <s v="Completed"/>
    <x v="3"/>
    <s v="Home"/>
    <s v="SMB"/>
    <n v="53"/>
    <x v="3"/>
    <n v="1556"/>
  </r>
  <r>
    <s v="ORD-01442"/>
    <d v="2024-01-16T00:00:00"/>
    <s v="CUST-0168"/>
    <x v="45"/>
    <s v="R004"/>
    <n v="1"/>
    <n v="2210"/>
    <n v="3.5"/>
    <n v="2132.65"/>
    <s v="Completed"/>
    <x v="0"/>
    <s v="Grocery"/>
    <s v="Retail"/>
    <n v="25"/>
    <x v="0"/>
    <n v="1010"/>
  </r>
  <r>
    <s v="ORD-01443"/>
    <d v="2024-05-20T00:00:00"/>
    <s v="CUST-0124"/>
    <x v="5"/>
    <s v="R019"/>
    <n v="9"/>
    <n v="370"/>
    <n v="12.4"/>
    <n v="2917.08"/>
    <s v="Completed"/>
    <x v="0"/>
    <s v="Home"/>
    <s v="Retail"/>
    <n v="57"/>
    <x v="3"/>
    <n v="288"/>
  </r>
  <r>
    <s v="ORD-01444"/>
    <d v="2024-06-10T00:00:00"/>
    <s v="CUST-0138"/>
    <x v="56"/>
    <s v="R022"/>
    <n v="3"/>
    <n v="3780"/>
    <n v="8.5"/>
    <n v="10376.1"/>
    <s v="Pending"/>
    <x v="1"/>
    <s v="Sports"/>
    <s v="Retail"/>
    <n v="24"/>
    <x v="3"/>
    <n v="1860"/>
  </r>
  <r>
    <s v="ORD-01445"/>
    <d v="2024-04-15T00:00:00"/>
    <s v="CUST-0146"/>
    <x v="23"/>
    <s v="R002"/>
    <n v="2"/>
    <n v="1010"/>
    <n v="2.7"/>
    <n v="1965.46"/>
    <s v="Completed"/>
    <x v="5"/>
    <s v="Sports"/>
    <s v="Retail"/>
    <n v="22"/>
    <x v="0"/>
    <n v="516"/>
  </r>
  <r>
    <s v="ORD-01446"/>
    <d v="2024-12-13T00:00:00"/>
    <s v="CUST-0244"/>
    <x v="1"/>
    <s v="R012"/>
    <n v="2"/>
    <n v="820"/>
    <n v="13.2"/>
    <n v="1423.52"/>
    <s v="Pending"/>
    <x v="4"/>
    <s v="Apparel"/>
    <s v="Retail"/>
    <n v="61"/>
    <x v="1"/>
    <n v="391"/>
  </r>
  <r>
    <s v="ORD-01447"/>
    <d v="2024-07-09T00:00:00"/>
    <s v="CUST-0291"/>
    <x v="3"/>
    <s v="R012"/>
    <n v="1"/>
    <n v="3660"/>
    <n v="14"/>
    <n v="3147.6"/>
    <s v="Refunded"/>
    <x v="0"/>
    <s v="Grocery"/>
    <s v="SMB"/>
    <n v="29"/>
    <x v="1"/>
    <n v="2214"/>
  </r>
  <r>
    <s v="ORD-01448"/>
    <d v="2024-06-04T00:00:00"/>
    <s v="CUST-0222"/>
    <x v="34"/>
    <s v="R017"/>
    <n v="6"/>
    <n v="2270"/>
    <n v="16"/>
    <n v="11440.8"/>
    <s v="Completed"/>
    <x v="1"/>
    <s v="Grocery"/>
    <s v="Retail"/>
    <n v="37"/>
    <x v="3"/>
    <n v="1412"/>
  </r>
  <r>
    <s v="ORD-01449"/>
    <d v="2024-11-02T00:00:00"/>
    <s v="CUST-0137"/>
    <x v="51"/>
    <s v="R019"/>
    <n v="7"/>
    <n v="960"/>
    <n v="28.8"/>
    <n v="4784.6400000000003"/>
    <s v="Refunded"/>
    <x v="3"/>
    <s v="Beauty"/>
    <s v="Retail"/>
    <n v="41"/>
    <x v="3"/>
    <n v="675"/>
  </r>
  <r>
    <s v="ORD-01450"/>
    <d v="2024-12-19T00:00:00"/>
    <s v="CUST-0150"/>
    <x v="44"/>
    <s v="R025"/>
    <n v="9"/>
    <n v="2030"/>
    <n v="3.4"/>
    <n v="17648.82"/>
    <s v="Completed"/>
    <x v="0"/>
    <s v="Home"/>
    <s v="SMB"/>
    <n v="53"/>
    <x v="2"/>
    <n v="1143"/>
  </r>
  <r>
    <s v="ORD-01451"/>
    <d v="2024-01-08T00:00:00"/>
    <s v="CUST-0058"/>
    <x v="50"/>
    <s v="R005"/>
    <n v="6"/>
    <n v="2380"/>
    <n v="13.2"/>
    <n v="12395.04"/>
    <s v="Completed"/>
    <x v="4"/>
    <s v="Grocery"/>
    <s v="SMB"/>
    <n v="49"/>
    <x v="0"/>
    <n v="1182"/>
  </r>
  <r>
    <s v="ORD-01452"/>
    <d v="2024-01-17T00:00:00"/>
    <s v="CUST-0187"/>
    <x v="16"/>
    <s v="R009"/>
    <n v="10"/>
    <n v="3450"/>
    <n v="8.6999999999999993"/>
    <n v="31498.5"/>
    <s v="Completed"/>
    <x v="1"/>
    <s v="Beauty"/>
    <s v="SMB"/>
    <n v="51"/>
    <x v="1"/>
    <n v="2420"/>
  </r>
  <r>
    <s v="ORD-01453"/>
    <d v="2024-07-14T00:00:00"/>
    <s v="CUST-0116"/>
    <x v="51"/>
    <s v="R021"/>
    <n v="6"/>
    <n v="960"/>
    <n v="20.6"/>
    <n v="4573.4399999999996"/>
    <s v="Pending"/>
    <x v="4"/>
    <s v="Beauty"/>
    <s v="Retail"/>
    <n v="53"/>
    <x v="3"/>
    <n v="675"/>
  </r>
  <r>
    <s v="ORD-01454"/>
    <d v="2024-02-19T00:00:00"/>
    <s v="CUST-0290"/>
    <x v="59"/>
    <s v="R013"/>
    <n v="10"/>
    <n v="3560"/>
    <n v="1.4"/>
    <n v="35101.599999999999"/>
    <s v="Pending"/>
    <x v="2"/>
    <s v="Apparel"/>
    <s v="Retail"/>
    <n v="63"/>
    <x v="1"/>
    <n v="2629"/>
  </r>
  <r>
    <s v="ORD-01455"/>
    <d v="2024-03-03T00:00:00"/>
    <s v="CUST-0053"/>
    <x v="20"/>
    <s v="R014"/>
    <n v="4"/>
    <n v="2720"/>
    <n v="19.399999999999999"/>
    <n v="8769.2800000000007"/>
    <s v="Refunded"/>
    <x v="2"/>
    <s v="Apparel"/>
    <s v="Retail"/>
    <n v="53"/>
    <x v="1"/>
    <n v="1962"/>
  </r>
  <r>
    <s v="ORD-01456"/>
    <d v="2024-06-15T00:00:00"/>
    <s v="CUST-0044"/>
    <x v="38"/>
    <s v="R029"/>
    <n v="5"/>
    <n v="1220"/>
    <n v="15.6"/>
    <n v="5148.3999999999996"/>
    <s v="Completed"/>
    <x v="5"/>
    <s v="Electronics"/>
    <s v="SMB"/>
    <n v="29"/>
    <x v="2"/>
    <n v="517"/>
  </r>
  <r>
    <s v="ORD-01457"/>
    <d v="2024-03-13T00:00:00"/>
    <s v="CUST-0267"/>
    <x v="57"/>
    <s v="R026"/>
    <n v="5"/>
    <n v="1090"/>
    <n v="15"/>
    <n v="4632.5"/>
    <s v="Completed"/>
    <x v="5"/>
    <s v="Home"/>
    <s v="Retail"/>
    <n v="27"/>
    <x v="2"/>
    <n v="464"/>
  </r>
  <r>
    <s v="ORD-01458"/>
    <d v="2024-11-22T00:00:00"/>
    <s v="CUST-0179"/>
    <x v="5"/>
    <s v="R029"/>
    <n v="9"/>
    <n v="370"/>
    <n v="25.4"/>
    <n v="2484.1799999999998"/>
    <s v="Completed"/>
    <x v="3"/>
    <s v="Home"/>
    <s v="SMB"/>
    <n v="54"/>
    <x v="2"/>
    <n v="288"/>
  </r>
  <r>
    <s v="ORD-01459"/>
    <d v="2024-06-13T00:00:00"/>
    <s v="CUST-0089"/>
    <x v="27"/>
    <s v="R007"/>
    <n v="7"/>
    <n v="2860"/>
    <n v="14"/>
    <n v="17217.2"/>
    <s v="Completed"/>
    <x v="3"/>
    <s v="Sports"/>
    <s v="SMB"/>
    <n v="43"/>
    <x v="0"/>
    <n v="2028"/>
  </r>
  <r>
    <s v="ORD-01460"/>
    <d v="2024-07-17T00:00:00"/>
    <s v="CUST-0090"/>
    <x v="45"/>
    <s v="R026"/>
    <n v="1"/>
    <n v="2210"/>
    <n v="1.7"/>
    <n v="2172.4299999999998"/>
    <s v="Completed"/>
    <x v="4"/>
    <s v="Grocery"/>
    <s v="Corporate"/>
    <n v="26"/>
    <x v="2"/>
    <n v="1010"/>
  </r>
  <r>
    <s v="ORD-01461"/>
    <d v="2024-10-19T00:00:00"/>
    <s v="CUST-0135"/>
    <x v="9"/>
    <s v="R025"/>
    <n v="3"/>
    <n v="970"/>
    <n v="20.3"/>
    <n v="2319.27"/>
    <s v="Pending"/>
    <x v="0"/>
    <s v="Grocery"/>
    <s v="SMB"/>
    <n v="24"/>
    <x v="2"/>
    <n v="434"/>
  </r>
  <r>
    <s v="ORD-01462"/>
    <d v="2024-07-03T00:00:00"/>
    <s v="CUST-0252"/>
    <x v="59"/>
    <s v="R021"/>
    <n v="5"/>
    <n v="3560"/>
    <n v="17.100000000000001"/>
    <n v="14756.2"/>
    <s v="Completed"/>
    <x v="4"/>
    <s v="Apparel"/>
    <s v="Retail"/>
    <n v="27"/>
    <x v="3"/>
    <n v="2629"/>
  </r>
  <r>
    <s v="ORD-01463"/>
    <d v="2024-04-05T00:00:00"/>
    <s v="CUST-0086"/>
    <x v="18"/>
    <s v="R023"/>
    <n v="10"/>
    <n v="1080"/>
    <n v="12.8"/>
    <n v="9417.6"/>
    <s v="Completed"/>
    <x v="5"/>
    <s v="Home"/>
    <s v="Corporate"/>
    <n v="56"/>
    <x v="3"/>
    <n v="519"/>
  </r>
  <r>
    <s v="ORD-01464"/>
    <d v="2024-02-02T00:00:00"/>
    <s v="CUST-0264"/>
    <x v="38"/>
    <s v="R011"/>
    <n v="3"/>
    <n v="1220"/>
    <n v="1.9"/>
    <n v="3590.46"/>
    <s v="Completed"/>
    <x v="0"/>
    <s v="Electronics"/>
    <s v="Retail"/>
    <n v="59"/>
    <x v="1"/>
    <n v="517"/>
  </r>
  <r>
    <s v="ORD-01465"/>
    <d v="2024-07-06T00:00:00"/>
    <s v="CUST-9851"/>
    <x v="30"/>
    <s v="R009"/>
    <n v="1"/>
    <n v="3730"/>
    <n v="14.7"/>
    <n v="3181.69"/>
    <s v="Pending"/>
    <x v="0"/>
    <s v="Home"/>
    <e v="#N/A"/>
    <e v="#N/A"/>
    <x v="1"/>
    <n v="2135"/>
  </r>
  <r>
    <s v="ORD-01466"/>
    <d v="2024-12-02T00:00:00"/>
    <s v="CUST-0143"/>
    <x v="7"/>
    <s v="R001"/>
    <n v="3"/>
    <n v="1430"/>
    <n v="13.2"/>
    <n v="3723.72"/>
    <s v="Completed"/>
    <x v="1"/>
    <s v="Electronics"/>
    <s v="SMB"/>
    <n v="52"/>
    <x v="0"/>
    <n v="861"/>
  </r>
  <r>
    <s v="ORD-01467"/>
    <d v="2024-05-01T00:00:00"/>
    <s v="CUST-0086"/>
    <x v="33"/>
    <s v="R018"/>
    <n v="2"/>
    <n v="6080"/>
    <n v="21.8"/>
    <n v="9509.1200000000008"/>
    <s v="Cancelled"/>
    <x v="5"/>
    <s v="Beauty"/>
    <s v="Corporate"/>
    <n v="56"/>
    <x v="3"/>
    <n v="2617"/>
  </r>
  <r>
    <s v="ORD-01468"/>
    <d v="2024-02-21T00:00:00"/>
    <s v="CUST-0196"/>
    <x v="26"/>
    <s v="R015"/>
    <n v="9"/>
    <n v="5100"/>
    <n v="29.3"/>
    <n v="32451.3"/>
    <s v="Completed"/>
    <x v="1"/>
    <s v="Beauty"/>
    <s v="Retail"/>
    <n v="26"/>
    <x v="1"/>
    <n v="2237"/>
  </r>
  <r>
    <s v="ORD-01469"/>
    <d v="2024-05-12T00:00:00"/>
    <s v="CUST-0089"/>
    <x v="55"/>
    <s v="R014"/>
    <n v="5"/>
    <n v="3450"/>
    <n v="5.3"/>
    <n v="16335.75"/>
    <s v="Completed"/>
    <x v="3"/>
    <s v="Apparel"/>
    <s v="SMB"/>
    <n v="43"/>
    <x v="1"/>
    <n v="1748"/>
  </r>
  <r>
    <s v="ORD-01470"/>
    <d v="2024-12-06T00:00:00"/>
    <s v="CUST-0149"/>
    <x v="25"/>
    <s v="R002"/>
    <n v="6"/>
    <n v="3570"/>
    <n v="17.3"/>
    <n v="17714.34"/>
    <s v="Completed"/>
    <x v="5"/>
    <s v="Electronics"/>
    <s v="Retail"/>
    <n v="44"/>
    <x v="0"/>
    <n v="1665"/>
  </r>
  <r>
    <s v="ORD-01471"/>
    <d v="2024-06-01T00:00:00"/>
    <s v="CUST-0161"/>
    <x v="30"/>
    <s v="R018"/>
    <n v="6"/>
    <n v="3730"/>
    <n v="1"/>
    <n v="22156.2"/>
    <s v="Completed"/>
    <x v="1"/>
    <s v="Home"/>
    <s v="Retail"/>
    <n v="38"/>
    <x v="3"/>
    <n v="2135"/>
  </r>
  <r>
    <s v="ORD-01472"/>
    <d v="2024-09-10T00:00:00"/>
    <s v="CUST-0022"/>
    <x v="56"/>
    <s v="R019"/>
    <n v="4"/>
    <n v="3780"/>
    <n v="13.1"/>
    <n v="13139.28"/>
    <s v="Completed"/>
    <x v="4"/>
    <s v="Sports"/>
    <s v="Corporate"/>
    <n v="55"/>
    <x v="3"/>
    <n v="1860"/>
  </r>
  <r>
    <s v="ORD-01473"/>
    <d v="2024-08-07T00:00:00"/>
    <s v="CUST-0169"/>
    <x v="47"/>
    <s v="R011"/>
    <n v="1"/>
    <n v="2510"/>
    <n v="27.8"/>
    <n v="1812.22"/>
    <s v="Cancelled"/>
    <x v="4"/>
    <s v="Apparel"/>
    <s v="SMB"/>
    <n v="42"/>
    <x v="1"/>
    <n v="1075"/>
  </r>
  <r>
    <s v="ORD-01474"/>
    <d v="2024-10-12T00:00:00"/>
    <s v="CUST-0290"/>
    <x v="29"/>
    <s v="R007"/>
    <n v="9"/>
    <n v="660"/>
    <n v="29.3"/>
    <n v="4199.58"/>
    <s v="Completed"/>
    <x v="2"/>
    <s v="Home"/>
    <s v="Retail"/>
    <n v="63"/>
    <x v="0"/>
    <n v="329"/>
  </r>
  <r>
    <s v="ORD-01475"/>
    <d v="2024-08-03T00:00:00"/>
    <s v="CUST-0156"/>
    <x v="32"/>
    <s v="R030"/>
    <n v="7"/>
    <n v="3640"/>
    <n v="11.6"/>
    <n v="22524.32"/>
    <s v="Completed"/>
    <x v="3"/>
    <s v="Apparel"/>
    <s v="Retail"/>
    <n v="33"/>
    <x v="2"/>
    <n v="2611"/>
  </r>
  <r>
    <s v="ORD-01476"/>
    <d v="2024-05-03T00:00:00"/>
    <s v="CUST-0005"/>
    <x v="48"/>
    <s v="R019"/>
    <n v="8"/>
    <n v="5410"/>
    <n v="25.6"/>
    <n v="32200.32"/>
    <s v="Completed"/>
    <x v="1"/>
    <s v="Sports"/>
    <s v="Corporate"/>
    <n v="52"/>
    <x v="3"/>
    <n v="2265"/>
  </r>
  <r>
    <s v="ORD-01477"/>
    <d v="2024-02-20T00:00:00"/>
    <s v="CUST-0206"/>
    <x v="15"/>
    <s v="R008"/>
    <n v="4"/>
    <n v="2400"/>
    <n v="10.4"/>
    <n v="8601.6"/>
    <s v="Completed"/>
    <x v="3"/>
    <s v="Sports"/>
    <s v="Retail"/>
    <n v="40"/>
    <x v="0"/>
    <n v="974"/>
  </r>
  <r>
    <s v="ORD-01478"/>
    <d v="2024-02-11T00:00:00"/>
    <s v="CUST-0240"/>
    <x v="8"/>
    <s v="R028"/>
    <n v="2"/>
    <n v="5490"/>
    <n v="5.4"/>
    <n v="10387.08"/>
    <s v="Completed"/>
    <x v="1"/>
    <s v="Home"/>
    <s v="Corporate"/>
    <n v="35"/>
    <x v="2"/>
    <n v="2549"/>
  </r>
  <r>
    <s v="ORD-01479"/>
    <d v="2024-08-12T00:00:00"/>
    <s v="CUST-0109"/>
    <x v="36"/>
    <s v="R016"/>
    <n v="6"/>
    <n v="1540"/>
    <n v="0.6"/>
    <n v="9184.56"/>
    <s v="Completed"/>
    <x v="0"/>
    <s v="Beauty"/>
    <s v="Retail"/>
    <n v="42"/>
    <x v="1"/>
    <n v="647"/>
  </r>
  <r>
    <s v="ORD-01480"/>
    <d v="2024-02-21T00:00:00"/>
    <s v="CUST-0201"/>
    <x v="49"/>
    <s v="R001"/>
    <n v="3"/>
    <n v="5330"/>
    <n v="1"/>
    <n v="15830.1"/>
    <s v="Pending"/>
    <x v="5"/>
    <s v="Electronics"/>
    <s v="Retail"/>
    <n v="31"/>
    <x v="0"/>
    <n v="2405"/>
  </r>
  <r>
    <s v="ORD-01481"/>
    <d v="2024-08-18T00:00:00"/>
    <s v="CUST-0100"/>
    <x v="27"/>
    <s v="R012"/>
    <n v="6"/>
    <n v="2860"/>
    <n v="13.3"/>
    <n v="14877.72"/>
    <s v="Completed"/>
    <x v="5"/>
    <s v="Sports"/>
    <s v="Corporate"/>
    <n v="60"/>
    <x v="1"/>
    <n v="2028"/>
  </r>
  <r>
    <s v="ORD-01482"/>
    <d v="2024-01-14T00:00:00"/>
    <s v="CUST-0262"/>
    <x v="24"/>
    <s v="R006"/>
    <n v="3"/>
    <n v="4880"/>
    <n v="12.1"/>
    <n v="12868.56"/>
    <s v="Completed"/>
    <x v="3"/>
    <s v="Beauty"/>
    <s v="Retail"/>
    <n v="52"/>
    <x v="0"/>
    <n v="2768"/>
  </r>
  <r>
    <s v="ORD-01483"/>
    <d v="2024-03-02T00:00:00"/>
    <s v="CUST-0067"/>
    <x v="47"/>
    <s v="R005"/>
    <n v="5"/>
    <n v="2510"/>
    <n v="2.9"/>
    <n v="12186.05"/>
    <s v="Pending"/>
    <x v="2"/>
    <s v="Apparel"/>
    <s v="SMB"/>
    <n v="59"/>
    <x v="0"/>
    <n v="1075"/>
  </r>
  <r>
    <s v="ORD-01484"/>
    <d v="2024-08-21T00:00:00"/>
    <s v="CUST-9844"/>
    <x v="53"/>
    <s v="R020"/>
    <n v="9"/>
    <n v="3970"/>
    <n v="28"/>
    <n v="25725.599999999999"/>
    <s v="Completed"/>
    <x v="0"/>
    <s v="Electronics"/>
    <e v="#N/A"/>
    <e v="#N/A"/>
    <x v="3"/>
    <n v="2865"/>
  </r>
  <r>
    <s v="ORD-01485"/>
    <d v="2024-10-28T00:00:00"/>
    <s v="CUST-0122"/>
    <x v="2"/>
    <s v="R027"/>
    <n v="4"/>
    <n v="470"/>
    <n v="19.100000000000001"/>
    <n v="1520.92"/>
    <s v="Pending"/>
    <x v="3"/>
    <s v="Sports"/>
    <s v="Retail"/>
    <n v="44"/>
    <x v="2"/>
    <n v="302"/>
  </r>
  <r>
    <s v="ORD-01486"/>
    <d v="2024-09-15T00:00:00"/>
    <s v="CUST-0129"/>
    <x v="49"/>
    <s v="R025"/>
    <n v="7"/>
    <n v="5330"/>
    <n v="17.2"/>
    <n v="30892.68"/>
    <s v="Cancelled"/>
    <x v="5"/>
    <s v="Electronics"/>
    <s v="Retail"/>
    <n v="29"/>
    <x v="2"/>
    <n v="2405"/>
  </r>
  <r>
    <s v="ORD-01487"/>
    <d v="2024-08-07T00:00:00"/>
    <s v="CUST-0056"/>
    <x v="57"/>
    <s v="R012"/>
    <n v="4"/>
    <n v="1090"/>
    <n v="4.9000000000000004"/>
    <n v="4146.3599999999997"/>
    <s v="Cancelled"/>
    <x v="4"/>
    <s v="Home"/>
    <s v="SMB"/>
    <n v="46"/>
    <x v="1"/>
    <n v="464"/>
  </r>
  <r>
    <s v="ORD-01488"/>
    <d v="2024-06-13T00:00:00"/>
    <s v="CUST-0080"/>
    <x v="23"/>
    <s v="R009"/>
    <n v="2"/>
    <n v="1010"/>
    <n v="14"/>
    <n v="1737.2"/>
    <s v="Completed"/>
    <x v="0"/>
    <s v="Sports"/>
    <s v="SMB"/>
    <n v="30"/>
    <x v="1"/>
    <n v="516"/>
  </r>
  <r>
    <s v="ORD-01489"/>
    <d v="2024-02-21T00:00:00"/>
    <s v="CUST-0155"/>
    <x v="35"/>
    <s v="R016"/>
    <n v="9"/>
    <n v="3870"/>
    <n v="8.1999999999999993"/>
    <n v="31973.94"/>
    <s v="Completed"/>
    <x v="0"/>
    <s v="Electronics"/>
    <s v="Corporate"/>
    <n v="40"/>
    <x v="1"/>
    <n v="1559"/>
  </r>
  <r>
    <s v="ORD-01490"/>
    <d v="2024-07-18T00:00:00"/>
    <s v="CUST-0278"/>
    <x v="41"/>
    <s v="R013"/>
    <n v="7"/>
    <n v="2660"/>
    <n v="15.9"/>
    <n v="15659.42"/>
    <s v="Completed"/>
    <x v="5"/>
    <s v="Electronics"/>
    <s v="Retail"/>
    <n v="41"/>
    <x v="1"/>
    <n v="1259"/>
  </r>
  <r>
    <s v="ORD-01491"/>
    <d v="2024-11-23T00:00:00"/>
    <s v="CUST-0075"/>
    <x v="7"/>
    <s v="R019"/>
    <n v="4"/>
    <n v="1430"/>
    <n v="25.6"/>
    <n v="4255.68"/>
    <s v="Completed"/>
    <x v="3"/>
    <s v="Electronics"/>
    <s v="Corporate"/>
    <n v="55"/>
    <x v="3"/>
    <n v="861"/>
  </r>
  <r>
    <s v="ORD-01492"/>
    <d v="2024-03-23T00:00:00"/>
    <s v="CUST-0274"/>
    <x v="24"/>
    <s v="R023"/>
    <n v="4"/>
    <n v="4880"/>
    <n v="19.399999999999999"/>
    <n v="15733.12"/>
    <s v="Cancelled"/>
    <x v="4"/>
    <s v="Beauty"/>
    <s v="Corporate"/>
    <n v="36"/>
    <x v="3"/>
    <n v="2768"/>
  </r>
  <r>
    <s v="ORD-01493"/>
    <d v="2024-10-01T00:00:00"/>
    <s v="CUST-0197"/>
    <x v="14"/>
    <s v="R001"/>
    <n v="2"/>
    <n v="190"/>
    <n v="9"/>
    <n v="345.8"/>
    <s v="Completed"/>
    <x v="4"/>
    <s v="Sports"/>
    <s v="Retail"/>
    <n v="55"/>
    <x v="0"/>
    <n v="147"/>
  </r>
  <r>
    <s v="ORD-01494"/>
    <d v="2024-05-03T00:00:00"/>
    <s v="CUST-0294"/>
    <x v="40"/>
    <s v="R019"/>
    <n v="1"/>
    <n v="3020"/>
    <n v="3.6"/>
    <n v="2911.28"/>
    <s v="Refunded"/>
    <x v="2"/>
    <s v="Beauty"/>
    <s v="Corporate"/>
    <n v="31"/>
    <x v="3"/>
    <n v="1626"/>
  </r>
  <r>
    <s v="ORD-01495"/>
    <d v="2024-11-05T00:00:00"/>
    <s v="CUST-0281"/>
    <x v="24"/>
    <s v="R019"/>
    <n v="2"/>
    <n v="4880"/>
    <n v="2"/>
    <n v="9564.7999999999993"/>
    <s v="Cancelled"/>
    <x v="4"/>
    <s v="Beauty"/>
    <s v="Corporate"/>
    <n v="57"/>
    <x v="3"/>
    <n v="2768"/>
  </r>
  <r>
    <s v="ORD-01496"/>
    <d v="2024-01-28T00:00:00"/>
    <s v="CUST-0130"/>
    <x v="15"/>
    <s v="R027"/>
    <n v="4"/>
    <n v="2400"/>
    <n v="11.5"/>
    <n v="8496"/>
    <s v="Completed"/>
    <x v="4"/>
    <s v="Sports"/>
    <s v="Corporate"/>
    <n v="41"/>
    <x v="2"/>
    <n v="974"/>
  </r>
  <r>
    <s v="ORD-01497"/>
    <d v="2024-03-06T00:00:00"/>
    <s v="CUST-0097"/>
    <x v="33"/>
    <s v="R002"/>
    <n v="2"/>
    <n v="6080"/>
    <n v="0.5"/>
    <n v="12099.2"/>
    <s v="Cancelled"/>
    <x v="3"/>
    <s v="Beauty"/>
    <s v="Retail"/>
    <n v="65"/>
    <x v="0"/>
    <n v="2617"/>
  </r>
  <r>
    <s v="ORD-01498"/>
    <d v="2024-04-02T00:00:00"/>
    <s v="CUST-0148"/>
    <x v="50"/>
    <s v="R023"/>
    <n v="7"/>
    <n v="2380"/>
    <n v="12.3"/>
    <n v="14610.82"/>
    <s v="Completed"/>
    <x v="1"/>
    <s v="Grocery"/>
    <s v="Retail"/>
    <n v="32"/>
    <x v="3"/>
    <n v="1182"/>
  </r>
  <r>
    <s v="ORD-01499"/>
    <d v="2024-08-05T00:00:00"/>
    <s v="CUST-0102"/>
    <x v="36"/>
    <s v="R001"/>
    <n v="10"/>
    <n v="1540"/>
    <n v="20.6"/>
    <n v="12227.6"/>
    <s v="Completed"/>
    <x v="1"/>
    <s v="Beauty"/>
    <s v="SMB"/>
    <n v="62"/>
    <x v="0"/>
    <n v="647"/>
  </r>
  <r>
    <s v="ORD-01500"/>
    <d v="2024-08-16T00:00:00"/>
    <s v="CUST-0265"/>
    <x v="35"/>
    <s v="R028"/>
    <n v="7"/>
    <n v="3870"/>
    <n v="6.1"/>
    <n v="25437.51"/>
    <s v="Completed"/>
    <x v="1"/>
    <s v="Electronics"/>
    <s v="Retail"/>
    <n v="49"/>
    <x v="2"/>
    <n v="1559"/>
  </r>
  <r>
    <s v="ORD-01501"/>
    <d v="2024-04-01T00:00:00"/>
    <s v="CUST-0073"/>
    <x v="5"/>
    <s v="R021"/>
    <n v="3"/>
    <n v="370"/>
    <n v="13.7"/>
    <n v="957.93"/>
    <s v="Completed"/>
    <x v="0"/>
    <s v="Home"/>
    <s v="Corporate"/>
    <n v="40"/>
    <x v="3"/>
    <n v="288"/>
  </r>
  <r>
    <s v="ORD-01502"/>
    <d v="2024-02-06T00:00:00"/>
    <s v="CUST-0070"/>
    <x v="14"/>
    <s v="R027"/>
    <n v="8"/>
    <n v="190"/>
    <n v="0.2"/>
    <n v="1516.96"/>
    <s v="Completed"/>
    <x v="3"/>
    <s v="Sports"/>
    <s v="Retail"/>
    <n v="42"/>
    <x v="2"/>
    <n v="147"/>
  </r>
  <r>
    <s v="ORD-01503"/>
    <d v="2024-07-28T00:00:00"/>
    <s v="CUST-0202"/>
    <x v="7"/>
    <s v="R011"/>
    <n v="6"/>
    <n v="1430"/>
    <n v="0.1"/>
    <n v="8571.42"/>
    <s v="Completed"/>
    <x v="1"/>
    <s v="Electronics"/>
    <s v="Retail"/>
    <n v="39"/>
    <x v="1"/>
    <n v="861"/>
  </r>
  <r>
    <s v="ORD-01504"/>
    <d v="2024-02-24T00:00:00"/>
    <s v="CUST-0240"/>
    <x v="2"/>
    <s v="R020"/>
    <n v="4"/>
    <n v="470"/>
    <n v="3"/>
    <n v="1823.6"/>
    <s v="Completed"/>
    <x v="1"/>
    <s v="Sports"/>
    <s v="Corporate"/>
    <n v="35"/>
    <x v="3"/>
    <n v="302"/>
  </r>
  <r>
    <s v="ORD-01505"/>
    <d v="2024-06-03T00:00:00"/>
    <s v="CUST-0163"/>
    <x v="59"/>
    <s v="R004"/>
    <n v="4"/>
    <n v="3560"/>
    <n v="1.1000000000000001"/>
    <n v="14083.36"/>
    <s v="Completed"/>
    <x v="0"/>
    <s v="Apparel"/>
    <s v="Retail"/>
    <n v="49"/>
    <x v="0"/>
    <n v="2629"/>
  </r>
  <r>
    <s v="ORD-01506"/>
    <d v="2024-08-17T00:00:00"/>
    <s v="CUST-0238"/>
    <x v="24"/>
    <s v="R012"/>
    <n v="5"/>
    <n v="4880"/>
    <n v="17"/>
    <n v="20252"/>
    <s v="Completed"/>
    <x v="2"/>
    <s v="Beauty"/>
    <s v="Retail"/>
    <n v="49"/>
    <x v="1"/>
    <n v="2768"/>
  </r>
  <r>
    <s v="ORD-01507"/>
    <d v="2024-07-10T00:00:00"/>
    <s v="CUST-0196"/>
    <x v="25"/>
    <s v="R009"/>
    <n v="9"/>
    <n v="3570"/>
    <n v="12"/>
    <n v="28274.400000000001"/>
    <s v="Completed"/>
    <x v="1"/>
    <s v="Electronics"/>
    <s v="Retail"/>
    <n v="26"/>
    <x v="1"/>
    <n v="1665"/>
  </r>
  <r>
    <s v="ORD-01508"/>
    <d v="2024-03-19T00:00:00"/>
    <s v="CUST-0220"/>
    <x v="17"/>
    <s v="R025"/>
    <n v="6"/>
    <n v="3450"/>
    <n v="22.7"/>
    <n v="16001.1"/>
    <s v="Cancelled"/>
    <x v="1"/>
    <s v="Sports"/>
    <s v="Retail"/>
    <n v="34"/>
    <x v="2"/>
    <n v="2467"/>
  </r>
  <r>
    <s v="ORD-01509"/>
    <d v="2024-06-13T00:00:00"/>
    <s v="CUST-0142"/>
    <x v="18"/>
    <s v="R002"/>
    <n v="10"/>
    <n v="1080"/>
    <n v="27.4"/>
    <n v="7840.8"/>
    <s v="Completed"/>
    <x v="1"/>
    <s v="Home"/>
    <s v="Corporate"/>
    <n v="55"/>
    <x v="0"/>
    <n v="519"/>
  </r>
  <r>
    <s v="ORD-01510"/>
    <d v="2024-11-09T00:00:00"/>
    <s v="CUST-0217"/>
    <x v="36"/>
    <s v="R025"/>
    <n v="6"/>
    <n v="1540"/>
    <n v="17.100000000000001"/>
    <n v="7659.96"/>
    <s v="Completed"/>
    <x v="0"/>
    <s v="Beauty"/>
    <s v="SMB"/>
    <n v="59"/>
    <x v="2"/>
    <n v="647"/>
  </r>
  <r>
    <s v="ORD-01511"/>
    <d v="2024-09-21T00:00:00"/>
    <s v="CUST-9582"/>
    <x v="20"/>
    <s v="R013"/>
    <n v="6"/>
    <n v="2720"/>
    <n v="28.1"/>
    <n v="11734.08"/>
    <s v="Completed"/>
    <x v="3"/>
    <s v="Apparel"/>
    <e v="#N/A"/>
    <e v="#N/A"/>
    <x v="1"/>
    <n v="1962"/>
  </r>
  <r>
    <s v="ORD-01512"/>
    <d v="2024-10-04T00:00:00"/>
    <s v="CUST-0267"/>
    <x v="54"/>
    <s v="R005"/>
    <n v="2"/>
    <n v="5080"/>
    <n v="11.1"/>
    <n v="9032.24"/>
    <s v="Completed"/>
    <x v="5"/>
    <s v="Home"/>
    <s v="Retail"/>
    <n v="27"/>
    <x v="0"/>
    <n v="2459"/>
  </r>
  <r>
    <s v="ORD-01513"/>
    <d v="2024-02-07T00:00:00"/>
    <s v="CUST-9565"/>
    <x v="43"/>
    <s v="R008"/>
    <n v="5"/>
    <n v="620"/>
    <n v="10.9"/>
    <n v="2762.1"/>
    <s v="Pending"/>
    <x v="1"/>
    <s v="Apparel"/>
    <e v="#N/A"/>
    <e v="#N/A"/>
    <x v="0"/>
    <n v="396"/>
  </r>
  <r>
    <s v="ORD-01514"/>
    <d v="2024-03-26T00:00:00"/>
    <s v="CUST-0051"/>
    <x v="19"/>
    <s v="R003"/>
    <n v="3"/>
    <n v="2480"/>
    <n v="5"/>
    <n v="7068"/>
    <s v="Completed"/>
    <x v="0"/>
    <s v="Apparel"/>
    <s v="SMB"/>
    <n v="54"/>
    <x v="0"/>
    <n v="1173"/>
  </r>
  <r>
    <s v="ORD-01515"/>
    <d v="2024-09-02T00:00:00"/>
    <s v="CUST-0075"/>
    <x v="23"/>
    <s v="R005"/>
    <n v="9"/>
    <n v="1010"/>
    <n v="21.9"/>
    <n v="7099.29"/>
    <s v="Completed"/>
    <x v="3"/>
    <s v="Sports"/>
    <s v="Corporate"/>
    <n v="55"/>
    <x v="0"/>
    <n v="516"/>
  </r>
  <r>
    <s v="ORD-01516"/>
    <d v="2024-09-15T00:00:00"/>
    <s v="CUST-0106"/>
    <x v="18"/>
    <s v="R004"/>
    <n v="2"/>
    <n v="1080"/>
    <n v="8.5"/>
    <n v="1976.4"/>
    <s v="Completed"/>
    <x v="0"/>
    <s v="Home"/>
    <s v="Retail"/>
    <n v="22"/>
    <x v="0"/>
    <n v="519"/>
  </r>
  <r>
    <s v="ORD-01517"/>
    <d v="2024-02-03T00:00:00"/>
    <s v="CUST-0053"/>
    <x v="2"/>
    <s v="R025"/>
    <n v="5"/>
    <n v="470"/>
    <n v="8"/>
    <n v="2162"/>
    <s v="Completed"/>
    <x v="2"/>
    <s v="Sports"/>
    <s v="Retail"/>
    <n v="53"/>
    <x v="2"/>
    <n v="302"/>
  </r>
  <r>
    <s v="ORD-01518"/>
    <d v="2024-03-24T00:00:00"/>
    <s v="CUST-0042"/>
    <x v="53"/>
    <s v="R020"/>
    <n v="9"/>
    <n v="3970"/>
    <n v="18.5"/>
    <n v="29119.95"/>
    <s v="Completed"/>
    <x v="0"/>
    <s v="Electronics"/>
    <s v="Retail"/>
    <n v="25"/>
    <x v="3"/>
    <n v="2865"/>
  </r>
  <r>
    <s v="ORD-01519"/>
    <d v="2024-11-18T00:00:00"/>
    <s v="CUST-0120"/>
    <x v="21"/>
    <s v="R010"/>
    <n v="9"/>
    <n v="1650"/>
    <n v="19.5"/>
    <n v="11954.25"/>
    <s v="Completed"/>
    <x v="3"/>
    <s v="Beauty"/>
    <s v="Retail"/>
    <n v="29"/>
    <x v="1"/>
    <n v="1222"/>
  </r>
  <r>
    <s v="ORD-01520"/>
    <d v="2024-03-13T00:00:00"/>
    <s v="CUST-0166"/>
    <x v="22"/>
    <s v="R006"/>
    <n v="9"/>
    <n v="3350"/>
    <n v="4.0999999999999996"/>
    <n v="28913.85"/>
    <s v="Completed"/>
    <x v="5"/>
    <s v="Beauty"/>
    <s v="Retail"/>
    <n v="31"/>
    <x v="0"/>
    <n v="1728"/>
  </r>
  <r>
    <s v="ORD-01521"/>
    <d v="2024-02-20T00:00:00"/>
    <s v="CUST-0175"/>
    <x v="53"/>
    <s v="R023"/>
    <n v="7"/>
    <n v="3970"/>
    <n v="15.6"/>
    <n v="23454.76"/>
    <s v="Completed"/>
    <x v="2"/>
    <s v="Electronics"/>
    <s v="Corporate"/>
    <n v="55"/>
    <x v="3"/>
    <n v="2865"/>
  </r>
  <r>
    <s v="ORD-01522"/>
    <d v="2024-06-11T00:00:00"/>
    <s v="CUST-0001"/>
    <x v="31"/>
    <s v="R018"/>
    <n v="7"/>
    <n v="3780"/>
    <n v="18.7"/>
    <n v="21511.98"/>
    <s v="Completed"/>
    <x v="0"/>
    <s v="Grocery"/>
    <s v="Retail"/>
    <n v="36"/>
    <x v="3"/>
    <n v="2436"/>
  </r>
  <r>
    <s v="ORD-01523"/>
    <d v="2024-11-29T00:00:00"/>
    <s v="CUST-0238"/>
    <x v="1"/>
    <s v="R013"/>
    <n v="4"/>
    <n v="820"/>
    <n v="18.8"/>
    <n v="2663.36"/>
    <s v="Cancelled"/>
    <x v="2"/>
    <s v="Apparel"/>
    <s v="Retail"/>
    <n v="49"/>
    <x v="1"/>
    <n v="391"/>
  </r>
  <r>
    <s v="ORD-01524"/>
    <d v="2024-11-04T00:00:00"/>
    <s v="CUST-0279"/>
    <x v="21"/>
    <s v="R022"/>
    <n v="1"/>
    <n v="1650"/>
    <n v="18.8"/>
    <n v="1339.8"/>
    <s v="Cancelled"/>
    <x v="3"/>
    <s v="Beauty"/>
    <s v="Retail"/>
    <n v="56"/>
    <x v="3"/>
    <n v="1222"/>
  </r>
  <r>
    <s v="ORD-01525"/>
    <d v="2024-04-15T00:00:00"/>
    <s v="CUST-0042"/>
    <x v="31"/>
    <s v="R021"/>
    <n v="2"/>
    <n v="3780"/>
    <n v="1"/>
    <n v="7484.4"/>
    <s v="Refunded"/>
    <x v="0"/>
    <s v="Grocery"/>
    <s v="Retail"/>
    <n v="25"/>
    <x v="3"/>
    <n v="2436"/>
  </r>
  <r>
    <s v="ORD-01526"/>
    <d v="2024-05-05T00:00:00"/>
    <s v="CUST-0137"/>
    <x v="45"/>
    <s v="R027"/>
    <n v="5"/>
    <n v="2210"/>
    <n v="16.600000000000001"/>
    <n v="9215.7000000000007"/>
    <s v="Completed"/>
    <x v="3"/>
    <s v="Grocery"/>
    <s v="Retail"/>
    <n v="41"/>
    <x v="2"/>
    <n v="1010"/>
  </r>
  <r>
    <s v="ORD-01527"/>
    <d v="2024-07-14T00:00:00"/>
    <s v="CUST-0160"/>
    <x v="58"/>
    <s v="R010"/>
    <n v="10"/>
    <n v="6940"/>
    <n v="10.6"/>
    <n v="62043.6"/>
    <s v="Completed"/>
    <x v="5"/>
    <s v="Sports"/>
    <s v="Retail"/>
    <n v="27"/>
    <x v="1"/>
    <n v="2827"/>
  </r>
  <r>
    <s v="ORD-01528"/>
    <d v="2024-06-11T00:00:00"/>
    <s v="CUST-0102"/>
    <x v="52"/>
    <s v="R005"/>
    <n v="8"/>
    <n v="2290"/>
    <n v="12.2"/>
    <n v="16084.96"/>
    <s v="Completed"/>
    <x v="1"/>
    <s v="Beauty"/>
    <s v="SMB"/>
    <n v="62"/>
    <x v="0"/>
    <n v="1219"/>
  </r>
  <r>
    <s v="ORD-01529"/>
    <d v="2024-08-25T00:00:00"/>
    <s v="CUST-0133"/>
    <x v="44"/>
    <s v="R025"/>
    <n v="5"/>
    <n v="2030"/>
    <n v="23.8"/>
    <n v="7734.3"/>
    <s v="Cancelled"/>
    <x v="1"/>
    <s v="Home"/>
    <s v="Retail"/>
    <n v="26"/>
    <x v="2"/>
    <n v="1143"/>
  </r>
  <r>
    <s v="ORD-01530"/>
    <d v="2024-09-11T00:00:00"/>
    <s v="CUST-0080"/>
    <x v="53"/>
    <s v="R029"/>
    <n v="3"/>
    <n v="3970"/>
    <n v="7.7"/>
    <n v="10992.93"/>
    <s v="Completed"/>
    <x v="0"/>
    <s v="Electronics"/>
    <s v="SMB"/>
    <n v="30"/>
    <x v="2"/>
    <n v="2865"/>
  </r>
  <r>
    <s v="ORD-01821"/>
    <d v="2024-07-08T00:00:00"/>
    <s v="CUST-0299"/>
    <x v="1"/>
    <s v="R016"/>
    <n v="1"/>
    <n v="820"/>
    <n v="5.4"/>
    <n v="775.72"/>
    <s v="Completed"/>
    <x v="3"/>
    <s v="Apparel"/>
    <s v="Corporate"/>
    <n v="51"/>
    <x v="1"/>
    <n v="391"/>
  </r>
  <r>
    <s v="ORD-01532"/>
    <d v="2024-06-29T00:00:00"/>
    <s v="CUST-0078"/>
    <x v="35"/>
    <s v="R025"/>
    <n v="3"/>
    <n v="3870"/>
    <n v="1.9"/>
    <n v="11389.41"/>
    <s v="Completed"/>
    <x v="2"/>
    <s v="Electronics"/>
    <s v="Retail"/>
    <n v="31"/>
    <x v="2"/>
    <n v="1559"/>
  </r>
  <r>
    <s v="ORD-01533"/>
    <d v="2024-01-05T00:00:00"/>
    <s v="CUST-0251"/>
    <x v="9"/>
    <s v="R022"/>
    <n v="6"/>
    <n v="970"/>
    <n v="27.1"/>
    <n v="4242.78"/>
    <s v="Completed"/>
    <x v="3"/>
    <s v="Grocery"/>
    <s v="Retail"/>
    <n v="44"/>
    <x v="3"/>
    <n v="434"/>
  </r>
  <r>
    <s v="ORD-01534"/>
    <d v="2024-10-02T00:00:00"/>
    <s v="CUST-0191"/>
    <x v="24"/>
    <s v="R025"/>
    <n v="1"/>
    <n v="4880"/>
    <n v="26.8"/>
    <n v="3572.16"/>
    <s v="Completed"/>
    <x v="5"/>
    <s v="Beauty"/>
    <s v="SMB"/>
    <n v="43"/>
    <x v="2"/>
    <n v="2768"/>
  </r>
  <r>
    <s v="ORD-01535"/>
    <d v="2024-02-15T00:00:00"/>
    <s v="CUST-0130"/>
    <x v="34"/>
    <s v="R023"/>
    <n v="1"/>
    <n v="2270"/>
    <n v="22.2"/>
    <n v="1766.06"/>
    <s v="Completed"/>
    <x v="4"/>
    <s v="Grocery"/>
    <s v="Corporate"/>
    <n v="41"/>
    <x v="3"/>
    <n v="1412"/>
  </r>
  <r>
    <s v="ORD-01536"/>
    <d v="2024-03-25T00:00:00"/>
    <s v="CUST-0056"/>
    <x v="16"/>
    <s v="R026"/>
    <n v="10"/>
    <n v="3450"/>
    <n v="21.9"/>
    <n v="26944.5"/>
    <s v="Completed"/>
    <x v="4"/>
    <s v="Beauty"/>
    <s v="SMB"/>
    <n v="46"/>
    <x v="2"/>
    <n v="2420"/>
  </r>
  <r>
    <s v="ORD-01537"/>
    <d v="2024-11-20T00:00:00"/>
    <s v="CUST-0185"/>
    <x v="34"/>
    <s v="R011"/>
    <n v="3"/>
    <n v="2270"/>
    <n v="19.100000000000001"/>
    <n v="5509.29"/>
    <s v="Cancelled"/>
    <x v="5"/>
    <s v="Grocery"/>
    <s v="SMB"/>
    <n v="43"/>
    <x v="1"/>
    <n v="1412"/>
  </r>
  <r>
    <s v="ORD-01538"/>
    <d v="2024-03-09T00:00:00"/>
    <s v="CUST-0195"/>
    <x v="45"/>
    <s v="R030"/>
    <n v="10"/>
    <n v="2210"/>
    <n v="22.3"/>
    <n v="17171.7"/>
    <s v="Completed"/>
    <x v="4"/>
    <s v="Grocery"/>
    <s v="Retail"/>
    <n v="28"/>
    <x v="2"/>
    <n v="1010"/>
  </r>
  <r>
    <s v="ORD-01539"/>
    <d v="2024-06-22T00:00:00"/>
    <s v="CUST-0067"/>
    <x v="44"/>
    <s v="R011"/>
    <n v="9"/>
    <n v="2030"/>
    <n v="24.8"/>
    <n v="13739.04"/>
    <s v="Completed"/>
    <x v="2"/>
    <s v="Home"/>
    <s v="SMB"/>
    <n v="59"/>
    <x v="1"/>
    <n v="1143"/>
  </r>
  <r>
    <s v="ORD-01540"/>
    <d v="2024-03-29T00:00:00"/>
    <s v="CUST-0149"/>
    <x v="22"/>
    <s v="R023"/>
    <n v="5"/>
    <n v="3350"/>
    <n v="18.2"/>
    <n v="13701.5"/>
    <s v="Completed"/>
    <x v="5"/>
    <s v="Beauty"/>
    <s v="Retail"/>
    <n v="44"/>
    <x v="3"/>
    <n v="1728"/>
  </r>
  <r>
    <s v="ORD-01541"/>
    <d v="2024-03-07T00:00:00"/>
    <s v="CUST-0268"/>
    <x v="32"/>
    <s v="R008"/>
    <n v="7"/>
    <n v="3640"/>
    <n v="14.4"/>
    <n v="21810.880000000001"/>
    <s v="Completed"/>
    <x v="1"/>
    <s v="Apparel"/>
    <s v="Retail"/>
    <n v="35"/>
    <x v="0"/>
    <n v="2611"/>
  </r>
  <r>
    <s v="ORD-01542"/>
    <d v="2024-04-03T00:00:00"/>
    <s v="CUST-0126"/>
    <x v="17"/>
    <s v="R018"/>
    <n v="9"/>
    <n v="3450"/>
    <n v="20.100000000000001"/>
    <n v="24808.95"/>
    <s v="Completed"/>
    <x v="3"/>
    <s v="Sports"/>
    <s v="Retail"/>
    <n v="37"/>
    <x v="3"/>
    <n v="2467"/>
  </r>
  <r>
    <s v="ORD-01543"/>
    <d v="2024-05-31T00:00:00"/>
    <s v="CUST-0017"/>
    <x v="16"/>
    <s v="R003"/>
    <n v="6"/>
    <n v="3450"/>
    <n v="19.899999999999999"/>
    <n v="16580.7"/>
    <s v="Pending"/>
    <x v="2"/>
    <s v="Beauty"/>
    <s v="SMB"/>
    <n v="38"/>
    <x v="0"/>
    <n v="2420"/>
  </r>
  <r>
    <s v="ORD-01544"/>
    <d v="2024-11-03T00:00:00"/>
    <s v="CUST-0250"/>
    <x v="52"/>
    <s v="R022"/>
    <n v="4"/>
    <n v="2290"/>
    <n v="4.8"/>
    <n v="8720.32"/>
    <s v="Pending"/>
    <x v="2"/>
    <s v="Beauty"/>
    <s v="Retail"/>
    <n v="31"/>
    <x v="3"/>
    <n v="1219"/>
  </r>
  <r>
    <s v="ORD-01545"/>
    <d v="2024-07-06T00:00:00"/>
    <s v="CUST-0245"/>
    <x v="6"/>
    <s v="R010"/>
    <n v="9"/>
    <n v="960"/>
    <n v="2.4"/>
    <n v="8432.64"/>
    <s v="Completed"/>
    <x v="5"/>
    <s v="Sports"/>
    <s v="Retail"/>
    <n v="65"/>
    <x v="1"/>
    <n v="705"/>
  </r>
  <r>
    <s v="ORD-01546"/>
    <d v="2024-07-16T00:00:00"/>
    <s v="CUST-0016"/>
    <x v="39"/>
    <s v="R025"/>
    <n v="9"/>
    <n v="4610"/>
    <n v="21.3"/>
    <n v="32652.63"/>
    <s v="Completed"/>
    <x v="2"/>
    <s v="Home"/>
    <s v="SMB"/>
    <n v="26"/>
    <x v="2"/>
    <n v="1850"/>
  </r>
  <r>
    <s v="ORD-01547"/>
    <d v="2024-08-10T00:00:00"/>
    <s v="CUST-0063"/>
    <x v="3"/>
    <s v="R003"/>
    <n v="1"/>
    <n v="3660"/>
    <n v="15.6"/>
    <n v="3089.04"/>
    <s v="Completed"/>
    <x v="3"/>
    <s v="Grocery"/>
    <s v="SMB"/>
    <n v="53"/>
    <x v="0"/>
    <n v="2214"/>
  </r>
  <r>
    <s v="ORD-01548"/>
    <d v="2024-12-27T00:00:00"/>
    <s v="CUST-0200"/>
    <x v="41"/>
    <s v="R012"/>
    <n v="5"/>
    <n v="2660"/>
    <n v="20.399999999999999"/>
    <n v="10586.8"/>
    <s v="Completed"/>
    <x v="5"/>
    <s v="Electronics"/>
    <s v="Corporate"/>
    <n v="46"/>
    <x v="1"/>
    <n v="1259"/>
  </r>
  <r>
    <s v="ORD-01549"/>
    <d v="2024-04-19T00:00:00"/>
    <s v="CUST-0017"/>
    <x v="36"/>
    <s v="R026"/>
    <n v="8"/>
    <n v="1540"/>
    <n v="0.5"/>
    <n v="12258.4"/>
    <s v="Completed"/>
    <x v="2"/>
    <s v="Beauty"/>
    <s v="SMB"/>
    <n v="38"/>
    <x v="2"/>
    <n v="647"/>
  </r>
  <r>
    <s v="ORD-01550"/>
    <d v="2024-11-25T00:00:00"/>
    <s v="CUST-0264"/>
    <x v="53"/>
    <s v="R004"/>
    <n v="4"/>
    <n v="3970"/>
    <n v="22.5"/>
    <n v="12307"/>
    <s v="Completed"/>
    <x v="0"/>
    <s v="Electronics"/>
    <s v="Retail"/>
    <n v="59"/>
    <x v="0"/>
    <n v="2865"/>
  </r>
  <r>
    <s v="ORD-01551"/>
    <d v="2024-03-17T00:00:00"/>
    <s v="CUST-0102"/>
    <x v="56"/>
    <s v="R007"/>
    <n v="8"/>
    <n v="3780"/>
    <n v="3.8"/>
    <n v="29090.880000000001"/>
    <s v="Completed"/>
    <x v="1"/>
    <s v="Sports"/>
    <s v="SMB"/>
    <n v="62"/>
    <x v="0"/>
    <n v="1860"/>
  </r>
  <r>
    <s v="ORD-01552"/>
    <d v="2024-09-15T00:00:00"/>
    <s v="CUST-0092"/>
    <x v="34"/>
    <s v="R004"/>
    <n v="4"/>
    <n v="2270"/>
    <n v="3.8"/>
    <n v="8734.9599999999991"/>
    <s v="Cancelled"/>
    <x v="4"/>
    <s v="Grocery"/>
    <s v="SMB"/>
    <n v="28"/>
    <x v="0"/>
    <n v="1412"/>
  </r>
  <r>
    <s v="ORD-01553"/>
    <d v="2024-01-13T00:00:00"/>
    <s v="CUST-0139"/>
    <x v="38"/>
    <s v="R009"/>
    <n v="10"/>
    <n v="1220"/>
    <n v="19.5"/>
    <n v="9821"/>
    <s v="Completed"/>
    <x v="5"/>
    <s v="Electronics"/>
    <s v="SMB"/>
    <n v="65"/>
    <x v="1"/>
    <n v="517"/>
  </r>
  <r>
    <s v="ORD-01554"/>
    <d v="2024-01-30T00:00:00"/>
    <s v="CUST-0129"/>
    <x v="22"/>
    <s v="R015"/>
    <n v="10"/>
    <n v="3350"/>
    <n v="7.8"/>
    <n v="30887"/>
    <s v="Completed"/>
    <x v="5"/>
    <s v="Beauty"/>
    <s v="Retail"/>
    <n v="29"/>
    <x v="1"/>
    <n v="1728"/>
  </r>
  <r>
    <s v="ORD-01555"/>
    <d v="2024-03-07T00:00:00"/>
    <s v="CUST-9841"/>
    <x v="22"/>
    <s v="R030"/>
    <n v="7"/>
    <n v="3350"/>
    <n v="14.5"/>
    <n v="20049.75"/>
    <s v="Completed"/>
    <x v="4"/>
    <s v="Beauty"/>
    <e v="#N/A"/>
    <e v="#N/A"/>
    <x v="2"/>
    <n v="1728"/>
  </r>
  <r>
    <s v="ORD-01556"/>
    <d v="2024-05-28T00:00:00"/>
    <s v="CUST-0069"/>
    <x v="8"/>
    <s v="R014"/>
    <n v="6"/>
    <n v="5490"/>
    <n v="8"/>
    <n v="30304.799999999999"/>
    <s v="Completed"/>
    <x v="1"/>
    <s v="Home"/>
    <s v="Retail"/>
    <n v="51"/>
    <x v="1"/>
    <n v="2549"/>
  </r>
  <r>
    <s v="ORD-01557"/>
    <d v="2024-11-22T00:00:00"/>
    <s v="CUST-0140"/>
    <x v="27"/>
    <s v="R018"/>
    <n v="3"/>
    <n v="2860"/>
    <n v="19.899999999999999"/>
    <n v="6872.58"/>
    <s v="Completed"/>
    <x v="5"/>
    <s v="Sports"/>
    <s v="SMB"/>
    <n v="39"/>
    <x v="3"/>
    <n v="2028"/>
  </r>
  <r>
    <s v="ORD-01558"/>
    <d v="2024-01-04T00:00:00"/>
    <s v="CUST-0138"/>
    <x v="11"/>
    <s v="R024"/>
    <n v="3"/>
    <n v="2640"/>
    <n v="29.3"/>
    <n v="5599.44"/>
    <s v="Completed"/>
    <x v="1"/>
    <s v="Electronics"/>
    <s v="Retail"/>
    <n v="24"/>
    <x v="2"/>
    <n v="1149"/>
  </r>
  <r>
    <s v="ORD-01559"/>
    <d v="2024-04-02T00:00:00"/>
    <s v="CUST-0277"/>
    <x v="55"/>
    <s v="R029"/>
    <n v="8"/>
    <n v="3450"/>
    <n v="15.2"/>
    <n v="23404.799999999999"/>
    <s v="Cancelled"/>
    <x v="1"/>
    <s v="Apparel"/>
    <s v="Corporate"/>
    <n v="34"/>
    <x v="2"/>
    <n v="1748"/>
  </r>
  <r>
    <s v="ORD-01560"/>
    <d v="2024-02-27T00:00:00"/>
    <s v="CUST-0017"/>
    <x v="5"/>
    <s v="R025"/>
    <n v="6"/>
    <n v="370"/>
    <n v="7"/>
    <n v="2064.6"/>
    <s v="Completed"/>
    <x v="2"/>
    <s v="Home"/>
    <s v="SMB"/>
    <n v="38"/>
    <x v="2"/>
    <n v="288"/>
  </r>
  <r>
    <s v="ORD-01561"/>
    <d v="2024-05-27T00:00:00"/>
    <s v="CUST-0170"/>
    <x v="46"/>
    <s v="R029"/>
    <n v="10"/>
    <n v="4060"/>
    <n v="4.7"/>
    <n v="38691.800000000003"/>
    <s v="Cancelled"/>
    <x v="3"/>
    <s v="Grocery"/>
    <s v="SMB"/>
    <n v="22"/>
    <x v="2"/>
    <n v="2911"/>
  </r>
  <r>
    <s v="ORD-01562"/>
    <d v="2024-05-14T00:00:00"/>
    <s v="CUST-0022"/>
    <x v="35"/>
    <s v="R024"/>
    <n v="1"/>
    <n v="3870"/>
    <n v="18.2"/>
    <n v="3165.66"/>
    <s v="Pending"/>
    <x v="4"/>
    <s v="Electronics"/>
    <s v="Corporate"/>
    <n v="55"/>
    <x v="2"/>
    <n v="1559"/>
  </r>
  <r>
    <s v="ORD-01563"/>
    <d v="2024-04-03T00:00:00"/>
    <s v="CUST-0158"/>
    <x v="49"/>
    <s v="R006"/>
    <n v="1"/>
    <n v="5330"/>
    <n v="3.9"/>
    <n v="5122.13"/>
    <s v="Refunded"/>
    <x v="0"/>
    <s v="Electronics"/>
    <s v="Corporate"/>
    <n v="42"/>
    <x v="0"/>
    <n v="2405"/>
  </r>
  <r>
    <s v="ORD-01564"/>
    <d v="2024-01-21T00:00:00"/>
    <s v="CUST-0160"/>
    <x v="5"/>
    <s v="R020"/>
    <n v="8"/>
    <n v="370"/>
    <n v="1.3"/>
    <n v="2921.52"/>
    <s v="Completed"/>
    <x v="5"/>
    <s v="Home"/>
    <s v="Retail"/>
    <n v="27"/>
    <x v="3"/>
    <n v="288"/>
  </r>
  <r>
    <s v="ORD-01565"/>
    <d v="2024-11-26T00:00:00"/>
    <s v="CUST-0009"/>
    <x v="42"/>
    <s v="R020"/>
    <n v="7"/>
    <n v="300"/>
    <n v="7.1"/>
    <n v="1950.9"/>
    <s v="Completed"/>
    <x v="3"/>
    <s v="Electronics"/>
    <s v="Retail"/>
    <n v="61"/>
    <x v="3"/>
    <n v="128"/>
  </r>
  <r>
    <s v="ORD-01566"/>
    <d v="2024-08-04T00:00:00"/>
    <s v="CUST-0151"/>
    <x v="22"/>
    <s v="R012"/>
    <n v="8"/>
    <n v="3350"/>
    <n v="11.2"/>
    <n v="23798.400000000001"/>
    <s v="Completed"/>
    <x v="3"/>
    <s v="Beauty"/>
    <s v="Retail"/>
    <n v="53"/>
    <x v="1"/>
    <n v="1728"/>
  </r>
  <r>
    <s v="ORD-01567"/>
    <d v="2024-08-24T00:00:00"/>
    <s v="CUST-0105"/>
    <x v="58"/>
    <s v="R009"/>
    <n v="6"/>
    <n v="6940"/>
    <n v="0.3"/>
    <n v="41515.08"/>
    <s v="Completed"/>
    <x v="1"/>
    <s v="Sports"/>
    <s v="SMB"/>
    <n v="51"/>
    <x v="1"/>
    <n v="2827"/>
  </r>
  <r>
    <s v="ORD-01568"/>
    <d v="2024-07-10T00:00:00"/>
    <s v="CUST-0292"/>
    <x v="51"/>
    <s v="R008"/>
    <n v="10"/>
    <n v="960"/>
    <n v="9.3000000000000007"/>
    <n v="8707.2000000000007"/>
    <s v="Cancelled"/>
    <x v="4"/>
    <s v="Beauty"/>
    <s v="Retail"/>
    <n v="32"/>
    <x v="0"/>
    <n v="675"/>
  </r>
  <r>
    <s v="ORD-01569"/>
    <d v="2024-11-29T00:00:00"/>
    <s v="CUST-0076"/>
    <x v="28"/>
    <s v="R021"/>
    <n v="10"/>
    <n v="2760"/>
    <n v="17.2"/>
    <n v="22852.799999999999"/>
    <s v="Completed"/>
    <x v="3"/>
    <s v="Grocery"/>
    <s v="Retail"/>
    <n v="38"/>
    <x v="3"/>
    <n v="1435"/>
  </r>
  <r>
    <s v="ORD-01570"/>
    <d v="2024-03-07T00:00:00"/>
    <s v="CUST-0152"/>
    <x v="10"/>
    <s v="R026"/>
    <n v="4"/>
    <n v="2270"/>
    <n v="26.8"/>
    <n v="6646.56"/>
    <s v="Completed"/>
    <x v="4"/>
    <s v="Grocery"/>
    <s v="SMB"/>
    <n v="64"/>
    <x v="2"/>
    <n v="1203"/>
  </r>
  <r>
    <s v="ORD-01571"/>
    <d v="2024-02-20T00:00:00"/>
    <s v="CUST-0146"/>
    <x v="12"/>
    <s v="R021"/>
    <n v="2"/>
    <n v="2600"/>
    <n v="27"/>
    <n v="3796"/>
    <s v="Completed"/>
    <x v="5"/>
    <s v="Electronics"/>
    <s v="Retail"/>
    <n v="22"/>
    <x v="3"/>
    <n v="1052"/>
  </r>
  <r>
    <s v="ORD-01572"/>
    <d v="2024-01-13T00:00:00"/>
    <s v="CUST-0127"/>
    <x v="25"/>
    <s v="R024"/>
    <n v="4"/>
    <n v="3570"/>
    <n v="12.3"/>
    <n v="12523.56"/>
    <s v="Completed"/>
    <x v="4"/>
    <s v="Electronics"/>
    <s v="SMB"/>
    <n v="36"/>
    <x v="2"/>
    <n v="1665"/>
  </r>
  <r>
    <s v="ORD-01573"/>
    <d v="2024-01-25T00:00:00"/>
    <s v="CUST-0173"/>
    <x v="54"/>
    <s v="R016"/>
    <n v="5"/>
    <n v="5080"/>
    <n v="1.3"/>
    <n v="25069.8"/>
    <s v="Completed"/>
    <x v="3"/>
    <s v="Home"/>
    <s v="Retail"/>
    <n v="65"/>
    <x v="1"/>
    <n v="2459"/>
  </r>
  <r>
    <s v="ORD-01574"/>
    <d v="2024-02-18T00:00:00"/>
    <s v="CUST-0206"/>
    <x v="51"/>
    <s v="R016"/>
    <n v="5"/>
    <n v="960"/>
    <n v="25.2"/>
    <n v="3590.4"/>
    <s v="Completed"/>
    <x v="3"/>
    <s v="Beauty"/>
    <s v="Retail"/>
    <n v="40"/>
    <x v="1"/>
    <n v="675"/>
  </r>
  <r>
    <s v="ORD-01575"/>
    <d v="2024-11-08T00:00:00"/>
    <s v="CUST-0072"/>
    <x v="2"/>
    <s v="R010"/>
    <n v="7"/>
    <n v="470"/>
    <n v="21.6"/>
    <n v="2579.36"/>
    <s v="Completed"/>
    <x v="3"/>
    <s v="Sports"/>
    <s v="Corporate"/>
    <n v="62"/>
    <x v="1"/>
    <n v="302"/>
  </r>
  <r>
    <s v="ORD-01576"/>
    <d v="2024-11-29T00:00:00"/>
    <s v="CUST-0004"/>
    <x v="38"/>
    <s v="R027"/>
    <n v="4"/>
    <n v="1220"/>
    <n v="12.6"/>
    <n v="4265.12"/>
    <s v="Completed"/>
    <x v="2"/>
    <s v="Electronics"/>
    <s v="Retail"/>
    <n v="53"/>
    <x v="2"/>
    <n v="517"/>
  </r>
  <r>
    <s v="ORD-01577"/>
    <d v="2024-01-02T00:00:00"/>
    <s v="CUST-0249"/>
    <x v="23"/>
    <s v="R008"/>
    <n v="4"/>
    <n v="1010"/>
    <n v="11.3"/>
    <n v="3583.48"/>
    <s v="Completed"/>
    <x v="3"/>
    <s v="Sports"/>
    <s v="Retail"/>
    <n v="44"/>
    <x v="0"/>
    <n v="516"/>
  </r>
  <r>
    <s v="ORD-01578"/>
    <d v="2024-06-11T00:00:00"/>
    <s v="CUST-0139"/>
    <x v="3"/>
    <s v="R005"/>
    <n v="4"/>
    <n v="3660"/>
    <n v="7.2"/>
    <n v="13585.92"/>
    <s v="Completed"/>
    <x v="5"/>
    <s v="Grocery"/>
    <s v="SMB"/>
    <n v="65"/>
    <x v="0"/>
    <n v="2214"/>
  </r>
  <r>
    <s v="ORD-01579"/>
    <d v="2024-02-23T00:00:00"/>
    <s v="CUST-0019"/>
    <x v="8"/>
    <s v="R010"/>
    <n v="4"/>
    <n v="5490"/>
    <n v="8"/>
    <n v="20203.2"/>
    <s v="Completed"/>
    <x v="1"/>
    <s v="Home"/>
    <s v="Retail"/>
    <n v="22"/>
    <x v="1"/>
    <n v="2549"/>
  </r>
  <r>
    <s v="ORD-01580"/>
    <d v="2024-12-19T00:00:00"/>
    <s v="CUST-0210"/>
    <x v="34"/>
    <s v="R003"/>
    <n v="6"/>
    <n v="2270"/>
    <n v="17.100000000000001"/>
    <n v="11290.98"/>
    <s v="Completed"/>
    <x v="0"/>
    <s v="Grocery"/>
    <s v="Corporate"/>
    <n v="48"/>
    <x v="0"/>
    <n v="1412"/>
  </r>
  <r>
    <s v="ORD-01581"/>
    <d v="2024-10-23T00:00:00"/>
    <s v="CUST-0168"/>
    <x v="34"/>
    <s v="R015"/>
    <n v="8"/>
    <n v="2270"/>
    <n v="11.9"/>
    <n v="15998.96"/>
    <s v="Pending"/>
    <x v="0"/>
    <s v="Grocery"/>
    <s v="Retail"/>
    <n v="25"/>
    <x v="1"/>
    <n v="1412"/>
  </r>
  <r>
    <s v="ORD-01582"/>
    <d v="2024-10-27T00:00:00"/>
    <s v="CUST-0094"/>
    <x v="12"/>
    <s v="R018"/>
    <n v="6"/>
    <n v="2600"/>
    <n v="5.0999999999999996"/>
    <n v="14804.4"/>
    <s v="Completed"/>
    <x v="0"/>
    <s v="Electronics"/>
    <s v="SMB"/>
    <n v="60"/>
    <x v="3"/>
    <n v="1052"/>
  </r>
  <r>
    <s v="ORD-01583"/>
    <d v="2024-04-21T00:00:00"/>
    <s v="CUST-0259"/>
    <x v="35"/>
    <s v="R027"/>
    <n v="9"/>
    <n v="3870"/>
    <n v="1.8"/>
    <n v="34203.06"/>
    <s v="Cancelled"/>
    <x v="3"/>
    <s v="Electronics"/>
    <s v="Retail"/>
    <n v="34"/>
    <x v="2"/>
    <n v="1559"/>
  </r>
  <r>
    <s v="ORD-01584"/>
    <d v="2024-06-16T00:00:00"/>
    <s v="CUST-0150"/>
    <x v="53"/>
    <s v="R006"/>
    <n v="3"/>
    <n v="3970"/>
    <n v="8.1999999999999993"/>
    <n v="10933.38"/>
    <s v="Completed"/>
    <x v="0"/>
    <s v="Electronics"/>
    <s v="SMB"/>
    <n v="53"/>
    <x v="0"/>
    <n v="2865"/>
  </r>
  <r>
    <s v="ORD-01585"/>
    <d v="2024-05-26T00:00:00"/>
    <s v="CUST-0040"/>
    <x v="51"/>
    <s v="R028"/>
    <n v="9"/>
    <n v="960"/>
    <n v="21.7"/>
    <n v="6765.12"/>
    <s v="Cancelled"/>
    <x v="1"/>
    <s v="Beauty"/>
    <s v="Retail"/>
    <n v="28"/>
    <x v="2"/>
    <n v="675"/>
  </r>
  <r>
    <s v="ORD-01586"/>
    <d v="2024-12-06T00:00:00"/>
    <s v="CUST-0290"/>
    <x v="48"/>
    <s v="R025"/>
    <n v="3"/>
    <n v="5410"/>
    <n v="20.3"/>
    <n v="12935.31"/>
    <s v="Completed"/>
    <x v="2"/>
    <s v="Sports"/>
    <s v="Retail"/>
    <n v="63"/>
    <x v="2"/>
    <n v="2265"/>
  </r>
  <r>
    <s v="ORD-01587"/>
    <d v="2024-10-14T00:00:00"/>
    <s v="CUST-0123"/>
    <x v="55"/>
    <s v="R005"/>
    <n v="3"/>
    <n v="3450"/>
    <n v="11.6"/>
    <n v="9149.4"/>
    <s v="Completed"/>
    <x v="1"/>
    <s v="Apparel"/>
    <s v="Corporate"/>
    <n v="44"/>
    <x v="0"/>
    <n v="1748"/>
  </r>
  <r>
    <s v="ORD-01588"/>
    <d v="2024-04-10T00:00:00"/>
    <s v="CUST-0053"/>
    <x v="40"/>
    <s v="R008"/>
    <n v="2"/>
    <n v="3020"/>
    <n v="20.8"/>
    <n v="4783.68"/>
    <s v="Pending"/>
    <x v="2"/>
    <s v="Beauty"/>
    <s v="Retail"/>
    <n v="53"/>
    <x v="0"/>
    <n v="1626"/>
  </r>
  <r>
    <s v="ORD-01589"/>
    <d v="2024-09-28T00:00:00"/>
    <s v="CUST-0179"/>
    <x v="14"/>
    <s v="R002"/>
    <n v="3"/>
    <n v="190"/>
    <n v="10.7"/>
    <n v="509.01"/>
    <s v="Completed"/>
    <x v="3"/>
    <s v="Sports"/>
    <s v="SMB"/>
    <n v="54"/>
    <x v="0"/>
    <n v="147"/>
  </r>
  <r>
    <s v="ORD-01590"/>
    <d v="2024-01-03T00:00:00"/>
    <s v="CUST-0006"/>
    <x v="30"/>
    <s v="R012"/>
    <n v="4"/>
    <n v="3730"/>
    <n v="6.9"/>
    <n v="13890.52"/>
    <s v="Completed"/>
    <x v="0"/>
    <s v="Home"/>
    <s v="SMB"/>
    <n v="44"/>
    <x v="1"/>
    <n v="2135"/>
  </r>
  <r>
    <s v="ORD-01591"/>
    <d v="2024-07-30T00:00:00"/>
    <s v="CUST-0272"/>
    <x v="17"/>
    <s v="R025"/>
    <n v="9"/>
    <n v="3450"/>
    <n v="22.2"/>
    <n v="24156.9"/>
    <s v="Cancelled"/>
    <x v="3"/>
    <s v="Sports"/>
    <s v="SMB"/>
    <n v="47"/>
    <x v="2"/>
    <n v="2467"/>
  </r>
  <r>
    <s v="ORD-01592"/>
    <d v="2024-02-14T00:00:00"/>
    <s v="CUST-0274"/>
    <x v="53"/>
    <s v="R002"/>
    <n v="3"/>
    <n v="3970"/>
    <n v="6.8"/>
    <n v="11100.12"/>
    <s v="Completed"/>
    <x v="4"/>
    <s v="Electronics"/>
    <s v="Corporate"/>
    <n v="36"/>
    <x v="0"/>
    <n v="2865"/>
  </r>
  <r>
    <s v="ORD-01593"/>
    <d v="2024-06-19T00:00:00"/>
    <s v="CUST-0262"/>
    <x v="57"/>
    <s v="R022"/>
    <n v="3"/>
    <n v="1090"/>
    <n v="23.7"/>
    <n v="2495.0100000000002"/>
    <s v="Completed"/>
    <x v="3"/>
    <s v="Home"/>
    <s v="Retail"/>
    <n v="52"/>
    <x v="3"/>
    <n v="464"/>
  </r>
  <r>
    <s v="ORD-01594"/>
    <d v="2024-01-09T00:00:00"/>
    <s v="CUST-0087"/>
    <x v="44"/>
    <s v="R023"/>
    <n v="3"/>
    <n v="2030"/>
    <n v="18.8"/>
    <n v="4945.08"/>
    <s v="Completed"/>
    <x v="0"/>
    <s v="Home"/>
    <s v="SMB"/>
    <n v="49"/>
    <x v="3"/>
    <n v="1143"/>
  </r>
  <r>
    <s v="ORD-01595"/>
    <d v="2024-03-16T00:00:00"/>
    <s v="CUST-0198"/>
    <x v="37"/>
    <s v="R008"/>
    <n v="2"/>
    <n v="4070"/>
    <n v="14.3"/>
    <n v="6975.98"/>
    <s v="Completed"/>
    <x v="1"/>
    <s v="Grocery"/>
    <s v="Corporate"/>
    <n v="22"/>
    <x v="0"/>
    <n v="2027"/>
  </r>
  <r>
    <s v="ORD-01596"/>
    <d v="2024-04-28T00:00:00"/>
    <s v="CUST-0065"/>
    <x v="0"/>
    <s v="R028"/>
    <n v="3"/>
    <n v="3620"/>
    <n v="13.5"/>
    <n v="9393.9"/>
    <s v="Completed"/>
    <x v="1"/>
    <s v="Apparel"/>
    <s v="Corporate"/>
    <n v="49"/>
    <x v="2"/>
    <n v="2509"/>
  </r>
  <r>
    <s v="ORD-01597"/>
    <d v="2024-11-27T00:00:00"/>
    <s v="CUST-0209"/>
    <x v="23"/>
    <s v="R001"/>
    <n v="4"/>
    <n v="1010"/>
    <n v="3.3"/>
    <n v="3906.68"/>
    <s v="Completed"/>
    <x v="0"/>
    <s v="Sports"/>
    <s v="Retail"/>
    <n v="31"/>
    <x v="0"/>
    <n v="516"/>
  </r>
  <r>
    <s v="ORD-01598"/>
    <d v="2024-07-18T00:00:00"/>
    <s v="CUST-0181"/>
    <x v="9"/>
    <s v="R005"/>
    <n v="7"/>
    <n v="970"/>
    <n v="0.1"/>
    <n v="6783.21"/>
    <s v="Completed"/>
    <x v="2"/>
    <s v="Grocery"/>
    <s v="SMB"/>
    <n v="38"/>
    <x v="0"/>
    <n v="434"/>
  </r>
  <r>
    <s v="ORD-01599"/>
    <d v="2024-10-06T00:00:00"/>
    <s v="CUST-0007"/>
    <x v="2"/>
    <s v="R027"/>
    <n v="5"/>
    <n v="470"/>
    <n v="18.3"/>
    <n v="1919.95"/>
    <s v="Refunded"/>
    <x v="4"/>
    <s v="Sports"/>
    <s v="Retail"/>
    <n v="47"/>
    <x v="2"/>
    <n v="302"/>
  </r>
  <r>
    <s v="ORD-01600"/>
    <d v="2024-04-11T00:00:00"/>
    <s v="CUST-0050"/>
    <x v="55"/>
    <s v="R010"/>
    <n v="8"/>
    <n v="3450"/>
    <n v="5.0999999999999996"/>
    <n v="26192.400000000001"/>
    <s v="Refunded"/>
    <x v="3"/>
    <s v="Apparel"/>
    <s v="Retail"/>
    <n v="37"/>
    <x v="1"/>
    <n v="1748"/>
  </r>
  <r>
    <s v="ORD-01601"/>
    <d v="2024-06-22T00:00:00"/>
    <s v="CUST-0155"/>
    <x v="11"/>
    <s v="R022"/>
    <n v="1"/>
    <n v="2640"/>
    <n v="5.9"/>
    <n v="2484.2399999999998"/>
    <s v="Completed"/>
    <x v="0"/>
    <s v="Electronics"/>
    <s v="Corporate"/>
    <n v="40"/>
    <x v="3"/>
    <n v="1149"/>
  </r>
  <r>
    <s v="ORD-01602"/>
    <d v="2024-03-03T00:00:00"/>
    <s v="CUST-0085"/>
    <x v="25"/>
    <s v="R020"/>
    <n v="10"/>
    <n v="3570"/>
    <n v="21.5"/>
    <n v="28024.5"/>
    <s v="Completed"/>
    <x v="1"/>
    <s v="Electronics"/>
    <s v="Retail"/>
    <n v="26"/>
    <x v="3"/>
    <n v="1665"/>
  </r>
  <r>
    <s v="ORD-01603"/>
    <d v="2024-10-16T00:00:00"/>
    <s v="CUST-0285"/>
    <x v="7"/>
    <s v="R016"/>
    <n v="10"/>
    <n v="1430"/>
    <n v="11.4"/>
    <n v="12669.8"/>
    <s v="Cancelled"/>
    <x v="5"/>
    <s v="Electronics"/>
    <s v="Retail"/>
    <n v="22"/>
    <x v="1"/>
    <n v="861"/>
  </r>
  <r>
    <s v="ORD-01604"/>
    <d v="2024-12-17T00:00:00"/>
    <s v="CUST-0148"/>
    <x v="6"/>
    <s v="R013"/>
    <n v="7"/>
    <n v="960"/>
    <n v="22.9"/>
    <n v="5181.12"/>
    <s v="Completed"/>
    <x v="1"/>
    <s v="Sports"/>
    <s v="Retail"/>
    <n v="32"/>
    <x v="1"/>
    <n v="705"/>
  </r>
  <r>
    <s v="ORD-01605"/>
    <d v="2024-11-10T00:00:00"/>
    <s v="CUST-0252"/>
    <x v="13"/>
    <s v="R010"/>
    <n v="8"/>
    <n v="3250"/>
    <n v="1.9"/>
    <n v="25506"/>
    <s v="Completed"/>
    <x v="4"/>
    <s v="Home"/>
    <s v="Retail"/>
    <n v="27"/>
    <x v="1"/>
    <n v="1556"/>
  </r>
  <r>
    <s v="ORD-01606"/>
    <d v="2024-03-05T00:00:00"/>
    <s v="CUST-0141"/>
    <x v="17"/>
    <s v="R018"/>
    <n v="9"/>
    <n v="3450"/>
    <n v="18"/>
    <n v="25461"/>
    <s v="Completed"/>
    <x v="5"/>
    <s v="Sports"/>
    <s v="Corporate"/>
    <n v="22"/>
    <x v="3"/>
    <n v="2467"/>
  </r>
  <r>
    <s v="ORD-01607"/>
    <d v="2024-02-21T00:00:00"/>
    <s v="CUST-0101"/>
    <x v="10"/>
    <s v="R016"/>
    <n v="5"/>
    <n v="2270"/>
    <n v="11.5"/>
    <n v="10044.75"/>
    <s v="Completed"/>
    <x v="5"/>
    <s v="Grocery"/>
    <s v="SMB"/>
    <n v="40"/>
    <x v="1"/>
    <n v="1203"/>
  </r>
  <r>
    <s v="ORD-01608"/>
    <d v="2024-06-06T00:00:00"/>
    <s v="CUST-0223"/>
    <x v="40"/>
    <s v="R019"/>
    <n v="6"/>
    <n v="3020"/>
    <n v="12.6"/>
    <n v="15836.88"/>
    <s v="Completed"/>
    <x v="4"/>
    <s v="Beauty"/>
    <s v="Retail"/>
    <n v="46"/>
    <x v="3"/>
    <n v="1626"/>
  </r>
  <r>
    <s v="ORD-01609"/>
    <d v="2024-01-26T00:00:00"/>
    <s v="CUST-0197"/>
    <x v="11"/>
    <s v="R008"/>
    <n v="8"/>
    <n v="2640"/>
    <n v="14.5"/>
    <n v="18057.599999999999"/>
    <s v="Refunded"/>
    <x v="4"/>
    <s v="Electronics"/>
    <s v="Retail"/>
    <n v="55"/>
    <x v="0"/>
    <n v="1149"/>
  </r>
  <r>
    <s v="ORD-01610"/>
    <d v="2024-09-26T00:00:00"/>
    <s v="CUST-0260"/>
    <x v="10"/>
    <s v="R027"/>
    <n v="2"/>
    <n v="2270"/>
    <n v="27"/>
    <n v="3314.2"/>
    <s v="Completed"/>
    <x v="4"/>
    <s v="Grocery"/>
    <s v="Retail"/>
    <n v="42"/>
    <x v="2"/>
    <n v="1203"/>
  </r>
  <r>
    <s v="ORD-01611"/>
    <d v="2024-12-10T00:00:00"/>
    <s v="CUST-0180"/>
    <x v="28"/>
    <s v="R027"/>
    <n v="8"/>
    <n v="2760"/>
    <n v="18"/>
    <n v="18105.599999999999"/>
    <s v="Cancelled"/>
    <x v="1"/>
    <s v="Grocery"/>
    <s v="Retail"/>
    <n v="36"/>
    <x v="2"/>
    <n v="1435"/>
  </r>
  <r>
    <s v="ORD-01612"/>
    <d v="2024-04-16T00:00:00"/>
    <s v="CUST-0166"/>
    <x v="0"/>
    <s v="R023"/>
    <n v="8"/>
    <n v="3620"/>
    <n v="7.1"/>
    <n v="26903.84"/>
    <s v="Completed"/>
    <x v="5"/>
    <s v="Apparel"/>
    <s v="Retail"/>
    <n v="31"/>
    <x v="3"/>
    <n v="2509"/>
  </r>
  <r>
    <s v="ORD-01613"/>
    <d v="2024-07-04T00:00:00"/>
    <s v="CUST-0062"/>
    <x v="52"/>
    <s v="R021"/>
    <n v="8"/>
    <n v="2290"/>
    <n v="16.399999999999999"/>
    <n v="15315.52"/>
    <s v="Completed"/>
    <x v="0"/>
    <s v="Beauty"/>
    <s v="Retail"/>
    <n v="54"/>
    <x v="3"/>
    <n v="1219"/>
  </r>
  <r>
    <s v="ORD-01614"/>
    <d v="2024-06-19T00:00:00"/>
    <s v="CUST-0130"/>
    <x v="21"/>
    <s v="R019"/>
    <n v="3"/>
    <n v="1650"/>
    <n v="1.8"/>
    <n v="4860.8999999999996"/>
    <s v="Cancelled"/>
    <x v="4"/>
    <s v="Beauty"/>
    <s v="Corporate"/>
    <n v="41"/>
    <x v="3"/>
    <n v="1222"/>
  </r>
  <r>
    <s v="ORD-01615"/>
    <d v="2024-12-16T00:00:00"/>
    <s v="CUST-0162"/>
    <x v="49"/>
    <s v="R018"/>
    <n v="3"/>
    <n v="5330"/>
    <n v="22.2"/>
    <n v="12440.22"/>
    <s v="Completed"/>
    <x v="3"/>
    <s v="Electronics"/>
    <s v="Corporate"/>
    <n v="35"/>
    <x v="3"/>
    <n v="2405"/>
  </r>
  <r>
    <s v="ORD-01616"/>
    <d v="2024-08-30T00:00:00"/>
    <s v="CUST-0153"/>
    <x v="18"/>
    <s v="R022"/>
    <n v="7"/>
    <n v="1080"/>
    <n v="17.899999999999999"/>
    <n v="6206.76"/>
    <s v="Completed"/>
    <x v="3"/>
    <s v="Home"/>
    <s v="Retail"/>
    <n v="35"/>
    <x v="3"/>
    <n v="519"/>
  </r>
  <r>
    <s v="ORD-01617"/>
    <d v="2024-06-17T00:00:00"/>
    <s v="CUST-0071"/>
    <x v="38"/>
    <s v="R022"/>
    <n v="10"/>
    <n v="1220"/>
    <n v="5.7"/>
    <n v="11504.6"/>
    <s v="Completed"/>
    <x v="2"/>
    <s v="Electronics"/>
    <s v="Corporate"/>
    <n v="46"/>
    <x v="3"/>
    <n v="517"/>
  </r>
  <r>
    <s v="ORD-01618"/>
    <d v="2024-12-22T00:00:00"/>
    <s v="CUST-0200"/>
    <x v="29"/>
    <s v="R030"/>
    <n v="10"/>
    <n v="660"/>
    <n v="7.5"/>
    <n v="6105"/>
    <s v="Completed"/>
    <x v="5"/>
    <s v="Home"/>
    <s v="Corporate"/>
    <n v="46"/>
    <x v="2"/>
    <n v="329"/>
  </r>
  <r>
    <s v="ORD-01619"/>
    <d v="2024-09-22T00:00:00"/>
    <s v="CUST-0266"/>
    <x v="18"/>
    <s v="R020"/>
    <n v="6"/>
    <n v="1080"/>
    <n v="28.9"/>
    <n v="4607.28"/>
    <s v="Completed"/>
    <x v="0"/>
    <s v="Home"/>
    <s v="Retail"/>
    <n v="65"/>
    <x v="3"/>
    <n v="519"/>
  </r>
  <r>
    <s v="ORD-01620"/>
    <d v="2024-10-19T00:00:00"/>
    <s v="CUST-0171"/>
    <x v="34"/>
    <s v="R020"/>
    <n v="7"/>
    <n v="2270"/>
    <n v="1.4"/>
    <n v="15667.54"/>
    <s v="Completed"/>
    <x v="1"/>
    <s v="Grocery"/>
    <s v="Corporate"/>
    <n v="30"/>
    <x v="3"/>
    <n v="1412"/>
  </r>
  <r>
    <s v="ORD-01621"/>
    <d v="2024-07-02T00:00:00"/>
    <s v="CUST-0221"/>
    <x v="5"/>
    <s v="R028"/>
    <n v="3"/>
    <n v="370"/>
    <n v="9.6"/>
    <n v="1003.44"/>
    <s v="Refunded"/>
    <x v="2"/>
    <s v="Home"/>
    <s v="SMB"/>
    <n v="29"/>
    <x v="2"/>
    <n v="288"/>
  </r>
  <r>
    <s v="ORD-01622"/>
    <d v="2024-03-14T00:00:00"/>
    <s v="CUST-0038"/>
    <x v="9"/>
    <s v="R009"/>
    <n v="9"/>
    <n v="970"/>
    <n v="29.7"/>
    <n v="6137.19"/>
    <s v="Completed"/>
    <x v="3"/>
    <s v="Grocery"/>
    <s v="Retail"/>
    <n v="57"/>
    <x v="1"/>
    <n v="434"/>
  </r>
  <r>
    <s v="ORD-00613"/>
    <d v="2024-04-23T00:00:00"/>
    <s v="CUST-0174"/>
    <x v="43"/>
    <s v="R003"/>
    <n v="1"/>
    <n v="620"/>
    <n v="10.4"/>
    <n v="555.52"/>
    <s v="Cancelled"/>
    <x v="0"/>
    <s v="Apparel"/>
    <s v="Retail"/>
    <n v="54"/>
    <x v="0"/>
    <n v="396"/>
  </r>
  <r>
    <s v="ORD-01624"/>
    <d v="2024-08-29T00:00:00"/>
    <s v="CUST-0054"/>
    <x v="3"/>
    <s v="R029"/>
    <n v="5"/>
    <n v="3660"/>
    <n v="8"/>
    <n v="16836"/>
    <s v="Completed"/>
    <x v="3"/>
    <s v="Grocery"/>
    <s v="Corporate"/>
    <n v="62"/>
    <x v="2"/>
    <n v="2214"/>
  </r>
  <r>
    <s v="ORD-01625"/>
    <d v="2024-12-02T00:00:00"/>
    <s v="CUST-0071"/>
    <x v="45"/>
    <s v="R024"/>
    <n v="7"/>
    <n v="2210"/>
    <n v="13.7"/>
    <n v="13350.61"/>
    <s v="Refunded"/>
    <x v="2"/>
    <s v="Grocery"/>
    <s v="Corporate"/>
    <n v="46"/>
    <x v="2"/>
    <n v="1010"/>
  </r>
  <r>
    <s v="ORD-01626"/>
    <d v="2024-12-05T00:00:00"/>
    <s v="CUST-0004"/>
    <x v="56"/>
    <s v="R028"/>
    <n v="1"/>
    <n v="3780"/>
    <n v="11.5"/>
    <n v="3345.3"/>
    <s v="Completed"/>
    <x v="2"/>
    <s v="Sports"/>
    <s v="Retail"/>
    <n v="53"/>
    <x v="2"/>
    <n v="1860"/>
  </r>
  <r>
    <s v="ORD-01627"/>
    <d v="2024-11-05T00:00:00"/>
    <s v="CUST-0033"/>
    <x v="12"/>
    <s v="R005"/>
    <n v="10"/>
    <n v="2600"/>
    <n v="29.4"/>
    <n v="18356"/>
    <s v="Completed"/>
    <x v="2"/>
    <s v="Electronics"/>
    <s v="Retail"/>
    <n v="35"/>
    <x v="0"/>
    <n v="1052"/>
  </r>
  <r>
    <s v="ORD-01628"/>
    <d v="2024-03-14T00:00:00"/>
    <s v="CUST-0079"/>
    <x v="31"/>
    <s v="R017"/>
    <n v="3"/>
    <n v="3780"/>
    <n v="14.4"/>
    <n v="9707.0400000000009"/>
    <s v="Completed"/>
    <x v="3"/>
    <s v="Grocery"/>
    <s v="Corporate"/>
    <n v="60"/>
    <x v="3"/>
    <n v="2436"/>
  </r>
  <r>
    <s v="ORD-01629"/>
    <d v="2024-05-09T00:00:00"/>
    <s v="CUST-0176"/>
    <x v="11"/>
    <s v="R003"/>
    <n v="10"/>
    <n v="2640"/>
    <n v="26.8"/>
    <n v="19324.8"/>
    <s v="Pending"/>
    <x v="4"/>
    <s v="Electronics"/>
    <s v="SMB"/>
    <n v="34"/>
    <x v="0"/>
    <n v="1149"/>
  </r>
  <r>
    <s v="ORD-01630"/>
    <d v="2024-02-25T00:00:00"/>
    <s v="CUST-0254"/>
    <x v="57"/>
    <s v="R013"/>
    <n v="3"/>
    <n v="1090"/>
    <n v="9.1"/>
    <n v="2972.43"/>
    <s v="Completed"/>
    <x v="4"/>
    <s v="Home"/>
    <s v="Retail"/>
    <n v="35"/>
    <x v="1"/>
    <n v="464"/>
  </r>
  <r>
    <s v="ORD-01631"/>
    <d v="2024-10-09T00:00:00"/>
    <s v="CUST-0212"/>
    <x v="55"/>
    <s v="R024"/>
    <n v="3"/>
    <n v="3450"/>
    <n v="23"/>
    <n v="7969.5"/>
    <s v="Pending"/>
    <x v="1"/>
    <s v="Apparel"/>
    <s v="SMB"/>
    <n v="46"/>
    <x v="2"/>
    <n v="1748"/>
  </r>
  <r>
    <s v="ORD-01632"/>
    <d v="2024-03-14T00:00:00"/>
    <s v="CUST-0109"/>
    <x v="51"/>
    <s v="R015"/>
    <n v="1"/>
    <n v="960"/>
    <n v="1.1000000000000001"/>
    <n v="949.44"/>
    <s v="Completed"/>
    <x v="0"/>
    <s v="Beauty"/>
    <s v="Retail"/>
    <n v="42"/>
    <x v="1"/>
    <n v="675"/>
  </r>
  <r>
    <s v="ORD-01633"/>
    <d v="2024-10-12T00:00:00"/>
    <s v="CUST-0087"/>
    <x v="3"/>
    <s v="R030"/>
    <n v="9"/>
    <n v="3660"/>
    <n v="9"/>
    <n v="29975.4"/>
    <s v="Completed"/>
    <x v="0"/>
    <s v="Grocery"/>
    <s v="SMB"/>
    <n v="49"/>
    <x v="2"/>
    <n v="2214"/>
  </r>
  <r>
    <s v="ORD-01634"/>
    <d v="2024-05-08T00:00:00"/>
    <s v="CUST-0167"/>
    <x v="30"/>
    <s v="R008"/>
    <n v="3"/>
    <n v="3730"/>
    <n v="15.8"/>
    <n v="9421.98"/>
    <s v="Completed"/>
    <x v="2"/>
    <s v="Home"/>
    <s v="Retail"/>
    <n v="43"/>
    <x v="0"/>
    <n v="2135"/>
  </r>
  <r>
    <s v="ORD-01635"/>
    <d v="2024-02-25T00:00:00"/>
    <s v="CUST-0079"/>
    <x v="37"/>
    <s v="R004"/>
    <n v="6"/>
    <n v="4070"/>
    <n v="6.2"/>
    <n v="22905.96"/>
    <s v="Completed"/>
    <x v="3"/>
    <s v="Grocery"/>
    <s v="Corporate"/>
    <n v="60"/>
    <x v="0"/>
    <n v="2027"/>
  </r>
  <r>
    <s v="ORD-01636"/>
    <d v="2024-02-07T00:00:00"/>
    <s v="CUST-0115"/>
    <x v="41"/>
    <s v="R022"/>
    <n v="1"/>
    <n v="2660"/>
    <n v="14.6"/>
    <n v="2271.64"/>
    <s v="Completed"/>
    <x v="3"/>
    <s v="Electronics"/>
    <s v="SMB"/>
    <n v="65"/>
    <x v="3"/>
    <n v="1259"/>
  </r>
  <r>
    <s v="ORD-01637"/>
    <d v="2024-03-27T00:00:00"/>
    <s v="CUST-0184"/>
    <x v="44"/>
    <s v="R003"/>
    <n v="3"/>
    <n v="2030"/>
    <n v="13.3"/>
    <n v="5280.03"/>
    <s v="Cancelled"/>
    <x v="0"/>
    <s v="Home"/>
    <s v="Retail"/>
    <n v="63"/>
    <x v="0"/>
    <n v="1143"/>
  </r>
  <r>
    <s v="ORD-01638"/>
    <d v="2024-04-11T00:00:00"/>
    <s v="CUST-0084"/>
    <x v="3"/>
    <s v="R001"/>
    <n v="4"/>
    <n v="3660"/>
    <n v="2.2000000000000002"/>
    <n v="14317.92"/>
    <s v="Completed"/>
    <x v="1"/>
    <s v="Grocery"/>
    <s v="Retail"/>
    <n v="28"/>
    <x v="0"/>
    <n v="2214"/>
  </r>
  <r>
    <s v="ORD-01639"/>
    <d v="2024-03-13T00:00:00"/>
    <s v="CUST-0186"/>
    <x v="41"/>
    <s v="R006"/>
    <n v="2"/>
    <n v="2660"/>
    <n v="7.2"/>
    <n v="4936.96"/>
    <s v="Cancelled"/>
    <x v="4"/>
    <s v="Electronics"/>
    <s v="Retail"/>
    <n v="42"/>
    <x v="0"/>
    <n v="1259"/>
  </r>
  <r>
    <s v="ORD-01640"/>
    <d v="2024-11-28T00:00:00"/>
    <s v="CUST-0077"/>
    <x v="24"/>
    <s v="R013"/>
    <n v="2"/>
    <n v="4880"/>
    <n v="23.8"/>
    <n v="7437.12"/>
    <s v="Completed"/>
    <x v="5"/>
    <s v="Beauty"/>
    <s v="SMB"/>
    <n v="48"/>
    <x v="1"/>
    <n v="2768"/>
  </r>
  <r>
    <s v="ORD-01641"/>
    <d v="2024-04-29T00:00:00"/>
    <s v="CUST-0093"/>
    <x v="55"/>
    <s v="R011"/>
    <n v="1"/>
    <n v="3450"/>
    <n v="1.7"/>
    <n v="3391.35"/>
    <s v="Completed"/>
    <x v="0"/>
    <s v="Apparel"/>
    <s v="Retail"/>
    <n v="36"/>
    <x v="1"/>
    <n v="1748"/>
  </r>
  <r>
    <s v="ORD-01642"/>
    <d v="2024-09-15T00:00:00"/>
    <s v="CUST-0018"/>
    <x v="40"/>
    <s v="R023"/>
    <n v="4"/>
    <n v="3020"/>
    <n v="17.8"/>
    <n v="9929.76"/>
    <s v="Completed"/>
    <x v="0"/>
    <s v="Beauty"/>
    <s v="SMB"/>
    <n v="54"/>
    <x v="3"/>
    <n v="1626"/>
  </r>
  <r>
    <s v="ORD-01643"/>
    <d v="2024-08-08T00:00:00"/>
    <s v="CUST-0034"/>
    <x v="58"/>
    <s v="R021"/>
    <n v="6"/>
    <n v="6940"/>
    <n v="8.9"/>
    <n v="37934.04"/>
    <s v="Completed"/>
    <x v="2"/>
    <s v="Sports"/>
    <s v="Retail"/>
    <n v="47"/>
    <x v="3"/>
    <n v="2827"/>
  </r>
  <r>
    <s v="ORD-01644"/>
    <d v="2024-08-19T00:00:00"/>
    <s v="CUST-0111"/>
    <x v="28"/>
    <s v="R023"/>
    <n v="10"/>
    <n v="2760"/>
    <n v="8.9"/>
    <n v="25143.599999999999"/>
    <s v="Completed"/>
    <x v="1"/>
    <s v="Grocery"/>
    <s v="SMB"/>
    <n v="64"/>
    <x v="3"/>
    <n v="1435"/>
  </r>
  <r>
    <s v="ORD-01645"/>
    <d v="2024-01-19T00:00:00"/>
    <s v="CUST-0210"/>
    <x v="51"/>
    <s v="R020"/>
    <n v="8"/>
    <n v="960"/>
    <n v="20.9"/>
    <n v="6074.88"/>
    <s v="Completed"/>
    <x v="0"/>
    <s v="Beauty"/>
    <s v="Corporate"/>
    <n v="48"/>
    <x v="3"/>
    <n v="675"/>
  </r>
  <r>
    <s v="ORD-01646"/>
    <d v="2024-07-25T00:00:00"/>
    <s v="CUST-0037"/>
    <x v="51"/>
    <s v="R012"/>
    <n v="4"/>
    <n v="960"/>
    <n v="29.1"/>
    <n v="2722.56"/>
    <s v="Completed"/>
    <x v="4"/>
    <s v="Beauty"/>
    <s v="Retail"/>
    <n v="52"/>
    <x v="1"/>
    <n v="675"/>
  </r>
  <r>
    <s v="ORD-01647"/>
    <d v="2024-04-28T00:00:00"/>
    <s v="CUST-0192"/>
    <x v="9"/>
    <s v="R021"/>
    <n v="1"/>
    <n v="970"/>
    <n v="8.4"/>
    <n v="888.52"/>
    <s v="Cancelled"/>
    <x v="4"/>
    <s v="Grocery"/>
    <s v="Retail"/>
    <n v="55"/>
    <x v="3"/>
    <n v="434"/>
  </r>
  <r>
    <s v="ORD-01648"/>
    <d v="2024-04-18T00:00:00"/>
    <s v="CUST-0038"/>
    <x v="33"/>
    <s v="R023"/>
    <n v="5"/>
    <n v="6080"/>
    <n v="17.600000000000001"/>
    <n v="25049.599999999999"/>
    <s v="Completed"/>
    <x v="3"/>
    <s v="Beauty"/>
    <s v="Retail"/>
    <n v="57"/>
    <x v="3"/>
    <n v="2617"/>
  </r>
  <r>
    <s v="ORD-01649"/>
    <d v="2024-08-21T00:00:00"/>
    <s v="CUST-0034"/>
    <x v="3"/>
    <s v="R013"/>
    <n v="4"/>
    <n v="3660"/>
    <n v="21.8"/>
    <n v="11448.48"/>
    <s v="Pending"/>
    <x v="2"/>
    <s v="Grocery"/>
    <s v="Retail"/>
    <n v="47"/>
    <x v="1"/>
    <n v="2214"/>
  </r>
  <r>
    <s v="ORD-01650"/>
    <d v="2024-06-19T00:00:00"/>
    <s v="CUST-0248"/>
    <x v="30"/>
    <s v="R008"/>
    <n v="6"/>
    <n v="3730"/>
    <n v="13.3"/>
    <n v="19403.46"/>
    <s v="Cancelled"/>
    <x v="1"/>
    <s v="Home"/>
    <s v="SMB"/>
    <n v="57"/>
    <x v="0"/>
    <n v="2135"/>
  </r>
  <r>
    <s v="ORD-01651"/>
    <d v="2024-11-29T00:00:00"/>
    <s v="CUST-0194"/>
    <x v="35"/>
    <s v="R029"/>
    <n v="8"/>
    <n v="3870"/>
    <n v="21.2"/>
    <n v="24396.48"/>
    <s v="Pending"/>
    <x v="2"/>
    <s v="Electronics"/>
    <s v="SMB"/>
    <n v="55"/>
    <x v="2"/>
    <n v="1559"/>
  </r>
  <r>
    <s v="ORD-01652"/>
    <d v="2024-04-08T00:00:00"/>
    <s v="CUST-0114"/>
    <x v="28"/>
    <s v="R016"/>
    <n v="4"/>
    <n v="2760"/>
    <n v="14"/>
    <n v="9494.4"/>
    <s v="Completed"/>
    <x v="4"/>
    <s v="Grocery"/>
    <s v="Corporate"/>
    <n v="42"/>
    <x v="1"/>
    <n v="1435"/>
  </r>
  <r>
    <s v="ORD-01653"/>
    <d v="2024-11-01T00:00:00"/>
    <s v="CUST-0118"/>
    <x v="50"/>
    <s v="R020"/>
    <n v="5"/>
    <n v="2380"/>
    <n v="16.399999999999999"/>
    <n v="9948.4"/>
    <s v="Completed"/>
    <x v="5"/>
    <s v="Grocery"/>
    <s v="Retail"/>
    <n v="26"/>
    <x v="3"/>
    <n v="1182"/>
  </r>
  <r>
    <s v="ORD-01654"/>
    <d v="2024-01-16T00:00:00"/>
    <s v="CUST-9719"/>
    <x v="33"/>
    <s v="R015"/>
    <n v="2"/>
    <n v="6080"/>
    <n v="20.100000000000001"/>
    <n v="9715.84"/>
    <s v="Cancelled"/>
    <x v="3"/>
    <s v="Beauty"/>
    <e v="#N/A"/>
    <e v="#N/A"/>
    <x v="1"/>
    <n v="2617"/>
  </r>
  <r>
    <s v="ORD-01655"/>
    <d v="2024-10-03T00:00:00"/>
    <s v="CUST-0232"/>
    <x v="43"/>
    <s v="R016"/>
    <n v="2"/>
    <n v="620"/>
    <n v="4.3"/>
    <n v="1186.68"/>
    <s v="Completed"/>
    <x v="5"/>
    <s v="Apparel"/>
    <s v="Retail"/>
    <n v="38"/>
    <x v="1"/>
    <n v="396"/>
  </r>
  <r>
    <s v="ORD-01656"/>
    <d v="2024-12-28T00:00:00"/>
    <s v="CUST-0240"/>
    <x v="35"/>
    <s v="R012"/>
    <n v="7"/>
    <n v="3870"/>
    <n v="5.9"/>
    <n v="25491.69"/>
    <s v="Completed"/>
    <x v="1"/>
    <s v="Electronics"/>
    <s v="Corporate"/>
    <n v="35"/>
    <x v="1"/>
    <n v="1559"/>
  </r>
  <r>
    <s v="ORD-01657"/>
    <d v="2024-04-30T00:00:00"/>
    <s v="CUST-0227"/>
    <x v="25"/>
    <s v="R020"/>
    <n v="8"/>
    <n v="3570"/>
    <n v="24.6"/>
    <n v="21534.240000000002"/>
    <s v="Completed"/>
    <x v="4"/>
    <s v="Electronics"/>
    <s v="SMB"/>
    <n v="44"/>
    <x v="3"/>
    <n v="1665"/>
  </r>
  <r>
    <s v="ORD-01658"/>
    <d v="2024-12-27T00:00:00"/>
    <s v="CUST-0234"/>
    <x v="37"/>
    <s v="R010"/>
    <n v="1"/>
    <n v="4070"/>
    <n v="29.1"/>
    <n v="2885.63"/>
    <s v="Pending"/>
    <x v="4"/>
    <s v="Grocery"/>
    <s v="Retail"/>
    <n v="34"/>
    <x v="1"/>
    <n v="2027"/>
  </r>
  <r>
    <s v="ORD-01659"/>
    <d v="2024-10-03T00:00:00"/>
    <s v="CUST-0041"/>
    <x v="1"/>
    <s v="R017"/>
    <n v="1"/>
    <n v="820"/>
    <n v="17.899999999999999"/>
    <n v="673.22"/>
    <s v="Completed"/>
    <x v="4"/>
    <s v="Apparel"/>
    <s v="SMB"/>
    <n v="26"/>
    <x v="3"/>
    <n v="391"/>
  </r>
  <r>
    <s v="ORD-01660"/>
    <d v="2024-12-17T00:00:00"/>
    <s v="CUST-0129"/>
    <x v="40"/>
    <s v="R029"/>
    <n v="5"/>
    <n v="3020"/>
    <n v="26.2"/>
    <n v="11143.8"/>
    <s v="Completed"/>
    <x v="5"/>
    <s v="Beauty"/>
    <s v="Retail"/>
    <n v="29"/>
    <x v="2"/>
    <n v="1626"/>
  </r>
  <r>
    <s v="ORD-01661"/>
    <d v="2024-04-29T00:00:00"/>
    <s v="CUST-0141"/>
    <x v="59"/>
    <s v="R022"/>
    <n v="10"/>
    <n v="3560"/>
    <n v="15.4"/>
    <n v="30117.599999999999"/>
    <s v="Refunded"/>
    <x v="5"/>
    <s v="Apparel"/>
    <s v="Corporate"/>
    <n v="22"/>
    <x v="3"/>
    <n v="2629"/>
  </r>
  <r>
    <s v="ORD-01662"/>
    <d v="2024-06-24T00:00:00"/>
    <s v="CUST-0282"/>
    <x v="22"/>
    <s v="R001"/>
    <n v="3"/>
    <n v="3350"/>
    <n v="8.1"/>
    <n v="9235.9500000000007"/>
    <s v="Completed"/>
    <x v="5"/>
    <s v="Beauty"/>
    <s v="Corporate"/>
    <n v="29"/>
    <x v="0"/>
    <n v="1728"/>
  </r>
  <r>
    <s v="ORD-01663"/>
    <d v="2024-09-07T00:00:00"/>
    <s v="CUST-0269"/>
    <x v="52"/>
    <s v="R025"/>
    <n v="10"/>
    <n v="2290"/>
    <n v="7"/>
    <n v="21297"/>
    <s v="Completed"/>
    <x v="0"/>
    <s v="Beauty"/>
    <s v="Retail"/>
    <n v="48"/>
    <x v="2"/>
    <n v="1219"/>
  </r>
  <r>
    <s v="ORD-01664"/>
    <d v="2024-07-10T00:00:00"/>
    <s v="CUST-0239"/>
    <x v="3"/>
    <s v="R003"/>
    <n v="6"/>
    <n v="3660"/>
    <n v="29.9"/>
    <n v="15393.96"/>
    <s v="Completed"/>
    <x v="3"/>
    <s v="Grocery"/>
    <s v="Retail"/>
    <n v="61"/>
    <x v="0"/>
    <n v="2214"/>
  </r>
  <r>
    <s v="ORD-01665"/>
    <d v="2024-05-14T00:00:00"/>
    <s v="CUST-0075"/>
    <x v="11"/>
    <s v="R013"/>
    <n v="8"/>
    <n v="2640"/>
    <n v="4.2"/>
    <n v="20232.96"/>
    <s v="Refunded"/>
    <x v="3"/>
    <s v="Electronics"/>
    <s v="Corporate"/>
    <n v="55"/>
    <x v="1"/>
    <n v="1149"/>
  </r>
  <r>
    <s v="ORD-01666"/>
    <d v="2024-04-04T00:00:00"/>
    <s v="CUST-0184"/>
    <x v="5"/>
    <s v="R006"/>
    <n v="5"/>
    <n v="370"/>
    <n v="6"/>
    <n v="1739"/>
    <s v="Completed"/>
    <x v="0"/>
    <s v="Home"/>
    <s v="Retail"/>
    <n v="63"/>
    <x v="0"/>
    <n v="288"/>
  </r>
  <r>
    <s v="ORD-01667"/>
    <d v="2024-03-26T00:00:00"/>
    <s v="CUST-0144"/>
    <x v="10"/>
    <s v="R007"/>
    <n v="9"/>
    <n v="2270"/>
    <n v="4.7"/>
    <n v="19469.79"/>
    <s v="Completed"/>
    <x v="1"/>
    <s v="Grocery"/>
    <s v="Retail"/>
    <n v="49"/>
    <x v="0"/>
    <n v="1203"/>
  </r>
  <r>
    <s v="ORD-01668"/>
    <d v="2024-05-02T00:00:00"/>
    <s v="CUST-0039"/>
    <x v="29"/>
    <s v="R011"/>
    <n v="5"/>
    <n v="660"/>
    <n v="21"/>
    <n v="2607"/>
    <s v="Completed"/>
    <x v="4"/>
    <s v="Home"/>
    <s v="Retail"/>
    <n v="37"/>
    <x v="1"/>
    <n v="329"/>
  </r>
  <r>
    <s v="ORD-01669"/>
    <d v="2024-04-25T00:00:00"/>
    <s v="CUST-9765"/>
    <x v="6"/>
    <s v="R003"/>
    <n v="2"/>
    <n v="960"/>
    <n v="7.3"/>
    <n v="1779.84"/>
    <s v="Completed"/>
    <x v="4"/>
    <s v="Sports"/>
    <e v="#N/A"/>
    <e v="#N/A"/>
    <x v="0"/>
    <n v="705"/>
  </r>
  <r>
    <s v="ORD-01670"/>
    <d v="2024-08-05T00:00:00"/>
    <s v="CUST-0159"/>
    <x v="26"/>
    <s v="R009"/>
    <n v="3"/>
    <n v="5100"/>
    <n v="21"/>
    <n v="12087"/>
    <s v="Completed"/>
    <x v="5"/>
    <s v="Beauty"/>
    <s v="Retail"/>
    <n v="32"/>
    <x v="1"/>
    <n v="2237"/>
  </r>
  <r>
    <s v="ORD-01671"/>
    <d v="2024-10-01T00:00:00"/>
    <s v="CUST-0168"/>
    <x v="4"/>
    <s v="R004"/>
    <n v="3"/>
    <n v="3160"/>
    <n v="13.5"/>
    <n v="8200.2000000000007"/>
    <s v="Completed"/>
    <x v="0"/>
    <s v="Apparel"/>
    <s v="Retail"/>
    <n v="25"/>
    <x v="0"/>
    <n v="1886"/>
  </r>
  <r>
    <s v="ORD-01672"/>
    <d v="2024-08-20T00:00:00"/>
    <s v="CUST-9552"/>
    <x v="36"/>
    <s v="R005"/>
    <n v="9"/>
    <n v="1540"/>
    <n v="18.2"/>
    <n v="11337.48"/>
    <s v="Cancelled"/>
    <x v="4"/>
    <s v="Beauty"/>
    <e v="#N/A"/>
    <e v="#N/A"/>
    <x v="0"/>
    <n v="647"/>
  </r>
  <r>
    <s v="ORD-01673"/>
    <d v="2024-05-19T00:00:00"/>
    <s v="CUST-0056"/>
    <x v="16"/>
    <s v="R024"/>
    <n v="4"/>
    <n v="3450"/>
    <n v="26.4"/>
    <n v="10156.799999999999"/>
    <s v="Pending"/>
    <x v="4"/>
    <s v="Beauty"/>
    <s v="SMB"/>
    <n v="46"/>
    <x v="2"/>
    <n v="2420"/>
  </r>
  <r>
    <s v="ORD-01674"/>
    <d v="2024-11-02T00:00:00"/>
    <s v="CUST-0239"/>
    <x v="50"/>
    <s v="R026"/>
    <n v="4"/>
    <n v="2380"/>
    <n v="6.9"/>
    <n v="8863.1200000000008"/>
    <s v="Completed"/>
    <x v="3"/>
    <s v="Grocery"/>
    <s v="Retail"/>
    <n v="61"/>
    <x v="2"/>
    <n v="1182"/>
  </r>
  <r>
    <s v="ORD-01675"/>
    <d v="2024-05-07T00:00:00"/>
    <s v="CUST-0168"/>
    <x v="30"/>
    <s v="R003"/>
    <n v="2"/>
    <n v="3730"/>
    <n v="22.9"/>
    <n v="5751.66"/>
    <s v="Completed"/>
    <x v="0"/>
    <s v="Home"/>
    <s v="Retail"/>
    <n v="25"/>
    <x v="0"/>
    <n v="2135"/>
  </r>
  <r>
    <s v="ORD-01676"/>
    <d v="2024-09-14T00:00:00"/>
    <s v="CUST-0012"/>
    <x v="13"/>
    <s v="R002"/>
    <n v="7"/>
    <n v="3250"/>
    <n v="6"/>
    <n v="21385"/>
    <s v="Completed"/>
    <x v="0"/>
    <s v="Home"/>
    <s v="Retail"/>
    <n v="43"/>
    <x v="0"/>
    <n v="1556"/>
  </r>
  <r>
    <s v="ORD-01677"/>
    <d v="2024-08-15T00:00:00"/>
    <s v="CUST-0057"/>
    <x v="2"/>
    <s v="R020"/>
    <n v="9"/>
    <n v="470"/>
    <n v="11.6"/>
    <n v="3739.32"/>
    <s v="Completed"/>
    <x v="0"/>
    <s v="Sports"/>
    <s v="Retail"/>
    <n v="35"/>
    <x v="3"/>
    <n v="302"/>
  </r>
  <r>
    <s v="ORD-01678"/>
    <d v="2024-10-09T00:00:00"/>
    <s v="CUST-0030"/>
    <x v="52"/>
    <s v="R026"/>
    <n v="5"/>
    <n v="2290"/>
    <n v="27.6"/>
    <n v="8289.7999999999993"/>
    <s v="Completed"/>
    <x v="4"/>
    <s v="Beauty"/>
    <s v="Corporate"/>
    <n v="43"/>
    <x v="2"/>
    <n v="1219"/>
  </r>
  <r>
    <s v="ORD-01679"/>
    <d v="2024-06-19T00:00:00"/>
    <s v="CUST-0166"/>
    <x v="7"/>
    <s v="R029"/>
    <n v="6"/>
    <n v="1430"/>
    <n v="18.399999999999999"/>
    <n v="7001.28"/>
    <s v="Pending"/>
    <x v="5"/>
    <s v="Electronics"/>
    <s v="Retail"/>
    <n v="31"/>
    <x v="2"/>
    <n v="861"/>
  </r>
  <r>
    <s v="ORD-01680"/>
    <d v="2024-02-14T00:00:00"/>
    <s v="CUST-0188"/>
    <x v="27"/>
    <s v="R002"/>
    <n v="7"/>
    <n v="2860"/>
    <n v="19.5"/>
    <n v="16116.1"/>
    <s v="Completed"/>
    <x v="4"/>
    <s v="Sports"/>
    <s v="Retail"/>
    <n v="54"/>
    <x v="0"/>
    <n v="2028"/>
  </r>
  <r>
    <s v="ORD-01681"/>
    <d v="2024-05-27T00:00:00"/>
    <s v="CUST-0097"/>
    <x v="16"/>
    <s v="R020"/>
    <n v="8"/>
    <n v="3450"/>
    <n v="25.5"/>
    <n v="20562"/>
    <s v="Pending"/>
    <x v="3"/>
    <s v="Beauty"/>
    <s v="Retail"/>
    <n v="65"/>
    <x v="3"/>
    <n v="2420"/>
  </r>
  <r>
    <s v="ORD-01682"/>
    <d v="2024-10-13T00:00:00"/>
    <s v="CUST-0026"/>
    <x v="48"/>
    <s v="R019"/>
    <n v="7"/>
    <n v="5410"/>
    <n v="15.2"/>
    <n v="32113.759999999998"/>
    <s v="Cancelled"/>
    <x v="0"/>
    <s v="Sports"/>
    <s v="Retail"/>
    <n v="62"/>
    <x v="3"/>
    <n v="2265"/>
  </r>
  <r>
    <s v="ORD-01683"/>
    <d v="2024-10-23T00:00:00"/>
    <s v="CUST-0026"/>
    <x v="18"/>
    <s v="R025"/>
    <n v="3"/>
    <n v="1080"/>
    <n v="26"/>
    <n v="2397.6"/>
    <s v="Completed"/>
    <x v="0"/>
    <s v="Home"/>
    <s v="Retail"/>
    <n v="62"/>
    <x v="2"/>
    <n v="519"/>
  </r>
  <r>
    <s v="ORD-01684"/>
    <d v="2024-03-03T00:00:00"/>
    <s v="CUST-0020"/>
    <x v="27"/>
    <s v="R019"/>
    <n v="8"/>
    <n v="2860"/>
    <n v="14.8"/>
    <n v="19493.759999999998"/>
    <s v="Completed"/>
    <x v="5"/>
    <s v="Sports"/>
    <s v="Retail"/>
    <n v="46"/>
    <x v="3"/>
    <n v="2028"/>
  </r>
  <r>
    <s v="ORD-01685"/>
    <d v="2024-02-10T00:00:00"/>
    <s v="CUST-9740"/>
    <x v="40"/>
    <s v="R013"/>
    <n v="4"/>
    <n v="3020"/>
    <n v="8.1"/>
    <n v="11101.52"/>
    <s v="Completed"/>
    <x v="5"/>
    <s v="Beauty"/>
    <e v="#N/A"/>
    <e v="#N/A"/>
    <x v="1"/>
    <n v="1626"/>
  </r>
  <r>
    <s v="ORD-01686"/>
    <d v="2024-12-23T00:00:00"/>
    <s v="CUST-0095"/>
    <x v="6"/>
    <s v="R025"/>
    <n v="4"/>
    <n v="960"/>
    <n v="6.4"/>
    <n v="3594.24"/>
    <s v="Cancelled"/>
    <x v="3"/>
    <s v="Sports"/>
    <s v="SMB"/>
    <n v="54"/>
    <x v="2"/>
    <n v="705"/>
  </r>
  <r>
    <s v="ORD-01687"/>
    <d v="2024-10-31T00:00:00"/>
    <s v="CUST-0079"/>
    <x v="35"/>
    <s v="R029"/>
    <n v="4"/>
    <n v="3870"/>
    <n v="15.9"/>
    <n v="13018.68"/>
    <s v="Completed"/>
    <x v="3"/>
    <s v="Electronics"/>
    <s v="Corporate"/>
    <n v="60"/>
    <x v="2"/>
    <n v="1559"/>
  </r>
  <r>
    <s v="ORD-01688"/>
    <d v="2024-03-27T00:00:00"/>
    <s v="CUST-0060"/>
    <x v="4"/>
    <s v="R020"/>
    <n v="5"/>
    <n v="3160"/>
    <n v="29.8"/>
    <n v="11091.6"/>
    <s v="Completed"/>
    <x v="0"/>
    <s v="Apparel"/>
    <s v="Retail"/>
    <n v="39"/>
    <x v="3"/>
    <n v="1886"/>
  </r>
  <r>
    <s v="ORD-01689"/>
    <d v="2024-04-21T00:00:00"/>
    <s v="CUST-0080"/>
    <x v="16"/>
    <s v="R027"/>
    <n v="5"/>
    <n v="3450"/>
    <n v="29.4"/>
    <n v="12178.5"/>
    <s v="Completed"/>
    <x v="0"/>
    <s v="Beauty"/>
    <s v="SMB"/>
    <n v="30"/>
    <x v="2"/>
    <n v="2420"/>
  </r>
  <r>
    <s v="ORD-01690"/>
    <d v="2024-08-31T00:00:00"/>
    <s v="CUST-0136"/>
    <x v="51"/>
    <s v="R018"/>
    <n v="10"/>
    <n v="960"/>
    <n v="27"/>
    <n v="7008"/>
    <s v="Cancelled"/>
    <x v="1"/>
    <s v="Beauty"/>
    <s v="SMB"/>
    <n v="26"/>
    <x v="3"/>
    <n v="675"/>
  </r>
  <r>
    <s v="ORD-01691"/>
    <d v="2024-05-17T00:00:00"/>
    <s v="CUST-0074"/>
    <x v="58"/>
    <s v="R018"/>
    <n v="10"/>
    <n v="6940"/>
    <n v="20.100000000000001"/>
    <n v="55450.6"/>
    <s v="Completed"/>
    <x v="4"/>
    <s v="Sports"/>
    <s v="Retail"/>
    <n v="27"/>
    <x v="3"/>
    <n v="2827"/>
  </r>
  <r>
    <s v="ORD-01692"/>
    <d v="2024-05-24T00:00:00"/>
    <s v="CUST-0090"/>
    <x v="15"/>
    <s v="R009"/>
    <n v="9"/>
    <n v="2400"/>
    <n v="7.8"/>
    <n v="19915.2"/>
    <s v="Completed"/>
    <x v="4"/>
    <s v="Sports"/>
    <s v="Corporate"/>
    <n v="26"/>
    <x v="1"/>
    <n v="974"/>
  </r>
  <r>
    <s v="ORD-01693"/>
    <d v="2024-04-15T00:00:00"/>
    <s v="CUST-0300"/>
    <x v="48"/>
    <s v="R017"/>
    <n v="1"/>
    <n v="5410"/>
    <n v="22.8"/>
    <n v="4176.5200000000004"/>
    <s v="Completed"/>
    <x v="3"/>
    <s v="Sports"/>
    <s v="Retail"/>
    <n v="38"/>
    <x v="3"/>
    <n v="2265"/>
  </r>
  <r>
    <s v="ORD-01694"/>
    <d v="2024-12-03T00:00:00"/>
    <s v="CUST-0188"/>
    <x v="38"/>
    <s v="R004"/>
    <n v="7"/>
    <n v="1220"/>
    <n v="18.8"/>
    <n v="6934.48"/>
    <s v="Pending"/>
    <x v="4"/>
    <s v="Electronics"/>
    <s v="Retail"/>
    <n v="54"/>
    <x v="0"/>
    <n v="517"/>
  </r>
  <r>
    <s v="ORD-01695"/>
    <d v="2024-10-30T00:00:00"/>
    <s v="CUST-0250"/>
    <x v="57"/>
    <s v="R019"/>
    <n v="1"/>
    <n v="1090"/>
    <n v="23.5"/>
    <n v="833.85"/>
    <s v="Completed"/>
    <x v="2"/>
    <s v="Home"/>
    <s v="Retail"/>
    <n v="31"/>
    <x v="3"/>
    <n v="464"/>
  </r>
  <r>
    <s v="ORD-01696"/>
    <d v="2024-08-27T00:00:00"/>
    <s v="CUST-0195"/>
    <x v="28"/>
    <s v="R023"/>
    <n v="2"/>
    <n v="2760"/>
    <n v="2.2999999999999998"/>
    <n v="5393.04"/>
    <s v="Completed"/>
    <x v="4"/>
    <s v="Grocery"/>
    <s v="Retail"/>
    <n v="28"/>
    <x v="3"/>
    <n v="1435"/>
  </r>
  <r>
    <s v="ORD-01697"/>
    <d v="2024-11-30T00:00:00"/>
    <s v="CUST-0185"/>
    <x v="25"/>
    <s v="R026"/>
    <n v="3"/>
    <n v="3570"/>
    <n v="18.399999999999999"/>
    <n v="8739.36"/>
    <s v="Refunded"/>
    <x v="5"/>
    <s v="Electronics"/>
    <s v="SMB"/>
    <n v="43"/>
    <x v="2"/>
    <n v="1665"/>
  </r>
  <r>
    <s v="ORD-01698"/>
    <d v="2024-07-29T00:00:00"/>
    <s v="CUST-0256"/>
    <x v="38"/>
    <s v="R004"/>
    <n v="7"/>
    <n v="1220"/>
    <n v="25.8"/>
    <n v="6336.68"/>
    <s v="Refunded"/>
    <x v="5"/>
    <s v="Electronics"/>
    <s v="Retail"/>
    <n v="28"/>
    <x v="0"/>
    <n v="517"/>
  </r>
  <r>
    <s v="ORD-01699"/>
    <d v="2024-07-28T00:00:00"/>
    <s v="CUST-0060"/>
    <x v="17"/>
    <s v="R029"/>
    <n v="6"/>
    <n v="3450"/>
    <n v="13.1"/>
    <n v="17988.3"/>
    <s v="Completed"/>
    <x v="0"/>
    <s v="Sports"/>
    <s v="Retail"/>
    <n v="39"/>
    <x v="2"/>
    <n v="2467"/>
  </r>
  <r>
    <s v="ORD-01700"/>
    <d v="2024-05-23T00:00:00"/>
    <s v="CUST-0275"/>
    <x v="45"/>
    <s v="R004"/>
    <n v="10"/>
    <n v="2210"/>
    <n v="16.600000000000001"/>
    <n v="18431.400000000001"/>
    <s v="Completed"/>
    <x v="3"/>
    <s v="Grocery"/>
    <s v="Retail"/>
    <n v="36"/>
    <x v="0"/>
    <n v="1010"/>
  </r>
  <r>
    <s v="ORD-01701"/>
    <d v="2024-01-04T00:00:00"/>
    <s v="CUST-0114"/>
    <x v="19"/>
    <s v="R027"/>
    <n v="10"/>
    <n v="2480"/>
    <n v="17.5"/>
    <n v="20460"/>
    <s v="Completed"/>
    <x v="4"/>
    <s v="Apparel"/>
    <s v="Corporate"/>
    <n v="42"/>
    <x v="2"/>
    <n v="1173"/>
  </r>
  <r>
    <s v="ORD-01702"/>
    <d v="2024-10-01T00:00:00"/>
    <s v="CUST-0060"/>
    <x v="13"/>
    <s v="R019"/>
    <n v="9"/>
    <n v="3250"/>
    <n v="25.9"/>
    <n v="21674.25"/>
    <s v="Completed"/>
    <x v="0"/>
    <s v="Home"/>
    <s v="Retail"/>
    <n v="39"/>
    <x v="3"/>
    <n v="1556"/>
  </r>
  <r>
    <s v="ORD-01703"/>
    <d v="2024-07-01T00:00:00"/>
    <s v="CUST-0039"/>
    <x v="15"/>
    <s v="R008"/>
    <n v="3"/>
    <n v="2400"/>
    <n v="17.5"/>
    <n v="5940"/>
    <s v="Completed"/>
    <x v="4"/>
    <s v="Sports"/>
    <s v="Retail"/>
    <n v="37"/>
    <x v="0"/>
    <n v="974"/>
  </r>
  <r>
    <s v="ORD-01704"/>
    <d v="2024-03-21T00:00:00"/>
    <s v="CUST-0033"/>
    <x v="48"/>
    <s v="R006"/>
    <n v="8"/>
    <n v="5410"/>
    <n v="8.3000000000000007"/>
    <n v="39687.760000000002"/>
    <s v="Completed"/>
    <x v="2"/>
    <s v="Sports"/>
    <s v="Retail"/>
    <n v="35"/>
    <x v="0"/>
    <n v="2265"/>
  </r>
  <r>
    <s v="ORD-01705"/>
    <d v="2024-11-26T00:00:00"/>
    <s v="CUST-0037"/>
    <x v="12"/>
    <s v="R018"/>
    <n v="1"/>
    <n v="2600"/>
    <n v="5.9"/>
    <n v="2446.6"/>
    <s v="Completed"/>
    <x v="4"/>
    <s v="Electronics"/>
    <s v="Retail"/>
    <n v="52"/>
    <x v="3"/>
    <n v="1052"/>
  </r>
  <r>
    <s v="ORD-01706"/>
    <d v="2024-11-07T00:00:00"/>
    <s v="CUST-0081"/>
    <x v="46"/>
    <s v="R003"/>
    <n v="10"/>
    <n v="4060"/>
    <n v="2.2999999999999998"/>
    <n v="39666.199999999997"/>
    <s v="Completed"/>
    <x v="3"/>
    <s v="Grocery"/>
    <s v="Retail"/>
    <n v="25"/>
    <x v="0"/>
    <n v="2911"/>
  </r>
  <r>
    <s v="ORD-01707"/>
    <d v="2024-03-01T00:00:00"/>
    <s v="CUST-0279"/>
    <x v="49"/>
    <s v="R020"/>
    <n v="9"/>
    <n v="5330"/>
    <n v="23.5"/>
    <n v="36697.050000000003"/>
    <s v="Completed"/>
    <x v="3"/>
    <s v="Electronics"/>
    <s v="Retail"/>
    <n v="56"/>
    <x v="3"/>
    <n v="2405"/>
  </r>
  <r>
    <s v="ORD-01708"/>
    <d v="2024-11-04T00:00:00"/>
    <s v="CUST-0129"/>
    <x v="22"/>
    <s v="R025"/>
    <n v="7"/>
    <n v="3350"/>
    <n v="13.4"/>
    <n v="20307.7"/>
    <s v="Pending"/>
    <x v="5"/>
    <s v="Beauty"/>
    <s v="Retail"/>
    <n v="29"/>
    <x v="2"/>
    <n v="1728"/>
  </r>
  <r>
    <s v="ORD-01709"/>
    <d v="2024-12-05T00:00:00"/>
    <s v="CUST-0010"/>
    <x v="47"/>
    <s v="R014"/>
    <n v="4"/>
    <n v="2510"/>
    <n v="26.6"/>
    <n v="7369.36"/>
    <s v="Completed"/>
    <x v="3"/>
    <s v="Apparel"/>
    <s v="SMB"/>
    <n v="61"/>
    <x v="1"/>
    <n v="1075"/>
  </r>
  <r>
    <s v="ORD-01710"/>
    <d v="2024-06-13T00:00:00"/>
    <s v="CUST-0006"/>
    <x v="40"/>
    <s v="R021"/>
    <n v="1"/>
    <n v="3020"/>
    <n v="15.2"/>
    <n v="2560.96"/>
    <s v="Cancelled"/>
    <x v="0"/>
    <s v="Beauty"/>
    <s v="SMB"/>
    <n v="44"/>
    <x v="3"/>
    <n v="1626"/>
  </r>
  <r>
    <s v="ORD-01711"/>
    <d v="2024-09-04T00:00:00"/>
    <s v="CUST-0206"/>
    <x v="1"/>
    <s v="R029"/>
    <n v="1"/>
    <n v="820"/>
    <n v="6.3"/>
    <n v="768.34"/>
    <s v="Completed"/>
    <x v="3"/>
    <s v="Apparel"/>
    <s v="Retail"/>
    <n v="40"/>
    <x v="2"/>
    <n v="391"/>
  </r>
  <r>
    <s v="ORD-01712"/>
    <d v="2024-07-15T00:00:00"/>
    <s v="CUST-0034"/>
    <x v="4"/>
    <s v="R027"/>
    <n v="4"/>
    <n v="3160"/>
    <n v="3.6"/>
    <n v="12184.96"/>
    <s v="Pending"/>
    <x v="2"/>
    <s v="Apparel"/>
    <s v="Retail"/>
    <n v="47"/>
    <x v="2"/>
    <n v="1886"/>
  </r>
  <r>
    <s v="ORD-01713"/>
    <d v="2024-03-19T00:00:00"/>
    <s v="CUST-0121"/>
    <x v="3"/>
    <s v="R012"/>
    <n v="1"/>
    <n v="3660"/>
    <n v="28.2"/>
    <n v="2627.88"/>
    <s v="Pending"/>
    <x v="2"/>
    <s v="Grocery"/>
    <s v="SMB"/>
    <n v="55"/>
    <x v="1"/>
    <n v="2214"/>
  </r>
  <r>
    <s v="ORD-01714"/>
    <d v="2024-04-12T00:00:00"/>
    <s v="CUST-0098"/>
    <x v="1"/>
    <s v="R026"/>
    <n v="2"/>
    <n v="820"/>
    <n v="7"/>
    <n v="1525.2"/>
    <s v="Completed"/>
    <x v="2"/>
    <s v="Apparel"/>
    <s v="Retail"/>
    <n v="52"/>
    <x v="2"/>
    <n v="391"/>
  </r>
  <r>
    <s v="ORD-01715"/>
    <d v="2024-06-03T00:00:00"/>
    <s v="CUST-0031"/>
    <x v="50"/>
    <s v="R022"/>
    <n v="5"/>
    <n v="2380"/>
    <n v="23"/>
    <n v="9163"/>
    <s v="Completed"/>
    <x v="5"/>
    <s v="Grocery"/>
    <s v="Retail"/>
    <n v="53"/>
    <x v="3"/>
    <n v="1182"/>
  </r>
  <r>
    <s v="ORD-01716"/>
    <d v="2024-11-16T00:00:00"/>
    <s v="CUST-0185"/>
    <x v="35"/>
    <s v="R013"/>
    <n v="1"/>
    <n v="3870"/>
    <n v="27.3"/>
    <n v="2813.49"/>
    <s v="Completed"/>
    <x v="5"/>
    <s v="Electronics"/>
    <s v="SMB"/>
    <n v="43"/>
    <x v="1"/>
    <n v="1559"/>
  </r>
  <r>
    <s v="ORD-01717"/>
    <d v="2024-01-10T00:00:00"/>
    <s v="CUST-0011"/>
    <x v="42"/>
    <s v="R007"/>
    <n v="10"/>
    <n v="300"/>
    <n v="14.1"/>
    <n v="2577"/>
    <s v="Cancelled"/>
    <x v="1"/>
    <s v="Electronics"/>
    <s v="Corporate"/>
    <n v="41"/>
    <x v="0"/>
    <n v="128"/>
  </r>
  <r>
    <s v="ORD-01718"/>
    <d v="2024-12-21T00:00:00"/>
    <s v="CUST-0223"/>
    <x v="26"/>
    <s v="R027"/>
    <n v="10"/>
    <n v="5100"/>
    <n v="12.7"/>
    <n v="44523"/>
    <s v="Completed"/>
    <x v="4"/>
    <s v="Beauty"/>
    <s v="Retail"/>
    <n v="46"/>
    <x v="2"/>
    <n v="2237"/>
  </r>
  <r>
    <s v="ORD-01719"/>
    <d v="2024-10-24T00:00:00"/>
    <s v="CUST-0126"/>
    <x v="28"/>
    <s v="R013"/>
    <n v="1"/>
    <n v="2760"/>
    <n v="17.8"/>
    <n v="2268.7199999999998"/>
    <s v="Refunded"/>
    <x v="3"/>
    <s v="Grocery"/>
    <s v="Retail"/>
    <n v="37"/>
    <x v="1"/>
    <n v="1435"/>
  </r>
  <r>
    <s v="ORD-01720"/>
    <d v="2024-03-31T00:00:00"/>
    <s v="CUST-0284"/>
    <x v="49"/>
    <s v="R002"/>
    <n v="8"/>
    <n v="5330"/>
    <n v="16.399999999999999"/>
    <n v="35647.040000000001"/>
    <s v="Completed"/>
    <x v="5"/>
    <s v="Electronics"/>
    <s v="SMB"/>
    <n v="65"/>
    <x v="0"/>
    <n v="2405"/>
  </r>
  <r>
    <s v="ORD-01721"/>
    <d v="2024-06-14T00:00:00"/>
    <s v="CUST-0011"/>
    <x v="23"/>
    <s v="R016"/>
    <n v="1"/>
    <n v="1010"/>
    <n v="20.399999999999999"/>
    <n v="803.96"/>
    <s v="Cancelled"/>
    <x v="1"/>
    <s v="Sports"/>
    <s v="Corporate"/>
    <n v="41"/>
    <x v="1"/>
    <n v="516"/>
  </r>
  <r>
    <s v="ORD-01722"/>
    <d v="2024-03-25T00:00:00"/>
    <s v="CUST-0275"/>
    <x v="41"/>
    <s v="R019"/>
    <n v="10"/>
    <n v="2660"/>
    <n v="29.3"/>
    <n v="18806.2"/>
    <s v="Completed"/>
    <x v="3"/>
    <s v="Electronics"/>
    <s v="Retail"/>
    <n v="36"/>
    <x v="3"/>
    <n v="1259"/>
  </r>
  <r>
    <s v="ORD-01723"/>
    <d v="2024-08-02T00:00:00"/>
    <s v="CUST-0259"/>
    <x v="53"/>
    <s v="R011"/>
    <n v="9"/>
    <n v="3970"/>
    <n v="10.4"/>
    <n v="32014.080000000002"/>
    <s v="Pending"/>
    <x v="3"/>
    <s v="Electronics"/>
    <s v="Retail"/>
    <n v="34"/>
    <x v="1"/>
    <n v="2865"/>
  </r>
  <r>
    <s v="ORD-01724"/>
    <d v="2024-06-29T00:00:00"/>
    <s v="CUST-0089"/>
    <x v="0"/>
    <s v="R008"/>
    <n v="3"/>
    <n v="3620"/>
    <n v="22"/>
    <n v="8470.7999999999993"/>
    <s v="Completed"/>
    <x v="3"/>
    <s v="Apparel"/>
    <s v="SMB"/>
    <n v="43"/>
    <x v="0"/>
    <n v="2509"/>
  </r>
  <r>
    <s v="ORD-01725"/>
    <d v="2024-04-01T00:00:00"/>
    <s v="CUST-0232"/>
    <x v="34"/>
    <s v="R018"/>
    <n v="6"/>
    <n v="2270"/>
    <n v="11.1"/>
    <n v="12108.18"/>
    <s v="Cancelled"/>
    <x v="5"/>
    <s v="Grocery"/>
    <s v="Retail"/>
    <n v="38"/>
    <x v="3"/>
    <n v="1412"/>
  </r>
  <r>
    <s v="ORD-01726"/>
    <d v="2024-09-08T00:00:00"/>
    <s v="CUST-0220"/>
    <x v="34"/>
    <s v="R014"/>
    <n v="4"/>
    <n v="2270"/>
    <n v="27.2"/>
    <n v="6610.24"/>
    <s v="Pending"/>
    <x v="1"/>
    <s v="Grocery"/>
    <s v="Retail"/>
    <n v="34"/>
    <x v="1"/>
    <n v="1412"/>
  </r>
  <r>
    <s v="ORD-01727"/>
    <d v="2024-10-11T00:00:00"/>
    <s v="CUST-0137"/>
    <x v="39"/>
    <s v="R012"/>
    <n v="8"/>
    <n v="4610"/>
    <n v="24.5"/>
    <n v="27844.400000000001"/>
    <s v="Completed"/>
    <x v="3"/>
    <s v="Home"/>
    <s v="Retail"/>
    <n v="41"/>
    <x v="1"/>
    <n v="1850"/>
  </r>
  <r>
    <s v="ORD-01728"/>
    <d v="2024-03-15T00:00:00"/>
    <s v="CUST-0132"/>
    <x v="14"/>
    <s v="R020"/>
    <n v="6"/>
    <n v="190"/>
    <n v="8.6999999999999993"/>
    <n v="1040.82"/>
    <s v="Cancelled"/>
    <x v="2"/>
    <s v="Sports"/>
    <s v="Retail"/>
    <n v="41"/>
    <x v="3"/>
    <n v="147"/>
  </r>
  <r>
    <s v="ORD-01729"/>
    <d v="2024-11-21T00:00:00"/>
    <s v="CUST-0226"/>
    <x v="44"/>
    <s v="R026"/>
    <n v="5"/>
    <n v="2030"/>
    <n v="0.9"/>
    <n v="10058.65"/>
    <s v="Cancelled"/>
    <x v="1"/>
    <s v="Home"/>
    <s v="Corporate"/>
    <n v="52"/>
    <x v="2"/>
    <n v="1143"/>
  </r>
  <r>
    <s v="ORD-01730"/>
    <d v="2024-11-18T00:00:00"/>
    <s v="CUST-0080"/>
    <x v="37"/>
    <s v="R020"/>
    <n v="1"/>
    <n v="4070"/>
    <n v="9.3000000000000007"/>
    <n v="3691.49"/>
    <s v="Refunded"/>
    <x v="0"/>
    <s v="Grocery"/>
    <s v="SMB"/>
    <n v="30"/>
    <x v="3"/>
    <n v="2027"/>
  </r>
  <r>
    <s v="ORD-01731"/>
    <d v="2024-06-17T00:00:00"/>
    <s v="CUST-0068"/>
    <x v="52"/>
    <s v="R001"/>
    <n v="3"/>
    <n v="2290"/>
    <n v="12.1"/>
    <n v="6038.73"/>
    <s v="Completed"/>
    <x v="2"/>
    <s v="Beauty"/>
    <s v="SMB"/>
    <n v="48"/>
    <x v="0"/>
    <n v="1219"/>
  </r>
  <r>
    <s v="ORD-01732"/>
    <d v="2024-08-10T00:00:00"/>
    <s v="CUST-0146"/>
    <x v="30"/>
    <s v="R020"/>
    <n v="7"/>
    <n v="3730"/>
    <n v="4.5"/>
    <n v="24935.05"/>
    <s v="Completed"/>
    <x v="5"/>
    <s v="Home"/>
    <s v="Retail"/>
    <n v="22"/>
    <x v="3"/>
    <n v="2135"/>
  </r>
  <r>
    <s v="ORD-01733"/>
    <d v="2024-01-15T00:00:00"/>
    <s v="CUST-0106"/>
    <x v="43"/>
    <s v="R005"/>
    <n v="5"/>
    <n v="620"/>
    <n v="7.5"/>
    <n v="2867.5"/>
    <s v="Completed"/>
    <x v="0"/>
    <s v="Apparel"/>
    <s v="Retail"/>
    <n v="22"/>
    <x v="0"/>
    <n v="396"/>
  </r>
  <r>
    <s v="ORD-01734"/>
    <d v="2024-06-12T00:00:00"/>
    <s v="CUST-0096"/>
    <x v="11"/>
    <s v="R010"/>
    <n v="8"/>
    <n v="2640"/>
    <n v="16.399999999999999"/>
    <n v="17656.32"/>
    <s v="Completed"/>
    <x v="2"/>
    <s v="Electronics"/>
    <s v="Corporate"/>
    <n v="27"/>
    <x v="1"/>
    <n v="1149"/>
  </r>
  <r>
    <s v="ORD-01735"/>
    <d v="2024-09-29T00:00:00"/>
    <s v="CUST-0248"/>
    <x v="3"/>
    <s v="R004"/>
    <n v="6"/>
    <n v="3660"/>
    <n v="6.2"/>
    <n v="20598.48"/>
    <s v="Completed"/>
    <x v="1"/>
    <s v="Grocery"/>
    <s v="SMB"/>
    <n v="57"/>
    <x v="0"/>
    <n v="2214"/>
  </r>
  <r>
    <s v="ORD-01736"/>
    <d v="2024-08-03T00:00:00"/>
    <s v="CUST-0297"/>
    <x v="1"/>
    <s v="R020"/>
    <n v="2"/>
    <n v="820"/>
    <n v="25.4"/>
    <n v="1223.44"/>
    <s v="Completed"/>
    <x v="5"/>
    <s v="Apparel"/>
    <s v="Retail"/>
    <n v="50"/>
    <x v="3"/>
    <n v="391"/>
  </r>
  <r>
    <s v="ORD-01737"/>
    <d v="2024-10-31T00:00:00"/>
    <s v="CUST-0120"/>
    <x v="19"/>
    <s v="R021"/>
    <n v="3"/>
    <n v="2480"/>
    <n v="28.7"/>
    <n v="5304.72"/>
    <s v="Pending"/>
    <x v="3"/>
    <s v="Apparel"/>
    <s v="Retail"/>
    <n v="29"/>
    <x v="3"/>
    <n v="1173"/>
  </r>
  <r>
    <s v="ORD-01738"/>
    <d v="2024-08-30T00:00:00"/>
    <s v="CUST-0148"/>
    <x v="33"/>
    <s v="R028"/>
    <n v="10"/>
    <n v="6080"/>
    <n v="18.899999999999999"/>
    <n v="49308.800000000003"/>
    <s v="Completed"/>
    <x v="1"/>
    <s v="Beauty"/>
    <s v="Retail"/>
    <n v="32"/>
    <x v="2"/>
    <n v="2617"/>
  </r>
  <r>
    <s v="ORD-01739"/>
    <d v="2024-02-14T00:00:00"/>
    <s v="CUST-0008"/>
    <x v="14"/>
    <s v="R022"/>
    <n v="1"/>
    <n v="190"/>
    <n v="5.7"/>
    <n v="179.17"/>
    <s v="Completed"/>
    <x v="0"/>
    <s v="Sports"/>
    <s v="SMB"/>
    <n v="39"/>
    <x v="3"/>
    <n v="147"/>
  </r>
  <r>
    <s v="ORD-01740"/>
    <d v="2024-06-20T00:00:00"/>
    <s v="CUST-0013"/>
    <x v="56"/>
    <s v="R026"/>
    <n v="2"/>
    <n v="3780"/>
    <n v="11.8"/>
    <n v="6667.92"/>
    <s v="Completed"/>
    <x v="2"/>
    <s v="Sports"/>
    <s v="Retail"/>
    <n v="41"/>
    <x v="2"/>
    <n v="1860"/>
  </r>
  <r>
    <s v="ORD-01741"/>
    <d v="2024-11-06T00:00:00"/>
    <s v="CUST-0234"/>
    <x v="13"/>
    <s v="R001"/>
    <n v="5"/>
    <n v="3250"/>
    <n v="19.899999999999999"/>
    <n v="13016.25"/>
    <s v="Completed"/>
    <x v="4"/>
    <s v="Home"/>
    <s v="Retail"/>
    <n v="34"/>
    <x v="0"/>
    <n v="1556"/>
  </r>
  <r>
    <s v="ORD-01742"/>
    <d v="2024-03-14T00:00:00"/>
    <s v="CUST-0207"/>
    <x v="44"/>
    <s v="R008"/>
    <n v="7"/>
    <n v="2030"/>
    <n v="4.0999999999999996"/>
    <n v="13627.39"/>
    <s v="Completed"/>
    <x v="5"/>
    <s v="Home"/>
    <s v="SMB"/>
    <n v="34"/>
    <x v="0"/>
    <n v="1143"/>
  </r>
  <r>
    <s v="ORD-01743"/>
    <d v="2024-12-25T00:00:00"/>
    <s v="CUST-0245"/>
    <x v="24"/>
    <s v="R012"/>
    <n v="5"/>
    <n v="4880"/>
    <n v="22.9"/>
    <n v="18812.400000000001"/>
    <s v="Completed"/>
    <x v="5"/>
    <s v="Beauty"/>
    <s v="Retail"/>
    <n v="65"/>
    <x v="1"/>
    <n v="2768"/>
  </r>
  <r>
    <s v="ORD-01744"/>
    <d v="2024-01-06T00:00:00"/>
    <s v="CUST-0044"/>
    <x v="22"/>
    <s v="R020"/>
    <n v="3"/>
    <n v="3350"/>
    <n v="15.2"/>
    <n v="8522.4"/>
    <s v="Pending"/>
    <x v="5"/>
    <s v="Beauty"/>
    <s v="SMB"/>
    <n v="29"/>
    <x v="3"/>
    <n v="1728"/>
  </r>
  <r>
    <s v="ORD-01745"/>
    <d v="2024-05-13T00:00:00"/>
    <s v="CUST-0264"/>
    <x v="27"/>
    <s v="R029"/>
    <n v="10"/>
    <n v="2860"/>
    <n v="15"/>
    <n v="24310"/>
    <s v="Completed"/>
    <x v="0"/>
    <s v="Sports"/>
    <s v="Retail"/>
    <n v="59"/>
    <x v="2"/>
    <n v="2028"/>
  </r>
  <r>
    <s v="ORD-01746"/>
    <d v="2024-06-01T00:00:00"/>
    <s v="CUST-0193"/>
    <x v="16"/>
    <s v="R018"/>
    <n v="5"/>
    <n v="3450"/>
    <n v="2.2999999999999998"/>
    <n v="16853.25"/>
    <s v="Completed"/>
    <x v="4"/>
    <s v="Beauty"/>
    <s v="Retail"/>
    <n v="42"/>
    <x v="3"/>
    <n v="2420"/>
  </r>
  <r>
    <s v="ORD-01747"/>
    <d v="2024-04-15T00:00:00"/>
    <s v="CUST-0006"/>
    <x v="10"/>
    <s v="R015"/>
    <n v="3"/>
    <n v="2270"/>
    <n v="2.8"/>
    <n v="6619.32"/>
    <s v="Pending"/>
    <x v="0"/>
    <s v="Grocery"/>
    <s v="SMB"/>
    <n v="44"/>
    <x v="1"/>
    <n v="1203"/>
  </r>
  <r>
    <s v="ORD-01748"/>
    <d v="2024-03-03T00:00:00"/>
    <s v="CUST-0221"/>
    <x v="3"/>
    <s v="R007"/>
    <n v="8"/>
    <n v="3660"/>
    <n v="16.8"/>
    <n v="24360.959999999999"/>
    <s v="Completed"/>
    <x v="2"/>
    <s v="Grocery"/>
    <s v="SMB"/>
    <n v="29"/>
    <x v="0"/>
    <n v="2214"/>
  </r>
  <r>
    <s v="ORD-01749"/>
    <d v="2024-06-26T00:00:00"/>
    <s v="CUST-0151"/>
    <x v="40"/>
    <s v="R008"/>
    <n v="7"/>
    <n v="3020"/>
    <n v="17.8"/>
    <n v="17377.080000000002"/>
    <s v="Completed"/>
    <x v="3"/>
    <s v="Beauty"/>
    <s v="Retail"/>
    <n v="53"/>
    <x v="0"/>
    <n v="1626"/>
  </r>
  <r>
    <s v="ORD-01750"/>
    <d v="2024-10-22T00:00:00"/>
    <s v="CUST-0188"/>
    <x v="18"/>
    <s v="R014"/>
    <n v="7"/>
    <n v="1080"/>
    <n v="12.9"/>
    <n v="6584.76"/>
    <s v="Completed"/>
    <x v="4"/>
    <s v="Home"/>
    <s v="Retail"/>
    <n v="54"/>
    <x v="1"/>
    <n v="519"/>
  </r>
  <r>
    <s v="ORD-01751"/>
    <d v="2024-07-21T00:00:00"/>
    <s v="CUST-0010"/>
    <x v="34"/>
    <s v="R012"/>
    <n v="2"/>
    <n v="2270"/>
    <n v="8.6"/>
    <n v="4149.5600000000004"/>
    <s v="Cancelled"/>
    <x v="3"/>
    <s v="Grocery"/>
    <s v="SMB"/>
    <n v="61"/>
    <x v="1"/>
    <n v="1412"/>
  </r>
  <r>
    <s v="ORD-01752"/>
    <d v="2024-06-02T00:00:00"/>
    <s v="CUST-0018"/>
    <x v="43"/>
    <s v="R012"/>
    <n v="10"/>
    <n v="620"/>
    <n v="26.1"/>
    <n v="4581.8"/>
    <s v="Completed"/>
    <x v="0"/>
    <s v="Apparel"/>
    <s v="SMB"/>
    <n v="54"/>
    <x v="1"/>
    <n v="396"/>
  </r>
  <r>
    <s v="ORD-01753"/>
    <d v="2024-09-26T00:00:00"/>
    <s v="CUST-0262"/>
    <x v="46"/>
    <s v="R015"/>
    <n v="2"/>
    <n v="4060"/>
    <n v="3.8"/>
    <n v="7811.44"/>
    <s v="Completed"/>
    <x v="3"/>
    <s v="Grocery"/>
    <s v="Retail"/>
    <n v="52"/>
    <x v="1"/>
    <n v="2911"/>
  </r>
  <r>
    <s v="ORD-01754"/>
    <d v="2024-07-15T00:00:00"/>
    <s v="CUST-0282"/>
    <x v="31"/>
    <s v="R012"/>
    <n v="1"/>
    <n v="3780"/>
    <n v="27.9"/>
    <n v="2725.38"/>
    <s v="Completed"/>
    <x v="5"/>
    <s v="Grocery"/>
    <s v="Corporate"/>
    <n v="29"/>
    <x v="1"/>
    <n v="2436"/>
  </r>
  <r>
    <s v="ORD-01755"/>
    <d v="2024-11-21T00:00:00"/>
    <s v="CUST-0194"/>
    <x v="50"/>
    <s v="R022"/>
    <n v="8"/>
    <n v="2380"/>
    <n v="3.8"/>
    <n v="18316.48"/>
    <s v="Completed"/>
    <x v="2"/>
    <s v="Grocery"/>
    <s v="SMB"/>
    <n v="55"/>
    <x v="3"/>
    <n v="1182"/>
  </r>
  <r>
    <s v="ORD-01756"/>
    <d v="2024-03-27T00:00:00"/>
    <s v="CUST-0161"/>
    <x v="37"/>
    <s v="R024"/>
    <n v="7"/>
    <n v="4070"/>
    <n v="0.3"/>
    <n v="28404.53"/>
    <s v="Completed"/>
    <x v="1"/>
    <s v="Grocery"/>
    <s v="Retail"/>
    <n v="38"/>
    <x v="2"/>
    <n v="2027"/>
  </r>
  <r>
    <s v="ORD-01757"/>
    <d v="2024-06-16T00:00:00"/>
    <s v="CUST-0120"/>
    <x v="11"/>
    <s v="R020"/>
    <n v="6"/>
    <n v="2640"/>
    <n v="3.4"/>
    <n v="15301.44"/>
    <s v="Completed"/>
    <x v="3"/>
    <s v="Electronics"/>
    <s v="Retail"/>
    <n v="29"/>
    <x v="3"/>
    <n v="1149"/>
  </r>
  <r>
    <s v="ORD-01758"/>
    <d v="2024-03-26T00:00:00"/>
    <s v="CUST-0250"/>
    <x v="56"/>
    <s v="R030"/>
    <n v="10"/>
    <n v="3780"/>
    <n v="13.3"/>
    <n v="32772.6"/>
    <s v="Completed"/>
    <x v="2"/>
    <s v="Sports"/>
    <s v="Retail"/>
    <n v="31"/>
    <x v="2"/>
    <n v="1860"/>
  </r>
  <r>
    <s v="ORD-01759"/>
    <d v="2024-01-11T00:00:00"/>
    <s v="CUST-0054"/>
    <x v="22"/>
    <s v="R009"/>
    <n v="9"/>
    <n v="3350"/>
    <n v="12.8"/>
    <n v="26290.799999999999"/>
    <s v="Completed"/>
    <x v="3"/>
    <s v="Beauty"/>
    <s v="Corporate"/>
    <n v="62"/>
    <x v="1"/>
    <n v="1728"/>
  </r>
  <r>
    <s v="ORD-01760"/>
    <d v="2024-06-16T00:00:00"/>
    <s v="CUST-0247"/>
    <x v="4"/>
    <s v="R024"/>
    <n v="7"/>
    <n v="3160"/>
    <n v="15.3"/>
    <n v="18735.64"/>
    <s v="Completed"/>
    <x v="0"/>
    <s v="Apparel"/>
    <s v="SMB"/>
    <n v="35"/>
    <x v="2"/>
    <n v="1886"/>
  </r>
  <r>
    <s v="ORD-01761"/>
    <d v="2024-05-16T00:00:00"/>
    <s v="CUST-0127"/>
    <x v="27"/>
    <s v="R004"/>
    <n v="6"/>
    <n v="2860"/>
    <n v="17.5"/>
    <n v="14157"/>
    <s v="Completed"/>
    <x v="4"/>
    <s v="Sports"/>
    <s v="SMB"/>
    <n v="36"/>
    <x v="0"/>
    <n v="2028"/>
  </r>
  <r>
    <s v="ORD-01762"/>
    <d v="2024-02-19T00:00:00"/>
    <s v="CUST-0030"/>
    <x v="42"/>
    <s v="R010"/>
    <n v="9"/>
    <n v="300"/>
    <n v="25.2"/>
    <n v="2019.6"/>
    <s v="Completed"/>
    <x v="4"/>
    <s v="Electronics"/>
    <s v="Corporate"/>
    <n v="43"/>
    <x v="1"/>
    <n v="128"/>
  </r>
  <r>
    <s v="ORD-01763"/>
    <d v="2024-01-05T00:00:00"/>
    <s v="CUST-0205"/>
    <x v="14"/>
    <s v="R020"/>
    <n v="5"/>
    <n v="190"/>
    <n v="1.8"/>
    <n v="932.9"/>
    <s v="Completed"/>
    <x v="0"/>
    <s v="Sports"/>
    <s v="Corporate"/>
    <n v="29"/>
    <x v="3"/>
    <n v="147"/>
  </r>
  <r>
    <s v="ORD-01764"/>
    <d v="2024-08-29T00:00:00"/>
    <s v="CUST-0172"/>
    <x v="23"/>
    <s v="R021"/>
    <n v="7"/>
    <n v="1010"/>
    <n v="11.2"/>
    <n v="6278.16"/>
    <s v="Completed"/>
    <x v="0"/>
    <s v="Sports"/>
    <s v="Retail"/>
    <n v="65"/>
    <x v="3"/>
    <n v="516"/>
  </r>
  <r>
    <s v="ORD-01765"/>
    <d v="2024-08-11T00:00:00"/>
    <s v="CUST-0283"/>
    <x v="17"/>
    <s v="R001"/>
    <n v="8"/>
    <n v="3450"/>
    <n v="8.4"/>
    <n v="25281.599999999999"/>
    <s v="Completed"/>
    <x v="2"/>
    <s v="Sports"/>
    <s v="SMB"/>
    <n v="50"/>
    <x v="0"/>
    <n v="2467"/>
  </r>
  <r>
    <s v="ORD-01766"/>
    <d v="2024-11-01T00:00:00"/>
    <s v="CUST-0005"/>
    <x v="42"/>
    <s v="R001"/>
    <n v="3"/>
    <n v="300"/>
    <n v="7.5"/>
    <n v="832.5"/>
    <s v="Refunded"/>
    <x v="1"/>
    <s v="Electronics"/>
    <s v="Corporate"/>
    <n v="52"/>
    <x v="0"/>
    <n v="128"/>
  </r>
  <r>
    <s v="ORD-01767"/>
    <d v="2024-03-19T00:00:00"/>
    <s v="CUST-0095"/>
    <x v="30"/>
    <s v="R018"/>
    <n v="4"/>
    <n v="3730"/>
    <n v="24.8"/>
    <n v="11219.84"/>
    <s v="Completed"/>
    <x v="3"/>
    <s v="Home"/>
    <s v="SMB"/>
    <n v="54"/>
    <x v="3"/>
    <n v="2135"/>
  </r>
  <r>
    <s v="ORD-01768"/>
    <d v="2024-06-19T00:00:00"/>
    <s v="CUST-0142"/>
    <x v="15"/>
    <s v="R020"/>
    <n v="5"/>
    <n v="2400"/>
    <n v="9.1999999999999993"/>
    <n v="10896"/>
    <s v="Completed"/>
    <x v="1"/>
    <s v="Sports"/>
    <s v="Corporate"/>
    <n v="55"/>
    <x v="3"/>
    <n v="974"/>
  </r>
  <r>
    <s v="ORD-01769"/>
    <d v="2024-11-13T00:00:00"/>
    <s v="CUST-0028"/>
    <x v="28"/>
    <s v="R001"/>
    <n v="3"/>
    <n v="2760"/>
    <n v="2.4"/>
    <n v="8081.28"/>
    <s v="Completed"/>
    <x v="4"/>
    <s v="Grocery"/>
    <s v="Retail"/>
    <n v="59"/>
    <x v="0"/>
    <n v="1435"/>
  </r>
  <r>
    <s v="ORD-01770"/>
    <d v="2024-09-13T00:00:00"/>
    <s v="CUST-0118"/>
    <x v="2"/>
    <s v="R009"/>
    <n v="8"/>
    <n v="470"/>
    <n v="24.8"/>
    <n v="2827.52"/>
    <s v="Pending"/>
    <x v="5"/>
    <s v="Sports"/>
    <s v="Retail"/>
    <n v="26"/>
    <x v="1"/>
    <n v="302"/>
  </r>
  <r>
    <s v="ORD-01771"/>
    <d v="2024-12-07T00:00:00"/>
    <s v="CUST-0231"/>
    <x v="2"/>
    <s v="R027"/>
    <n v="3"/>
    <n v="470"/>
    <n v="18.600000000000001"/>
    <n v="1147.74"/>
    <s v="Completed"/>
    <x v="1"/>
    <s v="Sports"/>
    <s v="Retail"/>
    <n v="61"/>
    <x v="2"/>
    <n v="302"/>
  </r>
  <r>
    <s v="ORD-01772"/>
    <d v="2024-10-15T00:00:00"/>
    <s v="CUST-0264"/>
    <x v="5"/>
    <s v="R028"/>
    <n v="2"/>
    <n v="370"/>
    <n v="24"/>
    <n v="562.4"/>
    <s v="Completed"/>
    <x v="0"/>
    <s v="Home"/>
    <s v="Retail"/>
    <n v="59"/>
    <x v="2"/>
    <n v="288"/>
  </r>
  <r>
    <s v="ORD-01773"/>
    <d v="2024-02-07T00:00:00"/>
    <s v="CUST-0120"/>
    <x v="45"/>
    <s v="R001"/>
    <n v="6"/>
    <n v="2210"/>
    <n v="28.3"/>
    <n v="9507.42"/>
    <s v="Cancelled"/>
    <x v="3"/>
    <s v="Grocery"/>
    <s v="Retail"/>
    <n v="29"/>
    <x v="0"/>
    <n v="1010"/>
  </r>
  <r>
    <s v="ORD-01774"/>
    <d v="2024-09-14T00:00:00"/>
    <s v="CUST-0185"/>
    <x v="58"/>
    <s v="R002"/>
    <n v="3"/>
    <n v="6940"/>
    <n v="27.2"/>
    <n v="15156.96"/>
    <s v="Refunded"/>
    <x v="5"/>
    <s v="Sports"/>
    <s v="SMB"/>
    <n v="43"/>
    <x v="0"/>
    <n v="2827"/>
  </r>
  <r>
    <s v="ORD-01775"/>
    <d v="2024-05-11T00:00:00"/>
    <s v="CUST-0174"/>
    <x v="44"/>
    <s v="R018"/>
    <n v="10"/>
    <n v="2030"/>
    <n v="25.6"/>
    <n v="15103.2"/>
    <s v="Completed"/>
    <x v="0"/>
    <s v="Home"/>
    <s v="Retail"/>
    <n v="54"/>
    <x v="3"/>
    <n v="1143"/>
  </r>
  <r>
    <s v="ORD-01776"/>
    <d v="2024-08-29T00:00:00"/>
    <s v="CUST-0174"/>
    <x v="23"/>
    <s v="R017"/>
    <n v="9"/>
    <n v="1010"/>
    <n v="9.3000000000000007"/>
    <n v="8244.6299999999992"/>
    <s v="Completed"/>
    <x v="0"/>
    <s v="Sports"/>
    <s v="Retail"/>
    <n v="54"/>
    <x v="3"/>
    <n v="516"/>
  </r>
  <r>
    <s v="ORD-01777"/>
    <d v="2024-10-06T00:00:00"/>
    <s v="CUST-0084"/>
    <x v="47"/>
    <s v="R002"/>
    <n v="5"/>
    <n v="2510"/>
    <n v="22.2"/>
    <n v="9763.9"/>
    <s v="Completed"/>
    <x v="1"/>
    <s v="Apparel"/>
    <s v="Retail"/>
    <n v="28"/>
    <x v="0"/>
    <n v="1075"/>
  </r>
  <r>
    <s v="ORD-01778"/>
    <d v="2024-05-29T00:00:00"/>
    <s v="CUST-0270"/>
    <x v="5"/>
    <s v="R002"/>
    <n v="10"/>
    <n v="370"/>
    <n v="29"/>
    <n v="2627"/>
    <s v="Completed"/>
    <x v="4"/>
    <s v="Home"/>
    <s v="Retail"/>
    <n v="29"/>
    <x v="0"/>
    <n v="288"/>
  </r>
  <r>
    <s v="ORD-01779"/>
    <d v="2024-04-21T00:00:00"/>
    <s v="CUST-0178"/>
    <x v="19"/>
    <s v="R021"/>
    <n v="3"/>
    <n v="2480"/>
    <n v="9.6"/>
    <n v="6725.76"/>
    <s v="Completed"/>
    <x v="5"/>
    <s v="Apparel"/>
    <s v="Retail"/>
    <n v="25"/>
    <x v="3"/>
    <n v="1173"/>
  </r>
  <r>
    <s v="ORD-01780"/>
    <d v="2024-12-18T00:00:00"/>
    <s v="CUST-0019"/>
    <x v="11"/>
    <s v="R017"/>
    <n v="3"/>
    <n v="2640"/>
    <n v="10.199999999999999"/>
    <n v="7112.16"/>
    <s v="Cancelled"/>
    <x v="1"/>
    <s v="Electronics"/>
    <s v="Retail"/>
    <n v="22"/>
    <x v="3"/>
    <n v="1149"/>
  </r>
  <r>
    <s v="ORD-01781"/>
    <d v="2024-07-31T00:00:00"/>
    <s v="CUST-0276"/>
    <x v="57"/>
    <s v="R020"/>
    <n v="1"/>
    <n v="1090"/>
    <n v="21.6"/>
    <n v="854.56"/>
    <s v="Cancelled"/>
    <x v="1"/>
    <s v="Home"/>
    <s v="Retail"/>
    <n v="26"/>
    <x v="3"/>
    <n v="464"/>
  </r>
  <r>
    <s v="ORD-01782"/>
    <d v="2024-11-10T00:00:00"/>
    <s v="CUST-0076"/>
    <x v="22"/>
    <s v="R002"/>
    <n v="10"/>
    <n v="3350"/>
    <n v="12.1"/>
    <n v="29446.5"/>
    <s v="Completed"/>
    <x v="3"/>
    <s v="Beauty"/>
    <s v="Retail"/>
    <n v="38"/>
    <x v="0"/>
    <n v="1728"/>
  </r>
  <r>
    <s v="ORD-01783"/>
    <d v="2024-09-27T00:00:00"/>
    <s v="CUST-0085"/>
    <x v="33"/>
    <s v="R015"/>
    <n v="4"/>
    <n v="6080"/>
    <n v="26.7"/>
    <n v="17826.560000000001"/>
    <s v="Cancelled"/>
    <x v="1"/>
    <s v="Beauty"/>
    <s v="Retail"/>
    <n v="26"/>
    <x v="1"/>
    <n v="2617"/>
  </r>
  <r>
    <s v="ORD-01784"/>
    <d v="2024-03-21T00:00:00"/>
    <s v="CUST-0245"/>
    <x v="51"/>
    <s v="R002"/>
    <n v="3"/>
    <n v="960"/>
    <n v="13.2"/>
    <n v="2499.84"/>
    <s v="Completed"/>
    <x v="5"/>
    <s v="Beauty"/>
    <s v="Retail"/>
    <n v="65"/>
    <x v="0"/>
    <n v="675"/>
  </r>
  <r>
    <s v="ORD-01785"/>
    <d v="2024-11-14T00:00:00"/>
    <s v="CUST-0135"/>
    <x v="3"/>
    <s v="R007"/>
    <n v="9"/>
    <n v="3660"/>
    <n v="9.3000000000000007"/>
    <n v="29876.58"/>
    <s v="Cancelled"/>
    <x v="0"/>
    <s v="Grocery"/>
    <s v="SMB"/>
    <n v="24"/>
    <x v="0"/>
    <n v="2214"/>
  </r>
  <r>
    <s v="ORD-01786"/>
    <d v="2024-04-06T00:00:00"/>
    <s v="CUST-0224"/>
    <x v="16"/>
    <s v="R019"/>
    <n v="6"/>
    <n v="3450"/>
    <n v="8.1999999999999993"/>
    <n v="19002.599999999999"/>
    <s v="Completed"/>
    <x v="1"/>
    <s v="Beauty"/>
    <s v="Corporate"/>
    <n v="24"/>
    <x v="3"/>
    <n v="2420"/>
  </r>
  <r>
    <s v="ORD-01787"/>
    <d v="2024-05-09T00:00:00"/>
    <s v="CUST-0036"/>
    <x v="39"/>
    <s v="R020"/>
    <n v="7"/>
    <n v="4610"/>
    <n v="10.4"/>
    <n v="28913.919999999998"/>
    <s v="Completed"/>
    <x v="3"/>
    <s v="Home"/>
    <s v="Retail"/>
    <n v="35"/>
    <x v="3"/>
    <n v="1850"/>
  </r>
  <r>
    <s v="ORD-01788"/>
    <d v="2024-08-25T00:00:00"/>
    <s v="CUST-0197"/>
    <x v="6"/>
    <s v="R009"/>
    <n v="2"/>
    <n v="960"/>
    <n v="16.5"/>
    <n v="1603.2"/>
    <s v="Completed"/>
    <x v="4"/>
    <s v="Sports"/>
    <s v="Retail"/>
    <n v="55"/>
    <x v="1"/>
    <n v="705"/>
  </r>
  <r>
    <s v="ORD-01789"/>
    <d v="2024-09-18T00:00:00"/>
    <s v="CUST-0111"/>
    <x v="5"/>
    <s v="R023"/>
    <n v="7"/>
    <n v="370"/>
    <n v="1.4"/>
    <n v="2553.7399999999998"/>
    <s v="Refunded"/>
    <x v="1"/>
    <s v="Home"/>
    <s v="SMB"/>
    <n v="64"/>
    <x v="3"/>
    <n v="288"/>
  </r>
  <r>
    <s v="ORD-01790"/>
    <d v="2024-08-31T00:00:00"/>
    <s v="CUST-0198"/>
    <x v="10"/>
    <s v="R004"/>
    <n v="3"/>
    <n v="2270"/>
    <n v="12.6"/>
    <n v="5951.94"/>
    <s v="Completed"/>
    <x v="1"/>
    <s v="Grocery"/>
    <s v="Corporate"/>
    <n v="22"/>
    <x v="0"/>
    <n v="1203"/>
  </r>
  <r>
    <s v="ORD-00268"/>
    <d v="2024-01-10T00:00:00"/>
    <s v="CUST-0049"/>
    <x v="13"/>
    <s v="R014"/>
    <n v="1"/>
    <n v="3250"/>
    <n v="17.8"/>
    <n v="2671.5"/>
    <s v="Completed"/>
    <x v="3"/>
    <s v="Home"/>
    <s v="Corporate"/>
    <n v="42"/>
    <x v="1"/>
    <n v="1556"/>
  </r>
  <r>
    <s v="ORD-01792"/>
    <d v="2024-04-22T00:00:00"/>
    <s v="CUST-0029"/>
    <x v="43"/>
    <s v="R018"/>
    <n v="5"/>
    <n v="620"/>
    <n v="19.399999999999999"/>
    <n v="2498.6"/>
    <s v="Pending"/>
    <x v="1"/>
    <s v="Apparel"/>
    <s v="Corporate"/>
    <n v="54"/>
    <x v="3"/>
    <n v="396"/>
  </r>
  <r>
    <s v="ORD-01793"/>
    <d v="2024-11-04T00:00:00"/>
    <s v="CUST-0018"/>
    <x v="41"/>
    <s v="R005"/>
    <n v="6"/>
    <n v="2660"/>
    <n v="14.9"/>
    <n v="13581.96"/>
    <s v="Completed"/>
    <x v="0"/>
    <s v="Electronics"/>
    <s v="SMB"/>
    <n v="54"/>
    <x v="0"/>
    <n v="1259"/>
  </r>
  <r>
    <s v="ORD-01794"/>
    <d v="2024-08-22T00:00:00"/>
    <s v="CUST-0007"/>
    <x v="0"/>
    <s v="R001"/>
    <n v="5"/>
    <n v="3620"/>
    <n v="21"/>
    <n v="14299"/>
    <s v="Cancelled"/>
    <x v="4"/>
    <s v="Apparel"/>
    <s v="Retail"/>
    <n v="47"/>
    <x v="0"/>
    <n v="2509"/>
  </r>
  <r>
    <s v="ORD-01795"/>
    <d v="2024-10-15T00:00:00"/>
    <s v="CUST-0014"/>
    <x v="32"/>
    <s v="R021"/>
    <n v="1"/>
    <n v="3640"/>
    <n v="15.8"/>
    <n v="3064.88"/>
    <s v="Completed"/>
    <x v="4"/>
    <s v="Apparel"/>
    <s v="Retail"/>
    <n v="48"/>
    <x v="3"/>
    <n v="2611"/>
  </r>
  <r>
    <s v="ORD-01796"/>
    <d v="2024-06-01T00:00:00"/>
    <s v="CUST-0215"/>
    <x v="38"/>
    <s v="R007"/>
    <n v="1"/>
    <n v="1220"/>
    <n v="0.6"/>
    <n v="1212.68"/>
    <s v="Refunded"/>
    <x v="5"/>
    <s v="Electronics"/>
    <s v="Retail"/>
    <n v="52"/>
    <x v="0"/>
    <n v="517"/>
  </r>
  <r>
    <s v="ORD-01797"/>
    <d v="2024-02-28T00:00:00"/>
    <s v="CUST-0056"/>
    <x v="19"/>
    <s v="R002"/>
    <n v="10"/>
    <n v="2480"/>
    <n v="0.6"/>
    <n v="24651.200000000001"/>
    <s v="Completed"/>
    <x v="4"/>
    <s v="Apparel"/>
    <s v="SMB"/>
    <n v="46"/>
    <x v="0"/>
    <n v="1173"/>
  </r>
  <r>
    <s v="ORD-01798"/>
    <d v="2024-12-08T00:00:00"/>
    <s v="CUST-0231"/>
    <x v="21"/>
    <s v="R027"/>
    <n v="9"/>
    <n v="1650"/>
    <n v="26.8"/>
    <n v="10870.2"/>
    <s v="Completed"/>
    <x v="1"/>
    <s v="Beauty"/>
    <s v="Retail"/>
    <n v="61"/>
    <x v="2"/>
    <n v="1222"/>
  </r>
  <r>
    <s v="ORD-01799"/>
    <d v="2024-09-25T00:00:00"/>
    <s v="CUST-0138"/>
    <x v="40"/>
    <s v="R008"/>
    <n v="10"/>
    <n v="3020"/>
    <n v="2.6"/>
    <n v="29414.799999999999"/>
    <s v="Completed"/>
    <x v="1"/>
    <s v="Beauty"/>
    <s v="Retail"/>
    <n v="24"/>
    <x v="0"/>
    <n v="1626"/>
  </r>
  <r>
    <s v="ORD-01800"/>
    <d v="2024-09-09T00:00:00"/>
    <s v="CUST-0007"/>
    <x v="55"/>
    <s v="R014"/>
    <n v="5"/>
    <n v="3450"/>
    <n v="25.3"/>
    <n v="12885.75"/>
    <s v="Completed"/>
    <x v="4"/>
    <s v="Apparel"/>
    <s v="Retail"/>
    <n v="47"/>
    <x v="1"/>
    <n v="1748"/>
  </r>
  <r>
    <s v="ORD-01801"/>
    <d v="2024-06-14T00:00:00"/>
    <s v="CUST-0118"/>
    <x v="38"/>
    <s v="R019"/>
    <n v="7"/>
    <n v="1220"/>
    <n v="13.1"/>
    <n v="7421.26"/>
    <s v="Completed"/>
    <x v="5"/>
    <s v="Electronics"/>
    <s v="Retail"/>
    <n v="26"/>
    <x v="3"/>
    <n v="517"/>
  </r>
  <r>
    <s v="ORD-01802"/>
    <d v="2024-10-13T00:00:00"/>
    <s v="CUST-0064"/>
    <x v="31"/>
    <s v="R005"/>
    <n v="10"/>
    <n v="3780"/>
    <n v="23.7"/>
    <n v="28841.4"/>
    <s v="Completed"/>
    <x v="5"/>
    <s v="Grocery"/>
    <s v="SMB"/>
    <n v="40"/>
    <x v="0"/>
    <n v="2436"/>
  </r>
  <r>
    <s v="ORD-01803"/>
    <d v="2024-04-23T00:00:00"/>
    <s v="CUST-0298"/>
    <x v="41"/>
    <s v="R002"/>
    <n v="8"/>
    <n v="2660"/>
    <n v="16.100000000000001"/>
    <n v="17853.919999999998"/>
    <s v="Completed"/>
    <x v="2"/>
    <s v="Electronics"/>
    <s v="Retail"/>
    <n v="44"/>
    <x v="0"/>
    <n v="1259"/>
  </r>
  <r>
    <s v="ORD-01804"/>
    <d v="2024-02-16T00:00:00"/>
    <s v="CUST-0020"/>
    <x v="57"/>
    <s v="R008"/>
    <n v="6"/>
    <n v="1090"/>
    <n v="20"/>
    <n v="5232"/>
    <s v="Pending"/>
    <x v="5"/>
    <s v="Home"/>
    <s v="Retail"/>
    <n v="46"/>
    <x v="0"/>
    <n v="464"/>
  </r>
  <r>
    <s v="ORD-01805"/>
    <d v="2024-02-02T00:00:00"/>
    <s v="CUST-9725"/>
    <x v="29"/>
    <s v="R016"/>
    <n v="2"/>
    <n v="660"/>
    <n v="18.7"/>
    <n v="1073.1600000000001"/>
    <s v="Completed"/>
    <x v="3"/>
    <s v="Home"/>
    <e v="#N/A"/>
    <e v="#N/A"/>
    <x v="1"/>
    <n v="329"/>
  </r>
  <r>
    <s v="ORD-01806"/>
    <d v="2024-02-10T00:00:00"/>
    <s v="CUST-0063"/>
    <x v="57"/>
    <s v="R015"/>
    <n v="7"/>
    <n v="1090"/>
    <n v="19.399999999999999"/>
    <n v="6149.78"/>
    <s v="Pending"/>
    <x v="3"/>
    <s v="Home"/>
    <s v="SMB"/>
    <n v="53"/>
    <x v="1"/>
    <n v="464"/>
  </r>
  <r>
    <s v="ORD-01807"/>
    <d v="2024-05-17T00:00:00"/>
    <s v="CUST-0193"/>
    <x v="45"/>
    <s v="R015"/>
    <n v="3"/>
    <n v="2210"/>
    <n v="11"/>
    <n v="5900.7"/>
    <s v="Completed"/>
    <x v="4"/>
    <s v="Grocery"/>
    <s v="Retail"/>
    <n v="42"/>
    <x v="1"/>
    <n v="1010"/>
  </r>
  <r>
    <s v="ORD-01808"/>
    <d v="2024-05-08T00:00:00"/>
    <s v="CUST-0142"/>
    <x v="53"/>
    <s v="R029"/>
    <n v="2"/>
    <n v="3970"/>
    <n v="24.9"/>
    <n v="5962.94"/>
    <s v="Completed"/>
    <x v="1"/>
    <s v="Electronics"/>
    <s v="Corporate"/>
    <n v="55"/>
    <x v="2"/>
    <n v="2865"/>
  </r>
  <r>
    <s v="ORD-01809"/>
    <d v="2024-04-21T00:00:00"/>
    <s v="CUST-0264"/>
    <x v="39"/>
    <s v="R021"/>
    <n v="7"/>
    <n v="4610"/>
    <n v="6.3"/>
    <n v="30236.99"/>
    <s v="Completed"/>
    <x v="0"/>
    <s v="Home"/>
    <s v="Retail"/>
    <n v="59"/>
    <x v="3"/>
    <n v="1850"/>
  </r>
  <r>
    <s v="ORD-01810"/>
    <d v="2024-04-21T00:00:00"/>
    <s v="CUST-0121"/>
    <x v="51"/>
    <s v="R026"/>
    <n v="10"/>
    <n v="960"/>
    <n v="14.6"/>
    <n v="8198.4"/>
    <s v="Completed"/>
    <x v="2"/>
    <s v="Beauty"/>
    <s v="SMB"/>
    <n v="55"/>
    <x v="2"/>
    <n v="675"/>
  </r>
  <r>
    <s v="ORD-01811"/>
    <d v="2024-11-04T00:00:00"/>
    <s v="CUST-0152"/>
    <x v="40"/>
    <s v="R016"/>
    <n v="8"/>
    <n v="3020"/>
    <n v="14.5"/>
    <n v="20656.8"/>
    <s v="Completed"/>
    <x v="4"/>
    <s v="Beauty"/>
    <s v="SMB"/>
    <n v="64"/>
    <x v="1"/>
    <n v="1626"/>
  </r>
  <r>
    <s v="ORD-01812"/>
    <d v="2024-12-03T00:00:00"/>
    <s v="CUST-0008"/>
    <x v="19"/>
    <s v="R026"/>
    <n v="7"/>
    <n v="2480"/>
    <n v="17.3"/>
    <n v="14356.72"/>
    <s v="Completed"/>
    <x v="0"/>
    <s v="Apparel"/>
    <s v="SMB"/>
    <n v="39"/>
    <x v="2"/>
    <n v="1173"/>
  </r>
  <r>
    <s v="ORD-01813"/>
    <d v="2024-02-08T00:00:00"/>
    <s v="CUST-0285"/>
    <x v="35"/>
    <s v="R013"/>
    <n v="10"/>
    <n v="3870"/>
    <n v="22.4"/>
    <n v="30031.200000000001"/>
    <s v="Pending"/>
    <x v="5"/>
    <s v="Electronics"/>
    <s v="Retail"/>
    <n v="22"/>
    <x v="1"/>
    <n v="1559"/>
  </r>
  <r>
    <s v="ORD-01814"/>
    <d v="2024-09-16T00:00:00"/>
    <s v="CUST-0072"/>
    <x v="29"/>
    <s v="R022"/>
    <n v="6"/>
    <n v="660"/>
    <n v="27.3"/>
    <n v="2878.92"/>
    <s v="Completed"/>
    <x v="3"/>
    <s v="Home"/>
    <s v="Corporate"/>
    <n v="62"/>
    <x v="3"/>
    <n v="329"/>
  </r>
  <r>
    <s v="ORD-01815"/>
    <d v="2024-01-30T00:00:00"/>
    <s v="CUST-9630"/>
    <x v="35"/>
    <s v="R026"/>
    <n v="3"/>
    <n v="3870"/>
    <n v="7.6"/>
    <n v="10727.64"/>
    <s v="Cancelled"/>
    <x v="1"/>
    <s v="Electronics"/>
    <e v="#N/A"/>
    <e v="#N/A"/>
    <x v="2"/>
    <n v="1559"/>
  </r>
  <r>
    <s v="ORD-01816"/>
    <d v="2024-09-07T00:00:00"/>
    <s v="CUST-0243"/>
    <x v="19"/>
    <s v="R006"/>
    <n v="10"/>
    <n v="2480"/>
    <n v="21.5"/>
    <n v="19468"/>
    <s v="Pending"/>
    <x v="0"/>
    <s v="Apparel"/>
    <s v="SMB"/>
    <n v="44"/>
    <x v="0"/>
    <n v="1173"/>
  </r>
  <r>
    <s v="ORD-01817"/>
    <d v="2024-12-17T00:00:00"/>
    <s v="CUST-0231"/>
    <x v="11"/>
    <s v="R001"/>
    <n v="8"/>
    <n v="2640"/>
    <n v="22.3"/>
    <n v="16410.240000000002"/>
    <s v="Completed"/>
    <x v="1"/>
    <s v="Electronics"/>
    <s v="Retail"/>
    <n v="61"/>
    <x v="0"/>
    <n v="1149"/>
  </r>
  <r>
    <s v="ORD-01818"/>
    <d v="2024-09-24T00:00:00"/>
    <s v="CUST-0229"/>
    <x v="9"/>
    <s v="R001"/>
    <n v="8"/>
    <n v="970"/>
    <n v="13.1"/>
    <n v="6743.44"/>
    <s v="Completed"/>
    <x v="5"/>
    <s v="Grocery"/>
    <s v="SMB"/>
    <n v="25"/>
    <x v="0"/>
    <n v="434"/>
  </r>
  <r>
    <s v="ORD-01819"/>
    <d v="2024-05-04T00:00:00"/>
    <s v="CUST-0218"/>
    <x v="6"/>
    <s v="R001"/>
    <n v="6"/>
    <n v="960"/>
    <n v="3.2"/>
    <n v="5575.68"/>
    <s v="Completed"/>
    <x v="3"/>
    <s v="Sports"/>
    <s v="Retail"/>
    <n v="39"/>
    <x v="0"/>
    <n v="705"/>
  </r>
  <r>
    <s v="ORD-01820"/>
    <d v="2024-06-26T00:00:00"/>
    <s v="CUST-0015"/>
    <x v="44"/>
    <s v="R008"/>
    <n v="9"/>
    <n v="2030"/>
    <n v="12.6"/>
    <n v="15967.98"/>
    <s v="Cancelled"/>
    <x v="1"/>
    <s v="Home"/>
    <s v="Retail"/>
    <n v="31"/>
    <x v="0"/>
    <n v="1143"/>
  </r>
  <r>
    <s v="ORD-01821"/>
    <d v="2024-04-05T00:00:00"/>
    <s v="CUST-0291"/>
    <x v="52"/>
    <s v="R024"/>
    <n v="10"/>
    <n v="2290"/>
    <n v="22.2"/>
    <n v="17816.2"/>
    <s v="Completed"/>
    <x v="0"/>
    <s v="Beauty"/>
    <s v="SMB"/>
    <n v="29"/>
    <x v="2"/>
    <n v="1219"/>
  </r>
  <r>
    <s v="ORD-01822"/>
    <d v="2024-03-22T00:00:00"/>
    <s v="CUST-0276"/>
    <x v="1"/>
    <s v="R027"/>
    <n v="7"/>
    <n v="820"/>
    <n v="6.4"/>
    <n v="5372.64"/>
    <s v="Refunded"/>
    <x v="1"/>
    <s v="Apparel"/>
    <s v="Retail"/>
    <n v="26"/>
    <x v="2"/>
    <n v="391"/>
  </r>
  <r>
    <s v="ORD-01823"/>
    <d v="2024-11-18T00:00:00"/>
    <s v="CUST-0139"/>
    <x v="18"/>
    <s v="R030"/>
    <n v="5"/>
    <n v="1080"/>
    <n v="6"/>
    <n v="5076"/>
    <s v="Completed"/>
    <x v="5"/>
    <s v="Home"/>
    <s v="SMB"/>
    <n v="65"/>
    <x v="2"/>
    <n v="519"/>
  </r>
  <r>
    <s v="ORD-01824"/>
    <d v="2024-01-19T00:00:00"/>
    <s v="CUST-0087"/>
    <x v="14"/>
    <s v="R028"/>
    <n v="4"/>
    <n v="190"/>
    <n v="6.3"/>
    <n v="712.12"/>
    <s v="Refunded"/>
    <x v="0"/>
    <s v="Sports"/>
    <s v="SMB"/>
    <n v="49"/>
    <x v="2"/>
    <n v="147"/>
  </r>
  <r>
    <s v="ORD-01825"/>
    <d v="2024-01-28T00:00:00"/>
    <s v="CUST-0203"/>
    <x v="47"/>
    <s v="R029"/>
    <n v="6"/>
    <n v="2510"/>
    <n v="11.5"/>
    <n v="13328.1"/>
    <s v="Completed"/>
    <x v="1"/>
    <s v="Apparel"/>
    <s v="SMB"/>
    <n v="55"/>
    <x v="2"/>
    <n v="1075"/>
  </r>
  <r>
    <s v="ORD-01826"/>
    <d v="2024-01-08T00:00:00"/>
    <s v="CUST-0180"/>
    <x v="59"/>
    <s v="R015"/>
    <n v="2"/>
    <n v="3560"/>
    <n v="10.5"/>
    <n v="6372.4"/>
    <s v="Completed"/>
    <x v="1"/>
    <s v="Apparel"/>
    <s v="Retail"/>
    <n v="36"/>
    <x v="1"/>
    <n v="2629"/>
  </r>
  <r>
    <s v="ORD-01827"/>
    <d v="2024-09-21T00:00:00"/>
    <s v="CUST-0130"/>
    <x v="1"/>
    <s v="R013"/>
    <n v="3"/>
    <n v="820"/>
    <n v="13"/>
    <n v="2140.1999999999998"/>
    <s v="Cancelled"/>
    <x v="4"/>
    <s v="Apparel"/>
    <s v="Corporate"/>
    <n v="41"/>
    <x v="1"/>
    <n v="391"/>
  </r>
  <r>
    <s v="ORD-01828"/>
    <d v="2024-07-27T00:00:00"/>
    <s v="CUST-0049"/>
    <x v="32"/>
    <s v="R003"/>
    <n v="6"/>
    <n v="3640"/>
    <n v="14"/>
    <n v="18782.400000000001"/>
    <s v="Completed"/>
    <x v="3"/>
    <s v="Apparel"/>
    <s v="Corporate"/>
    <n v="42"/>
    <x v="0"/>
    <n v="2611"/>
  </r>
  <r>
    <s v="ORD-01829"/>
    <d v="2024-03-19T00:00:00"/>
    <s v="CUST-0182"/>
    <x v="3"/>
    <s v="R019"/>
    <n v="5"/>
    <n v="3660"/>
    <n v="28.7"/>
    <n v="13047.9"/>
    <s v="Completed"/>
    <x v="3"/>
    <s v="Grocery"/>
    <s v="Retail"/>
    <n v="54"/>
    <x v="3"/>
    <n v="2214"/>
  </r>
  <r>
    <s v="ORD-01830"/>
    <d v="2024-08-17T00:00:00"/>
    <s v="CUST-0291"/>
    <x v="27"/>
    <s v="R030"/>
    <n v="2"/>
    <n v="2860"/>
    <n v="21.1"/>
    <n v="4513.08"/>
    <s v="Completed"/>
    <x v="0"/>
    <s v="Sports"/>
    <s v="SMB"/>
    <n v="29"/>
    <x v="2"/>
    <n v="2028"/>
  </r>
  <r>
    <s v="ORD-01831"/>
    <d v="2024-07-08T00:00:00"/>
    <s v="CUST-0167"/>
    <x v="20"/>
    <s v="R019"/>
    <n v="1"/>
    <n v="2720"/>
    <n v="22.1"/>
    <n v="2118.88"/>
    <s v="Completed"/>
    <x v="2"/>
    <s v="Apparel"/>
    <s v="Retail"/>
    <n v="43"/>
    <x v="3"/>
    <n v="1962"/>
  </r>
  <r>
    <s v="ORD-01832"/>
    <d v="2024-12-07T00:00:00"/>
    <s v="CUST-0223"/>
    <x v="27"/>
    <s v="R004"/>
    <n v="6"/>
    <n v="2860"/>
    <n v="10.5"/>
    <n v="15358.2"/>
    <s v="Cancelled"/>
    <x v="4"/>
    <s v="Sports"/>
    <s v="Retail"/>
    <n v="46"/>
    <x v="0"/>
    <n v="2028"/>
  </r>
  <r>
    <s v="ORD-01833"/>
    <d v="2024-01-14T00:00:00"/>
    <s v="CUST-0050"/>
    <x v="47"/>
    <s v="R020"/>
    <n v="1"/>
    <n v="2510"/>
    <n v="12"/>
    <n v="2208.8000000000002"/>
    <s v="Completed"/>
    <x v="3"/>
    <s v="Apparel"/>
    <s v="Retail"/>
    <n v="37"/>
    <x v="3"/>
    <n v="1075"/>
  </r>
  <r>
    <s v="ORD-01834"/>
    <d v="2024-10-28T00:00:00"/>
    <s v="CUST-0242"/>
    <x v="47"/>
    <s v="R020"/>
    <n v="4"/>
    <n v="2510"/>
    <n v="23.2"/>
    <n v="7710.72"/>
    <s v="Completed"/>
    <x v="1"/>
    <s v="Apparel"/>
    <s v="SMB"/>
    <n v="59"/>
    <x v="3"/>
    <n v="1075"/>
  </r>
  <r>
    <s v="ORD-01835"/>
    <d v="2024-09-20T00:00:00"/>
    <s v="CUST-0144"/>
    <x v="51"/>
    <s v="R005"/>
    <n v="8"/>
    <n v="960"/>
    <n v="20.3"/>
    <n v="6120.96"/>
    <s v="Pending"/>
    <x v="1"/>
    <s v="Beauty"/>
    <s v="Retail"/>
    <n v="49"/>
    <x v="0"/>
    <n v="675"/>
  </r>
  <r>
    <s v="ORD-01836"/>
    <d v="2024-04-24T00:00:00"/>
    <s v="CUST-0140"/>
    <x v="8"/>
    <s v="R010"/>
    <n v="3"/>
    <n v="5490"/>
    <n v="25.2"/>
    <n v="12319.56"/>
    <s v="Completed"/>
    <x v="5"/>
    <s v="Home"/>
    <s v="SMB"/>
    <n v="39"/>
    <x v="1"/>
    <n v="2549"/>
  </r>
  <r>
    <s v="ORD-01837"/>
    <d v="2024-12-21T00:00:00"/>
    <s v="CUST-0174"/>
    <x v="47"/>
    <s v="R006"/>
    <n v="2"/>
    <n v="2510"/>
    <n v="28.2"/>
    <n v="3604.36"/>
    <s v="Completed"/>
    <x v="0"/>
    <s v="Apparel"/>
    <s v="Retail"/>
    <n v="54"/>
    <x v="0"/>
    <n v="1075"/>
  </r>
  <r>
    <s v="ORD-01838"/>
    <d v="2024-04-04T00:00:00"/>
    <s v="CUST-0290"/>
    <x v="1"/>
    <s v="R011"/>
    <n v="1"/>
    <n v="820"/>
    <n v="4.7"/>
    <n v="781.46"/>
    <s v="Completed"/>
    <x v="2"/>
    <s v="Apparel"/>
    <s v="Retail"/>
    <n v="63"/>
    <x v="1"/>
    <n v="391"/>
  </r>
  <r>
    <s v="ORD-01839"/>
    <d v="2024-06-10T00:00:00"/>
    <s v="CUST-0170"/>
    <x v="42"/>
    <s v="R018"/>
    <n v="6"/>
    <n v="300"/>
    <n v="13.3"/>
    <n v="1560.6"/>
    <s v="Completed"/>
    <x v="3"/>
    <s v="Electronics"/>
    <s v="SMB"/>
    <n v="22"/>
    <x v="3"/>
    <n v="128"/>
  </r>
  <r>
    <s v="ORD-01840"/>
    <d v="2024-07-19T00:00:00"/>
    <s v="CUST-0180"/>
    <x v="22"/>
    <s v="R016"/>
    <n v="4"/>
    <n v="3350"/>
    <n v="5.8"/>
    <n v="12622.8"/>
    <s v="Pending"/>
    <x v="1"/>
    <s v="Beauty"/>
    <s v="Retail"/>
    <n v="36"/>
    <x v="1"/>
    <n v="1728"/>
  </r>
  <r>
    <s v="ORD-01841"/>
    <d v="2024-11-09T00:00:00"/>
    <s v="CUST-0286"/>
    <x v="13"/>
    <s v="R025"/>
    <n v="3"/>
    <n v="3250"/>
    <n v="19.600000000000001"/>
    <n v="7839"/>
    <s v="Pending"/>
    <x v="2"/>
    <s v="Home"/>
    <s v="Retail"/>
    <n v="62"/>
    <x v="2"/>
    <n v="1556"/>
  </r>
  <r>
    <s v="ORD-01842"/>
    <d v="2024-02-22T00:00:00"/>
    <s v="CUST-0056"/>
    <x v="21"/>
    <s v="R027"/>
    <n v="10"/>
    <n v="1650"/>
    <n v="22.5"/>
    <n v="12787.5"/>
    <s v="Cancelled"/>
    <x v="4"/>
    <s v="Beauty"/>
    <s v="SMB"/>
    <n v="46"/>
    <x v="2"/>
    <n v="1222"/>
  </r>
  <r>
    <s v="ORD-01843"/>
    <d v="2024-08-02T00:00:00"/>
    <s v="CUST-0292"/>
    <x v="38"/>
    <s v="R026"/>
    <n v="2"/>
    <n v="1220"/>
    <n v="10.5"/>
    <n v="2183.8000000000002"/>
    <s v="Completed"/>
    <x v="4"/>
    <s v="Electronics"/>
    <s v="Retail"/>
    <n v="32"/>
    <x v="2"/>
    <n v="517"/>
  </r>
  <r>
    <s v="ORD-01844"/>
    <d v="2024-08-17T00:00:00"/>
    <s v="CUST-0020"/>
    <x v="51"/>
    <s v="R026"/>
    <n v="7"/>
    <n v="960"/>
    <n v="5.4"/>
    <n v="6357.12"/>
    <s v="Refunded"/>
    <x v="5"/>
    <s v="Beauty"/>
    <s v="Retail"/>
    <n v="46"/>
    <x v="2"/>
    <n v="675"/>
  </r>
  <r>
    <s v="ORD-01845"/>
    <d v="2024-04-07T00:00:00"/>
    <s v="CUST-0089"/>
    <x v="24"/>
    <s v="R014"/>
    <n v="3"/>
    <n v="4880"/>
    <n v="17.100000000000001"/>
    <n v="12136.56"/>
    <s v="Completed"/>
    <x v="3"/>
    <s v="Beauty"/>
    <s v="SMB"/>
    <n v="43"/>
    <x v="1"/>
    <n v="2768"/>
  </r>
  <r>
    <s v="ORD-01846"/>
    <d v="2024-04-08T00:00:00"/>
    <s v="CUST-0242"/>
    <x v="10"/>
    <s v="R028"/>
    <n v="5"/>
    <n v="2270"/>
    <n v="12.4"/>
    <n v="9942.6"/>
    <s v="Completed"/>
    <x v="1"/>
    <s v="Grocery"/>
    <s v="SMB"/>
    <n v="59"/>
    <x v="2"/>
    <n v="1203"/>
  </r>
  <r>
    <s v="ORD-01847"/>
    <d v="2024-05-01T00:00:00"/>
    <s v="CUST-0249"/>
    <x v="57"/>
    <s v="R028"/>
    <n v="1"/>
    <n v="1090"/>
    <n v="17.3"/>
    <n v="901.43"/>
    <s v="Completed"/>
    <x v="3"/>
    <s v="Home"/>
    <s v="Retail"/>
    <n v="44"/>
    <x v="2"/>
    <n v="464"/>
  </r>
  <r>
    <s v="ORD-01848"/>
    <d v="2024-08-31T00:00:00"/>
    <s v="CUST-0032"/>
    <x v="54"/>
    <s v="R029"/>
    <n v="8"/>
    <n v="5080"/>
    <n v="0.9"/>
    <n v="40274.239999999998"/>
    <s v="Completed"/>
    <x v="5"/>
    <s v="Home"/>
    <s v="Retail"/>
    <n v="28"/>
    <x v="2"/>
    <n v="2459"/>
  </r>
  <r>
    <s v="ORD-01849"/>
    <d v="2024-10-04T00:00:00"/>
    <s v="CUST-0217"/>
    <x v="39"/>
    <s v="R017"/>
    <n v="7"/>
    <n v="4610"/>
    <n v="0.9"/>
    <n v="31979.57"/>
    <s v="Completed"/>
    <x v="0"/>
    <s v="Home"/>
    <s v="SMB"/>
    <n v="59"/>
    <x v="3"/>
    <n v="1850"/>
  </r>
  <r>
    <s v="ORD-01850"/>
    <d v="2024-08-23T00:00:00"/>
    <s v="CUST-0284"/>
    <x v="40"/>
    <s v="R028"/>
    <n v="1"/>
    <n v="3020"/>
    <n v="10.3"/>
    <n v="2708.94"/>
    <s v="Completed"/>
    <x v="5"/>
    <s v="Beauty"/>
    <s v="SMB"/>
    <n v="65"/>
    <x v="2"/>
    <n v="1626"/>
  </r>
  <r>
    <s v="ORD-01851"/>
    <d v="2024-06-10T00:00:00"/>
    <s v="CUST-0167"/>
    <x v="34"/>
    <s v="R028"/>
    <n v="6"/>
    <n v="2270"/>
    <n v="23.1"/>
    <n v="10473.780000000001"/>
    <s v="Completed"/>
    <x v="2"/>
    <s v="Grocery"/>
    <s v="Retail"/>
    <n v="43"/>
    <x v="2"/>
    <n v="1412"/>
  </r>
  <r>
    <s v="ORD-01852"/>
    <d v="2024-11-09T00:00:00"/>
    <s v="CUST-0008"/>
    <x v="37"/>
    <s v="R010"/>
    <n v="6"/>
    <n v="4070"/>
    <n v="28.9"/>
    <n v="17362.62"/>
    <s v="Completed"/>
    <x v="0"/>
    <s v="Grocery"/>
    <s v="SMB"/>
    <n v="39"/>
    <x v="1"/>
    <n v="2027"/>
  </r>
  <r>
    <s v="ORD-01853"/>
    <d v="2024-12-24T00:00:00"/>
    <s v="CUST-0277"/>
    <x v="38"/>
    <s v="R017"/>
    <n v="5"/>
    <n v="1220"/>
    <n v="18.7"/>
    <n v="4959.3"/>
    <s v="Completed"/>
    <x v="1"/>
    <s v="Electronics"/>
    <s v="Corporate"/>
    <n v="34"/>
    <x v="3"/>
    <n v="517"/>
  </r>
  <r>
    <s v="ORD-01854"/>
    <d v="2024-04-30T00:00:00"/>
    <s v="CUST-0025"/>
    <x v="19"/>
    <s v="R024"/>
    <n v="8"/>
    <n v="2480"/>
    <n v="3.2"/>
    <n v="19205.12"/>
    <s v="Cancelled"/>
    <x v="4"/>
    <s v="Apparel"/>
    <s v="Retail"/>
    <n v="23"/>
    <x v="2"/>
    <n v="1173"/>
  </r>
  <r>
    <s v="ORD-01855"/>
    <d v="2024-09-19T00:00:00"/>
    <s v="CUST-0228"/>
    <x v="27"/>
    <s v="R007"/>
    <n v="7"/>
    <n v="2860"/>
    <n v="8.4"/>
    <n v="18338.32"/>
    <s v="Completed"/>
    <x v="0"/>
    <s v="Sports"/>
    <s v="Corporate"/>
    <n v="37"/>
    <x v="0"/>
    <n v="2028"/>
  </r>
  <r>
    <s v="ORD-01856"/>
    <d v="2024-03-14T00:00:00"/>
    <s v="CUST-0078"/>
    <x v="31"/>
    <s v="R024"/>
    <n v="1"/>
    <n v="3780"/>
    <n v="16.3"/>
    <n v="3163.86"/>
    <s v="Cancelled"/>
    <x v="2"/>
    <s v="Grocery"/>
    <s v="Retail"/>
    <n v="31"/>
    <x v="2"/>
    <n v="2436"/>
  </r>
  <r>
    <s v="ORD-01857"/>
    <d v="2024-07-31T00:00:00"/>
    <s v="CUST-0205"/>
    <x v="27"/>
    <s v="R025"/>
    <n v="6"/>
    <n v="2860"/>
    <n v="10.7"/>
    <n v="15323.88"/>
    <s v="Completed"/>
    <x v="0"/>
    <s v="Sports"/>
    <s v="Corporate"/>
    <n v="29"/>
    <x v="2"/>
    <n v="2028"/>
  </r>
  <r>
    <s v="ORD-01858"/>
    <d v="2024-12-26T00:00:00"/>
    <s v="CUST-0044"/>
    <x v="15"/>
    <s v="R027"/>
    <n v="3"/>
    <n v="2400"/>
    <n v="20.7"/>
    <n v="5709.6"/>
    <s v="Completed"/>
    <x v="5"/>
    <s v="Sports"/>
    <s v="SMB"/>
    <n v="29"/>
    <x v="2"/>
    <n v="974"/>
  </r>
  <r>
    <s v="ORD-01859"/>
    <d v="2024-02-08T00:00:00"/>
    <s v="CUST-0188"/>
    <x v="50"/>
    <s v="R025"/>
    <n v="8"/>
    <n v="2380"/>
    <n v="22.3"/>
    <n v="14794.08"/>
    <s v="Refunded"/>
    <x v="4"/>
    <s v="Grocery"/>
    <s v="Retail"/>
    <n v="54"/>
    <x v="2"/>
    <n v="1182"/>
  </r>
  <r>
    <s v="ORD-01860"/>
    <d v="2024-08-29T00:00:00"/>
    <s v="CUST-0165"/>
    <x v="26"/>
    <s v="R006"/>
    <n v="7"/>
    <n v="5100"/>
    <n v="22.9"/>
    <n v="27524.7"/>
    <s v="Cancelled"/>
    <x v="0"/>
    <s v="Beauty"/>
    <s v="Retail"/>
    <n v="29"/>
    <x v="0"/>
    <n v="2237"/>
  </r>
  <r>
    <s v="ORD-01861"/>
    <d v="2024-06-20T00:00:00"/>
    <s v="CUST-0059"/>
    <x v="42"/>
    <s v="R015"/>
    <n v="7"/>
    <n v="300"/>
    <n v="15.3"/>
    <n v="1778.7"/>
    <s v="Completed"/>
    <x v="0"/>
    <s v="Electronics"/>
    <s v="Corporate"/>
    <n v="29"/>
    <x v="1"/>
    <n v="128"/>
  </r>
  <r>
    <s v="ORD-01862"/>
    <d v="2024-05-16T00:00:00"/>
    <s v="CUST-0280"/>
    <x v="17"/>
    <s v="R010"/>
    <n v="5"/>
    <n v="3450"/>
    <n v="16.8"/>
    <n v="14352"/>
    <s v="Completed"/>
    <x v="2"/>
    <s v="Sports"/>
    <s v="SMB"/>
    <n v="27"/>
    <x v="1"/>
    <n v="2467"/>
  </r>
  <r>
    <s v="ORD-01863"/>
    <d v="2024-12-08T00:00:00"/>
    <s v="CUST-0153"/>
    <x v="27"/>
    <s v="R014"/>
    <n v="4"/>
    <n v="2860"/>
    <n v="14.3"/>
    <n v="9804.08"/>
    <s v="Completed"/>
    <x v="3"/>
    <s v="Sports"/>
    <s v="Retail"/>
    <n v="35"/>
    <x v="1"/>
    <n v="2028"/>
  </r>
  <r>
    <s v="ORD-01864"/>
    <d v="2024-12-01T00:00:00"/>
    <s v="CUST-0251"/>
    <x v="20"/>
    <s v="R001"/>
    <n v="6"/>
    <n v="2720"/>
    <n v="25.1"/>
    <n v="12223.68"/>
    <s v="Cancelled"/>
    <x v="3"/>
    <s v="Apparel"/>
    <s v="Retail"/>
    <n v="44"/>
    <x v="0"/>
    <n v="1962"/>
  </r>
  <r>
    <s v="ORD-01865"/>
    <d v="2024-05-17T00:00:00"/>
    <s v="CUST-0255"/>
    <x v="30"/>
    <s v="R028"/>
    <n v="3"/>
    <n v="3730"/>
    <n v="24.8"/>
    <n v="8414.8799999999992"/>
    <s v="Completed"/>
    <x v="1"/>
    <s v="Home"/>
    <s v="Corporate"/>
    <n v="51"/>
    <x v="2"/>
    <n v="2135"/>
  </r>
  <r>
    <s v="ORD-01866"/>
    <d v="2024-12-22T00:00:00"/>
    <s v="CUST-0076"/>
    <x v="46"/>
    <s v="R002"/>
    <n v="2"/>
    <n v="4060"/>
    <n v="11.3"/>
    <n v="7202.44"/>
    <s v="Completed"/>
    <x v="3"/>
    <s v="Grocery"/>
    <s v="Retail"/>
    <n v="38"/>
    <x v="0"/>
    <n v="2911"/>
  </r>
  <r>
    <s v="ORD-01867"/>
    <d v="2024-01-04T00:00:00"/>
    <s v="CUST-0195"/>
    <x v="52"/>
    <s v="R018"/>
    <n v="6"/>
    <n v="2290"/>
    <n v="26.8"/>
    <n v="10057.68"/>
    <s v="Refunded"/>
    <x v="4"/>
    <s v="Beauty"/>
    <s v="Retail"/>
    <n v="28"/>
    <x v="3"/>
    <n v="1219"/>
  </r>
  <r>
    <s v="ORD-01868"/>
    <d v="2024-05-06T00:00:00"/>
    <s v="CUST-0164"/>
    <x v="58"/>
    <s v="R013"/>
    <n v="1"/>
    <n v="6940"/>
    <n v="15.7"/>
    <n v="5850.42"/>
    <s v="Completed"/>
    <x v="1"/>
    <s v="Sports"/>
    <s v="Retail"/>
    <n v="60"/>
    <x v="1"/>
    <n v="2827"/>
  </r>
  <r>
    <s v="ORD-01869"/>
    <d v="2024-11-27T00:00:00"/>
    <s v="CUST-0239"/>
    <x v="30"/>
    <s v="R009"/>
    <n v="3"/>
    <n v="3730"/>
    <n v="18.100000000000001"/>
    <n v="9164.61"/>
    <s v="Completed"/>
    <x v="3"/>
    <s v="Home"/>
    <s v="Retail"/>
    <n v="61"/>
    <x v="1"/>
    <n v="2135"/>
  </r>
  <r>
    <s v="ORD-01870"/>
    <d v="2024-08-24T00:00:00"/>
    <s v="CUST-0133"/>
    <x v="30"/>
    <s v="R002"/>
    <n v="8"/>
    <n v="3730"/>
    <n v="12.5"/>
    <n v="26110"/>
    <s v="Completed"/>
    <x v="1"/>
    <s v="Home"/>
    <s v="Retail"/>
    <n v="26"/>
    <x v="0"/>
    <n v="2135"/>
  </r>
  <r>
    <s v="ORD-01871"/>
    <d v="2024-12-18T00:00:00"/>
    <s v="CUST-0286"/>
    <x v="50"/>
    <s v="R015"/>
    <n v="9"/>
    <n v="2380"/>
    <n v="8.1"/>
    <n v="19684.98"/>
    <s v="Cancelled"/>
    <x v="2"/>
    <s v="Grocery"/>
    <s v="Retail"/>
    <n v="62"/>
    <x v="1"/>
    <n v="1182"/>
  </r>
  <r>
    <s v="ORD-01872"/>
    <d v="2024-07-02T00:00:00"/>
    <s v="CUST-0122"/>
    <x v="18"/>
    <s v="R002"/>
    <n v="6"/>
    <n v="1080"/>
    <n v="8.8000000000000007"/>
    <n v="5909.76"/>
    <s v="Completed"/>
    <x v="3"/>
    <s v="Home"/>
    <s v="Retail"/>
    <n v="44"/>
    <x v="0"/>
    <n v="519"/>
  </r>
  <r>
    <s v="ORD-01712"/>
    <d v="2024-04-19T00:00:00"/>
    <s v="CUST-0285"/>
    <x v="2"/>
    <s v="R013"/>
    <n v="5"/>
    <n v="470"/>
    <n v="1.3"/>
    <n v="2319.4499999999998"/>
    <s v="Completed"/>
    <x v="5"/>
    <s v="Sports"/>
    <s v="Retail"/>
    <n v="22"/>
    <x v="1"/>
    <n v="302"/>
  </r>
  <r>
    <s v="ORD-01874"/>
    <d v="2024-08-12T00:00:00"/>
    <s v="CUST-0174"/>
    <x v="5"/>
    <s v="R026"/>
    <n v="4"/>
    <n v="370"/>
    <n v="13.1"/>
    <n v="1286.1199999999999"/>
    <s v="Completed"/>
    <x v="0"/>
    <s v="Home"/>
    <s v="Retail"/>
    <n v="54"/>
    <x v="2"/>
    <n v="288"/>
  </r>
  <r>
    <s v="ORD-01875"/>
    <d v="2024-08-13T00:00:00"/>
    <s v="CUST-0115"/>
    <x v="4"/>
    <s v="R007"/>
    <n v="7"/>
    <n v="3160"/>
    <n v="12.3"/>
    <n v="19399.240000000002"/>
    <s v="Completed"/>
    <x v="3"/>
    <s v="Apparel"/>
    <s v="SMB"/>
    <n v="65"/>
    <x v="0"/>
    <n v="1886"/>
  </r>
  <r>
    <s v="ORD-01876"/>
    <d v="2024-12-19T00:00:00"/>
    <s v="CUST-0028"/>
    <x v="59"/>
    <s v="R024"/>
    <n v="5"/>
    <n v="3560"/>
    <n v="24"/>
    <n v="13528"/>
    <s v="Completed"/>
    <x v="4"/>
    <s v="Apparel"/>
    <s v="Retail"/>
    <n v="59"/>
    <x v="2"/>
    <n v="2629"/>
  </r>
  <r>
    <s v="ORD-01877"/>
    <d v="2024-05-05T00:00:00"/>
    <s v="CUST-0111"/>
    <x v="44"/>
    <s v="R021"/>
    <n v="6"/>
    <n v="2030"/>
    <n v="20.5"/>
    <n v="9683.1"/>
    <s v="Completed"/>
    <x v="1"/>
    <s v="Home"/>
    <s v="SMB"/>
    <n v="64"/>
    <x v="3"/>
    <n v="1143"/>
  </r>
  <r>
    <s v="ORD-01878"/>
    <d v="2024-02-29T00:00:00"/>
    <s v="CUST-0240"/>
    <x v="11"/>
    <s v="R018"/>
    <n v="5"/>
    <n v="2640"/>
    <n v="21.3"/>
    <n v="10388.4"/>
    <s v="Pending"/>
    <x v="1"/>
    <s v="Electronics"/>
    <s v="Corporate"/>
    <n v="35"/>
    <x v="3"/>
    <n v="1149"/>
  </r>
  <r>
    <s v="ORD-01879"/>
    <d v="2024-12-03T00:00:00"/>
    <s v="CUST-0222"/>
    <x v="34"/>
    <s v="R002"/>
    <n v="4"/>
    <n v="2270"/>
    <n v="15.8"/>
    <n v="7645.36"/>
    <s v="Completed"/>
    <x v="1"/>
    <s v="Grocery"/>
    <s v="Retail"/>
    <n v="37"/>
    <x v="0"/>
    <n v="1412"/>
  </r>
  <r>
    <s v="ORD-01880"/>
    <d v="2024-10-23T00:00:00"/>
    <s v="CUST-0251"/>
    <x v="5"/>
    <s v="R002"/>
    <n v="1"/>
    <n v="370"/>
    <n v="27"/>
    <n v="270.10000000000002"/>
    <s v="Pending"/>
    <x v="3"/>
    <s v="Home"/>
    <s v="Retail"/>
    <n v="44"/>
    <x v="0"/>
    <n v="288"/>
  </r>
  <r>
    <s v="ORD-01881"/>
    <d v="2024-03-15T00:00:00"/>
    <s v="CUST-0203"/>
    <x v="26"/>
    <s v="R017"/>
    <n v="9"/>
    <n v="5100"/>
    <n v="2.4"/>
    <n v="44798.400000000001"/>
    <s v="Completed"/>
    <x v="1"/>
    <s v="Beauty"/>
    <s v="SMB"/>
    <n v="55"/>
    <x v="3"/>
    <n v="2237"/>
  </r>
  <r>
    <s v="ORD-01882"/>
    <d v="2024-01-31T00:00:00"/>
    <s v="CUST-0285"/>
    <x v="5"/>
    <s v="R023"/>
    <n v="6"/>
    <n v="370"/>
    <n v="18.7"/>
    <n v="1804.86"/>
    <s v="Cancelled"/>
    <x v="5"/>
    <s v="Home"/>
    <s v="Retail"/>
    <n v="22"/>
    <x v="3"/>
    <n v="288"/>
  </r>
  <r>
    <s v="ORD-01883"/>
    <d v="2024-06-22T00:00:00"/>
    <s v="CUST-0135"/>
    <x v="9"/>
    <s v="R004"/>
    <n v="6"/>
    <n v="970"/>
    <n v="21.6"/>
    <n v="4562.88"/>
    <s v="Completed"/>
    <x v="0"/>
    <s v="Grocery"/>
    <s v="SMB"/>
    <n v="24"/>
    <x v="0"/>
    <n v="434"/>
  </r>
  <r>
    <s v="ORD-01884"/>
    <d v="2024-11-26T00:00:00"/>
    <s v="CUST-9967"/>
    <x v="45"/>
    <s v="R029"/>
    <n v="3"/>
    <n v="2210"/>
    <n v="8.5"/>
    <n v="6066.45"/>
    <s v="Completed"/>
    <x v="2"/>
    <s v="Grocery"/>
    <e v="#N/A"/>
    <e v="#N/A"/>
    <x v="2"/>
    <n v="1010"/>
  </r>
  <r>
    <s v="ORD-01885"/>
    <d v="2024-06-14T00:00:00"/>
    <s v="CUST-0096"/>
    <x v="21"/>
    <s v="R002"/>
    <n v="1"/>
    <n v="1650"/>
    <n v="19.7"/>
    <n v="1324.95"/>
    <s v="Completed"/>
    <x v="2"/>
    <s v="Beauty"/>
    <s v="Corporate"/>
    <n v="27"/>
    <x v="0"/>
    <n v="1222"/>
  </r>
  <r>
    <s v="ORD-01886"/>
    <d v="2024-07-07T00:00:00"/>
    <s v="CUST-0266"/>
    <x v="58"/>
    <s v="R003"/>
    <n v="5"/>
    <n v="6940"/>
    <n v="7.7"/>
    <n v="32028.1"/>
    <s v="Completed"/>
    <x v="0"/>
    <s v="Sports"/>
    <s v="Retail"/>
    <n v="65"/>
    <x v="0"/>
    <n v="2827"/>
  </r>
  <r>
    <s v="ORD-01887"/>
    <d v="2024-04-10T00:00:00"/>
    <s v="CUST-0059"/>
    <x v="45"/>
    <s v="R022"/>
    <n v="2"/>
    <n v="2210"/>
    <n v="5.6"/>
    <n v="4172.4799999999996"/>
    <s v="Cancelled"/>
    <x v="0"/>
    <s v="Grocery"/>
    <s v="Corporate"/>
    <n v="29"/>
    <x v="3"/>
    <n v="1010"/>
  </r>
  <r>
    <s v="ORD-01888"/>
    <d v="2024-03-29T00:00:00"/>
    <s v="CUST-0094"/>
    <x v="12"/>
    <s v="R014"/>
    <n v="9"/>
    <n v="2600"/>
    <n v="3.1"/>
    <n v="22674.6"/>
    <s v="Completed"/>
    <x v="0"/>
    <s v="Electronics"/>
    <s v="SMB"/>
    <n v="60"/>
    <x v="1"/>
    <n v="1052"/>
  </r>
  <r>
    <s v="ORD-01889"/>
    <d v="2024-07-21T00:00:00"/>
    <s v="CUST-0254"/>
    <x v="56"/>
    <s v="R003"/>
    <n v="7"/>
    <n v="3780"/>
    <n v="13.3"/>
    <n v="22940.82"/>
    <s v="Completed"/>
    <x v="4"/>
    <s v="Sports"/>
    <s v="Retail"/>
    <n v="35"/>
    <x v="0"/>
    <n v="1860"/>
  </r>
  <r>
    <s v="ORD-01890"/>
    <d v="2024-11-25T00:00:00"/>
    <s v="CUST-0022"/>
    <x v="15"/>
    <s v="R013"/>
    <n v="4"/>
    <n v="2400"/>
    <n v="16.600000000000001"/>
    <n v="8006.4"/>
    <s v="Pending"/>
    <x v="4"/>
    <s v="Sports"/>
    <s v="Corporate"/>
    <n v="55"/>
    <x v="1"/>
    <n v="974"/>
  </r>
  <r>
    <s v="ORD-01891"/>
    <d v="2024-11-07T00:00:00"/>
    <s v="CUST-0168"/>
    <x v="42"/>
    <s v="R005"/>
    <n v="10"/>
    <n v="300"/>
    <n v="23.9"/>
    <n v="2283"/>
    <s v="Completed"/>
    <x v="0"/>
    <s v="Electronics"/>
    <s v="Retail"/>
    <n v="25"/>
    <x v="0"/>
    <n v="128"/>
  </r>
  <r>
    <s v="ORD-01892"/>
    <d v="2024-12-14T00:00:00"/>
    <s v="CUST-0175"/>
    <x v="3"/>
    <s v="R010"/>
    <n v="1"/>
    <n v="3660"/>
    <n v="1.5"/>
    <n v="3605.1"/>
    <s v="Pending"/>
    <x v="2"/>
    <s v="Grocery"/>
    <s v="Corporate"/>
    <n v="55"/>
    <x v="1"/>
    <n v="2214"/>
  </r>
  <r>
    <s v="ORD-01893"/>
    <d v="2024-08-30T00:00:00"/>
    <s v="CUST-0193"/>
    <x v="17"/>
    <s v="R011"/>
    <n v="9"/>
    <n v="3450"/>
    <n v="21.8"/>
    <n v="24281.1"/>
    <s v="Completed"/>
    <x v="4"/>
    <s v="Sports"/>
    <s v="Retail"/>
    <n v="42"/>
    <x v="1"/>
    <n v="2467"/>
  </r>
  <r>
    <s v="ORD-01894"/>
    <d v="2024-04-28T00:00:00"/>
    <s v="CUST-0284"/>
    <x v="55"/>
    <s v="R007"/>
    <n v="10"/>
    <n v="3450"/>
    <n v="15.7"/>
    <n v="29083.5"/>
    <s v="Cancelled"/>
    <x v="5"/>
    <s v="Apparel"/>
    <s v="SMB"/>
    <n v="65"/>
    <x v="0"/>
    <n v="1748"/>
  </r>
  <r>
    <s v="ORD-01895"/>
    <d v="2024-04-30T00:00:00"/>
    <s v="CUST-0071"/>
    <x v="37"/>
    <s v="R008"/>
    <n v="2"/>
    <n v="4070"/>
    <n v="10.8"/>
    <n v="7260.88"/>
    <s v="Completed"/>
    <x v="2"/>
    <s v="Grocery"/>
    <s v="Corporate"/>
    <n v="46"/>
    <x v="0"/>
    <n v="2027"/>
  </r>
  <r>
    <s v="ORD-01896"/>
    <d v="2024-03-21T00:00:00"/>
    <s v="CUST-0102"/>
    <x v="56"/>
    <s v="R023"/>
    <n v="4"/>
    <n v="3780"/>
    <n v="17.100000000000001"/>
    <n v="12534.48"/>
    <s v="Completed"/>
    <x v="1"/>
    <s v="Sports"/>
    <s v="SMB"/>
    <n v="62"/>
    <x v="3"/>
    <n v="1860"/>
  </r>
  <r>
    <s v="ORD-01897"/>
    <d v="2024-11-26T00:00:00"/>
    <s v="CUST-0036"/>
    <x v="28"/>
    <s v="R004"/>
    <n v="1"/>
    <n v="2760"/>
    <n v="2.5"/>
    <n v="2691"/>
    <s v="Cancelled"/>
    <x v="3"/>
    <s v="Grocery"/>
    <s v="Retail"/>
    <n v="35"/>
    <x v="0"/>
    <n v="1435"/>
  </r>
  <r>
    <s v="ORD-01898"/>
    <d v="2024-07-20T00:00:00"/>
    <s v="CUST-0273"/>
    <x v="24"/>
    <s v="R030"/>
    <n v="2"/>
    <n v="4880"/>
    <n v="11"/>
    <n v="8686.4"/>
    <s v="Completed"/>
    <x v="5"/>
    <s v="Beauty"/>
    <s v="Corporate"/>
    <n v="32"/>
    <x v="2"/>
    <n v="2768"/>
  </r>
  <r>
    <s v="ORD-01899"/>
    <d v="2024-10-15T00:00:00"/>
    <s v="CUST-0262"/>
    <x v="50"/>
    <s v="R022"/>
    <n v="10"/>
    <n v="2380"/>
    <n v="28.3"/>
    <n v="17064.599999999999"/>
    <s v="Completed"/>
    <x v="3"/>
    <s v="Grocery"/>
    <s v="Retail"/>
    <n v="52"/>
    <x v="3"/>
    <n v="1182"/>
  </r>
  <r>
    <s v="ORD-01900"/>
    <d v="2024-06-06T00:00:00"/>
    <s v="CUST-0083"/>
    <x v="52"/>
    <s v="R003"/>
    <n v="3"/>
    <n v="2290"/>
    <n v="11.1"/>
    <n v="6107.43"/>
    <s v="Cancelled"/>
    <x v="4"/>
    <s v="Beauty"/>
    <s v="Corporate"/>
    <n v="31"/>
    <x v="0"/>
    <n v="1219"/>
  </r>
  <r>
    <s v="ORD-01901"/>
    <d v="2024-05-05T00:00:00"/>
    <s v="CUST-0273"/>
    <x v="28"/>
    <s v="R004"/>
    <n v="6"/>
    <n v="2760"/>
    <n v="16.5"/>
    <n v="13827.6"/>
    <s v="Completed"/>
    <x v="5"/>
    <s v="Grocery"/>
    <s v="Corporate"/>
    <n v="32"/>
    <x v="0"/>
    <n v="1435"/>
  </r>
  <r>
    <s v="ORD-01902"/>
    <d v="2024-08-19T00:00:00"/>
    <s v="CUST-0047"/>
    <x v="46"/>
    <s v="R027"/>
    <n v="5"/>
    <n v="4060"/>
    <n v="22.5"/>
    <n v="15732.5"/>
    <s v="Completed"/>
    <x v="0"/>
    <s v="Grocery"/>
    <s v="Retail"/>
    <n v="49"/>
    <x v="2"/>
    <n v="2911"/>
  </r>
  <r>
    <s v="ORD-01903"/>
    <d v="2024-03-16T00:00:00"/>
    <s v="CUST-0084"/>
    <x v="11"/>
    <s v="R006"/>
    <n v="8"/>
    <n v="2640"/>
    <n v="11.8"/>
    <n v="18627.84"/>
    <s v="Completed"/>
    <x v="1"/>
    <s v="Electronics"/>
    <s v="Retail"/>
    <n v="28"/>
    <x v="0"/>
    <n v="1149"/>
  </r>
  <r>
    <s v="ORD-01904"/>
    <d v="2024-01-18T00:00:00"/>
    <s v="CUST-0093"/>
    <x v="39"/>
    <s v="R005"/>
    <n v="2"/>
    <n v="4610"/>
    <n v="10.4"/>
    <n v="8261.1200000000008"/>
    <s v="Pending"/>
    <x v="0"/>
    <s v="Home"/>
    <s v="Retail"/>
    <n v="36"/>
    <x v="0"/>
    <n v="1850"/>
  </r>
  <r>
    <s v="ORD-01905"/>
    <d v="2024-04-01T00:00:00"/>
    <s v="CUST-0282"/>
    <x v="45"/>
    <s v="R028"/>
    <n v="6"/>
    <n v="2210"/>
    <n v="22.5"/>
    <n v="10276.5"/>
    <s v="Cancelled"/>
    <x v="5"/>
    <s v="Grocery"/>
    <s v="Corporate"/>
    <n v="29"/>
    <x v="2"/>
    <n v="1010"/>
  </r>
  <r>
    <s v="ORD-01906"/>
    <d v="2024-05-08T00:00:00"/>
    <s v="CUST-0246"/>
    <x v="45"/>
    <s v="R011"/>
    <n v="4"/>
    <n v="2210"/>
    <n v="21.5"/>
    <n v="6939.4"/>
    <s v="Pending"/>
    <x v="2"/>
    <s v="Grocery"/>
    <s v="SMB"/>
    <n v="29"/>
    <x v="1"/>
    <n v="1010"/>
  </r>
  <r>
    <s v="ORD-01907"/>
    <d v="2024-04-18T00:00:00"/>
    <s v="CUST-0243"/>
    <x v="57"/>
    <s v="R013"/>
    <n v="6"/>
    <n v="1090"/>
    <n v="28.3"/>
    <n v="4689.18"/>
    <s v="Completed"/>
    <x v="0"/>
    <s v="Home"/>
    <s v="SMB"/>
    <n v="44"/>
    <x v="1"/>
    <n v="464"/>
  </r>
  <r>
    <s v="ORD-01908"/>
    <d v="2024-11-29T00:00:00"/>
    <s v="CUST-0298"/>
    <x v="5"/>
    <s v="R003"/>
    <n v="9"/>
    <n v="370"/>
    <n v="13.8"/>
    <n v="2870.46"/>
    <s v="Completed"/>
    <x v="2"/>
    <s v="Home"/>
    <s v="Retail"/>
    <n v="44"/>
    <x v="0"/>
    <n v="288"/>
  </r>
  <r>
    <s v="ORD-01909"/>
    <d v="2024-09-20T00:00:00"/>
    <s v="CUST-0124"/>
    <x v="25"/>
    <s v="R025"/>
    <n v="10"/>
    <n v="3570"/>
    <n v="3"/>
    <n v="34629"/>
    <s v="Cancelled"/>
    <x v="0"/>
    <s v="Electronics"/>
    <s v="Retail"/>
    <n v="57"/>
    <x v="2"/>
    <n v="1665"/>
  </r>
  <r>
    <s v="ORD-01910"/>
    <d v="2024-08-05T00:00:00"/>
    <s v="CUST-0070"/>
    <x v="13"/>
    <s v="R016"/>
    <n v="10"/>
    <n v="3250"/>
    <n v="20.3"/>
    <n v="25902.5"/>
    <s v="Completed"/>
    <x v="3"/>
    <s v="Home"/>
    <s v="Retail"/>
    <n v="42"/>
    <x v="1"/>
    <n v="1556"/>
  </r>
  <r>
    <s v="ORD-01911"/>
    <d v="2024-05-24T00:00:00"/>
    <s v="CUST-0054"/>
    <x v="13"/>
    <s v="R028"/>
    <n v="6"/>
    <n v="3250"/>
    <n v="25.8"/>
    <n v="14469"/>
    <s v="Pending"/>
    <x v="3"/>
    <s v="Home"/>
    <s v="Corporate"/>
    <n v="62"/>
    <x v="2"/>
    <n v="1556"/>
  </r>
  <r>
    <s v="ORD-01912"/>
    <d v="2024-11-14T00:00:00"/>
    <s v="CUST-0208"/>
    <x v="6"/>
    <s v="R024"/>
    <n v="9"/>
    <n v="960"/>
    <n v="29"/>
    <n v="6134.4"/>
    <s v="Completed"/>
    <x v="3"/>
    <s v="Sports"/>
    <s v="Retail"/>
    <n v="49"/>
    <x v="2"/>
    <n v="705"/>
  </r>
  <r>
    <s v="ORD-01913"/>
    <d v="2024-08-31T00:00:00"/>
    <s v="CUST-0181"/>
    <x v="33"/>
    <s v="R015"/>
    <n v="9"/>
    <n v="6080"/>
    <n v="21"/>
    <n v="43228.800000000003"/>
    <s v="Completed"/>
    <x v="2"/>
    <s v="Beauty"/>
    <s v="SMB"/>
    <n v="38"/>
    <x v="1"/>
    <n v="2617"/>
  </r>
  <r>
    <s v="ORD-01914"/>
    <d v="2024-03-15T00:00:00"/>
    <s v="CUST-0259"/>
    <x v="39"/>
    <s v="R020"/>
    <n v="6"/>
    <n v="4610"/>
    <n v="13.5"/>
    <n v="23925.9"/>
    <s v="Completed"/>
    <x v="3"/>
    <s v="Home"/>
    <s v="Retail"/>
    <n v="34"/>
    <x v="3"/>
    <n v="1850"/>
  </r>
  <r>
    <s v="ORD-01915"/>
    <d v="2024-06-03T00:00:00"/>
    <s v="CUST-0277"/>
    <x v="54"/>
    <s v="R021"/>
    <n v="7"/>
    <n v="5080"/>
    <n v="25.4"/>
    <n v="26527.759999999998"/>
    <s v="Completed"/>
    <x v="1"/>
    <s v="Home"/>
    <s v="Corporate"/>
    <n v="34"/>
    <x v="3"/>
    <n v="2459"/>
  </r>
  <r>
    <s v="ORD-01916"/>
    <d v="2024-09-15T00:00:00"/>
    <s v="CUST-0173"/>
    <x v="22"/>
    <s v="R017"/>
    <n v="5"/>
    <n v="3350"/>
    <n v="2.2000000000000002"/>
    <n v="16381.5"/>
    <s v="Completed"/>
    <x v="3"/>
    <s v="Beauty"/>
    <s v="Retail"/>
    <n v="65"/>
    <x v="3"/>
    <n v="1728"/>
  </r>
  <r>
    <s v="ORD-01917"/>
    <d v="2024-11-04T00:00:00"/>
    <s v="CUST-0091"/>
    <x v="31"/>
    <s v="R014"/>
    <n v="1"/>
    <n v="3780"/>
    <n v="13.7"/>
    <n v="3262.14"/>
    <s v="Completed"/>
    <x v="2"/>
    <s v="Grocery"/>
    <s v="Retail"/>
    <n v="55"/>
    <x v="1"/>
    <n v="2436"/>
  </r>
  <r>
    <s v="ORD-01918"/>
    <d v="2024-03-01T00:00:00"/>
    <s v="CUST-0142"/>
    <x v="24"/>
    <s v="R020"/>
    <n v="4"/>
    <n v="4880"/>
    <n v="11.6"/>
    <n v="17255.68"/>
    <s v="Completed"/>
    <x v="1"/>
    <s v="Beauty"/>
    <s v="Corporate"/>
    <n v="55"/>
    <x v="3"/>
    <n v="2768"/>
  </r>
  <r>
    <s v="ORD-01919"/>
    <d v="2024-04-03T00:00:00"/>
    <s v="CUST-0011"/>
    <x v="26"/>
    <s v="R029"/>
    <n v="3"/>
    <n v="5100"/>
    <n v="24.2"/>
    <n v="11597.4"/>
    <s v="Completed"/>
    <x v="7"/>
    <s v="Beauty"/>
    <s v="Corporate"/>
    <n v="41"/>
    <x v="2"/>
    <n v="2237"/>
  </r>
  <r>
    <s v="ORD-01920"/>
    <d v="2024-12-08T00:00:00"/>
    <s v="CUST-0074"/>
    <x v="41"/>
    <s v="R023"/>
    <n v="5"/>
    <n v="2660"/>
    <n v="4.7"/>
    <n v="12674.9"/>
    <s v="Completed"/>
    <x v="4"/>
    <s v="Electronics"/>
    <s v="Retail"/>
    <n v="27"/>
    <x v="3"/>
    <n v="1259"/>
  </r>
  <r>
    <s v="ORD-01921"/>
    <d v="2024-06-01T00:00:00"/>
    <s v="CUST-0131"/>
    <x v="50"/>
    <s v="R017"/>
    <n v="10"/>
    <n v="2380"/>
    <n v="1"/>
    <n v="23562"/>
    <s v="Completed"/>
    <x v="2"/>
    <s v="Grocery"/>
    <s v="SMB"/>
    <n v="28"/>
    <x v="3"/>
    <n v="1182"/>
  </r>
  <r>
    <s v="ORD-01922"/>
    <d v="2024-09-18T00:00:00"/>
    <s v="CUST-0093"/>
    <x v="24"/>
    <s v="R002"/>
    <n v="9"/>
    <n v="4880"/>
    <n v="7.2"/>
    <n v="40757.760000000002"/>
    <s v="Completed"/>
    <x v="0"/>
    <s v="Beauty"/>
    <s v="Retail"/>
    <n v="36"/>
    <x v="0"/>
    <n v="2768"/>
  </r>
  <r>
    <s v="ORD-01923"/>
    <d v="2024-04-29T00:00:00"/>
    <s v="CUST-0229"/>
    <x v="30"/>
    <s v="R014"/>
    <n v="1"/>
    <n v="3730"/>
    <n v="15.3"/>
    <n v="3159.31"/>
    <s v="Completed"/>
    <x v="5"/>
    <s v="Home"/>
    <s v="SMB"/>
    <n v="25"/>
    <x v="1"/>
    <n v="2135"/>
  </r>
  <r>
    <s v="ORD-01924"/>
    <d v="2024-05-30T00:00:00"/>
    <s v="CUST-0293"/>
    <x v="56"/>
    <s v="R003"/>
    <n v="10"/>
    <n v="3780"/>
    <n v="2.7"/>
    <n v="36779.4"/>
    <s v="Completed"/>
    <x v="4"/>
    <s v="Sports"/>
    <s v="Retail"/>
    <n v="27"/>
    <x v="0"/>
    <n v="1860"/>
  </r>
  <r>
    <s v="ORD-01925"/>
    <d v="2024-03-30T00:00:00"/>
    <s v="CUST-0105"/>
    <x v="0"/>
    <s v="R023"/>
    <n v="2"/>
    <n v="3620"/>
    <n v="23"/>
    <n v="5574.8"/>
    <s v="Completed"/>
    <x v="1"/>
    <s v="Apparel"/>
    <s v="SMB"/>
    <n v="51"/>
    <x v="3"/>
    <n v="2509"/>
  </r>
  <r>
    <s v="ORD-01926"/>
    <d v="2024-09-01T00:00:00"/>
    <s v="CUST-0003"/>
    <x v="54"/>
    <s v="R021"/>
    <n v="9"/>
    <n v="5080"/>
    <n v="19.899999999999999"/>
    <n v="36621.72"/>
    <s v="Completed"/>
    <x v="3"/>
    <s v="Home"/>
    <s v="Retail"/>
    <n v="33"/>
    <x v="3"/>
    <n v="2459"/>
  </r>
  <r>
    <s v="ORD-01927"/>
    <d v="2024-09-26T00:00:00"/>
    <s v="CUST-0092"/>
    <x v="59"/>
    <s v="R024"/>
    <n v="2"/>
    <n v="3560"/>
    <n v="5.5"/>
    <n v="6728.4"/>
    <s v="Completed"/>
    <x v="4"/>
    <s v="Apparel"/>
    <s v="SMB"/>
    <n v="28"/>
    <x v="2"/>
    <n v="2629"/>
  </r>
  <r>
    <s v="ORD-01928"/>
    <d v="2024-02-27T00:00:00"/>
    <s v="CUST-0050"/>
    <x v="9"/>
    <s v="R001"/>
    <n v="6"/>
    <n v="970"/>
    <n v="22.5"/>
    <n v="4510.5"/>
    <s v="Refunded"/>
    <x v="3"/>
    <s v="Grocery"/>
    <s v="Retail"/>
    <n v="37"/>
    <x v="0"/>
    <n v="434"/>
  </r>
  <r>
    <s v="ORD-01929"/>
    <d v="2024-12-24T00:00:00"/>
    <s v="CUST-0237"/>
    <x v="22"/>
    <s v="R014"/>
    <n v="9"/>
    <n v="3350"/>
    <n v="5.0999999999999996"/>
    <n v="28612.35"/>
    <s v="Completed"/>
    <x v="3"/>
    <s v="Beauty"/>
    <s v="Retail"/>
    <n v="49"/>
    <x v="1"/>
    <n v="1728"/>
  </r>
  <r>
    <s v="ORD-01930"/>
    <d v="2024-08-21T00:00:00"/>
    <s v="CUST-9905"/>
    <x v="5"/>
    <s v="R011"/>
    <n v="6"/>
    <n v="370"/>
    <n v="17.8"/>
    <n v="1824.84"/>
    <s v="Completed"/>
    <x v="3"/>
    <s v="Home"/>
    <e v="#N/A"/>
    <e v="#N/A"/>
    <x v="1"/>
    <n v="288"/>
  </r>
  <r>
    <s v="ORD-01931"/>
    <d v="2024-03-14T00:00:00"/>
    <s v="CUST-0175"/>
    <x v="10"/>
    <s v="R011"/>
    <n v="3"/>
    <n v="2270"/>
    <n v="8.4"/>
    <n v="6237.96"/>
    <s v="Pending"/>
    <x v="2"/>
    <s v="Grocery"/>
    <s v="Corporate"/>
    <n v="55"/>
    <x v="1"/>
    <n v="1203"/>
  </r>
  <r>
    <s v="ORD-01932"/>
    <d v="2024-06-21T00:00:00"/>
    <s v="CUST-0271"/>
    <x v="17"/>
    <s v="R021"/>
    <n v="3"/>
    <n v="3450"/>
    <n v="7.2"/>
    <n v="9604.7999999999993"/>
    <s v="Completed"/>
    <x v="4"/>
    <s v="Sports"/>
    <s v="Corporate"/>
    <n v="41"/>
    <x v="3"/>
    <n v="2467"/>
  </r>
  <r>
    <s v="ORD-01933"/>
    <d v="2024-12-07T00:00:00"/>
    <s v="CUST-0129"/>
    <x v="23"/>
    <s v="R008"/>
    <n v="9"/>
    <n v="1010"/>
    <n v="17.8"/>
    <n v="7471.98"/>
    <s v="Completed"/>
    <x v="5"/>
    <s v="Sports"/>
    <s v="Retail"/>
    <n v="29"/>
    <x v="0"/>
    <n v="516"/>
  </r>
  <r>
    <s v="ORD-01934"/>
    <d v="2024-03-22T00:00:00"/>
    <s v="CUST-0156"/>
    <x v="39"/>
    <s v="R003"/>
    <n v="5"/>
    <n v="4610"/>
    <n v="29.8"/>
    <n v="16181.1"/>
    <s v="Cancelled"/>
    <x v="3"/>
    <s v="Home"/>
    <s v="Retail"/>
    <n v="33"/>
    <x v="0"/>
    <n v="1850"/>
  </r>
  <r>
    <s v="ORD-01935"/>
    <d v="2024-07-24T00:00:00"/>
    <s v="CUST-0048"/>
    <x v="5"/>
    <s v="R003"/>
    <n v="6"/>
    <n v="370"/>
    <n v="17.899999999999999"/>
    <n v="1822.62"/>
    <s v="Completed"/>
    <x v="2"/>
    <s v="Home"/>
    <s v="Retail"/>
    <n v="59"/>
    <x v="0"/>
    <n v="288"/>
  </r>
  <r>
    <s v="ORD-01936"/>
    <d v="2024-03-01T00:00:00"/>
    <s v="CUST-0224"/>
    <x v="50"/>
    <s v="R026"/>
    <n v="6"/>
    <n v="2380"/>
    <n v="13.6"/>
    <n v="12337.92"/>
    <s v="Cancelled"/>
    <x v="1"/>
    <s v="Grocery"/>
    <s v="Corporate"/>
    <n v="24"/>
    <x v="2"/>
    <n v="1182"/>
  </r>
  <r>
    <s v="ORD-01937"/>
    <d v="2024-03-28T00:00:00"/>
    <s v="CUST-0101"/>
    <x v="51"/>
    <s v="R023"/>
    <n v="6"/>
    <n v="960"/>
    <n v="15"/>
    <n v="4896"/>
    <s v="Pending"/>
    <x v="5"/>
    <s v="Beauty"/>
    <s v="SMB"/>
    <n v="40"/>
    <x v="3"/>
    <n v="675"/>
  </r>
  <r>
    <s v="ORD-01938"/>
    <d v="2024-05-10T00:00:00"/>
    <s v="CUST-0269"/>
    <x v="6"/>
    <s v="R002"/>
    <n v="3"/>
    <n v="960"/>
    <n v="12.3"/>
    <n v="2525.7600000000002"/>
    <s v="Completed"/>
    <x v="0"/>
    <s v="Sports"/>
    <s v="Retail"/>
    <n v="48"/>
    <x v="0"/>
    <n v="705"/>
  </r>
  <r>
    <s v="ORD-01939"/>
    <d v="2024-05-01T00:00:00"/>
    <s v="CUST-0097"/>
    <x v="43"/>
    <s v="R029"/>
    <n v="7"/>
    <n v="620"/>
    <n v="5.8"/>
    <n v="4088.28"/>
    <s v="Completed"/>
    <x v="3"/>
    <s v="Apparel"/>
    <s v="Retail"/>
    <n v="65"/>
    <x v="2"/>
    <n v="396"/>
  </r>
  <r>
    <s v="ORD-01940"/>
    <d v="2024-06-24T00:00:00"/>
    <s v="CUST-0062"/>
    <x v="6"/>
    <s v="R020"/>
    <n v="1"/>
    <n v="960"/>
    <n v="4.5999999999999996"/>
    <n v="915.84"/>
    <s v="Completed"/>
    <x v="0"/>
    <s v="Sports"/>
    <s v="Retail"/>
    <n v="54"/>
    <x v="3"/>
    <n v="705"/>
  </r>
  <r>
    <s v="ORD-01941"/>
    <d v="2024-08-16T00:00:00"/>
    <s v="CUST-0124"/>
    <x v="16"/>
    <s v="R028"/>
    <n v="4"/>
    <n v="3450"/>
    <n v="13.3"/>
    <n v="11964.6"/>
    <s v="Completed"/>
    <x v="0"/>
    <s v="Beauty"/>
    <s v="Retail"/>
    <n v="57"/>
    <x v="2"/>
    <n v="2420"/>
  </r>
  <r>
    <s v="ORD-01942"/>
    <d v="2024-11-30T00:00:00"/>
    <s v="CUST-0185"/>
    <x v="20"/>
    <s v="R019"/>
    <n v="10"/>
    <n v="2720"/>
    <n v="3.4"/>
    <n v="26275.200000000001"/>
    <s v="Completed"/>
    <x v="5"/>
    <s v="Apparel"/>
    <s v="SMB"/>
    <n v="43"/>
    <x v="3"/>
    <n v="1962"/>
  </r>
  <r>
    <s v="ORD-01943"/>
    <d v="2024-06-09T00:00:00"/>
    <s v="CUST-0115"/>
    <x v="16"/>
    <s v="R019"/>
    <n v="1"/>
    <n v="3450"/>
    <n v="29.4"/>
    <n v="2435.6999999999998"/>
    <s v="Completed"/>
    <x v="3"/>
    <s v="Beauty"/>
    <s v="SMB"/>
    <n v="65"/>
    <x v="3"/>
    <n v="2420"/>
  </r>
  <r>
    <s v="ORD-01944"/>
    <d v="2024-08-25T00:00:00"/>
    <s v="CUST-0097"/>
    <x v="21"/>
    <s v="R024"/>
    <n v="5"/>
    <n v="1650"/>
    <n v="29.4"/>
    <n v="5824.5"/>
    <s v="Completed"/>
    <x v="3"/>
    <s v="Beauty"/>
    <s v="Retail"/>
    <n v="65"/>
    <x v="2"/>
    <n v="1222"/>
  </r>
  <r>
    <s v="ORD-01945"/>
    <d v="2024-12-13T00:00:00"/>
    <s v="CUST-0221"/>
    <x v="0"/>
    <s v="R009"/>
    <n v="2"/>
    <n v="3620"/>
    <n v="15.6"/>
    <n v="6110.56"/>
    <s v="Completed"/>
    <x v="2"/>
    <s v="Apparel"/>
    <s v="SMB"/>
    <n v="29"/>
    <x v="1"/>
    <n v="2509"/>
  </r>
  <r>
    <s v="ORD-01946"/>
    <d v="2024-10-27T00:00:00"/>
    <s v="CUST-0098"/>
    <x v="42"/>
    <s v="R012"/>
    <n v="3"/>
    <n v="300"/>
    <n v="24.8"/>
    <n v="676.8"/>
    <s v="Completed"/>
    <x v="2"/>
    <s v="Electronics"/>
    <s v="Retail"/>
    <n v="52"/>
    <x v="1"/>
    <n v="128"/>
  </r>
  <r>
    <s v="ORD-01947"/>
    <d v="2024-02-16T00:00:00"/>
    <s v="CUST-0203"/>
    <x v="36"/>
    <s v="R001"/>
    <n v="3"/>
    <n v="1540"/>
    <n v="29.5"/>
    <n v="3257.1"/>
    <s v="Completed"/>
    <x v="1"/>
    <s v="Beauty"/>
    <s v="SMB"/>
    <n v="55"/>
    <x v="0"/>
    <n v="647"/>
  </r>
  <r>
    <s v="ORD-01948"/>
    <d v="2024-09-16T00:00:00"/>
    <s v="CUST-0074"/>
    <x v="10"/>
    <s v="R019"/>
    <n v="10"/>
    <n v="2270"/>
    <n v="5.5"/>
    <n v="21451.5"/>
    <s v="Cancelled"/>
    <x v="4"/>
    <s v="Grocery"/>
    <s v="Retail"/>
    <n v="27"/>
    <x v="3"/>
    <n v="1203"/>
  </r>
  <r>
    <s v="ORD-01949"/>
    <d v="2024-02-28T00:00:00"/>
    <s v="CUST-0217"/>
    <x v="11"/>
    <s v="R008"/>
    <n v="3"/>
    <n v="2640"/>
    <n v="28.2"/>
    <n v="5686.56"/>
    <s v="Refunded"/>
    <x v="0"/>
    <s v="Electronics"/>
    <s v="SMB"/>
    <n v="59"/>
    <x v="0"/>
    <n v="1149"/>
  </r>
  <r>
    <s v="ORD-01950"/>
    <d v="2024-08-03T00:00:00"/>
    <s v="CUST-0021"/>
    <x v="11"/>
    <s v="R015"/>
    <n v="10"/>
    <n v="2640"/>
    <n v="25.9"/>
    <n v="19562.400000000001"/>
    <s v="Completed"/>
    <x v="0"/>
    <s v="Electronics"/>
    <s v="Retail"/>
    <n v="44"/>
    <x v="1"/>
    <n v="1149"/>
  </r>
  <r>
    <s v="ORD-01951"/>
    <d v="2024-09-03T00:00:00"/>
    <s v="CUST-0004"/>
    <x v="7"/>
    <s v="R030"/>
    <n v="2"/>
    <n v="1430"/>
    <n v="5"/>
    <n v="2717"/>
    <s v="Cancelled"/>
    <x v="2"/>
    <s v="Electronics"/>
    <s v="Retail"/>
    <n v="53"/>
    <x v="2"/>
    <n v="861"/>
  </r>
  <r>
    <s v="ORD-01952"/>
    <d v="2024-11-22T00:00:00"/>
    <s v="CUST-0080"/>
    <x v="25"/>
    <s v="R020"/>
    <n v="6"/>
    <n v="3570"/>
    <n v="28.5"/>
    <n v="15315.3"/>
    <s v="Cancelled"/>
    <x v="0"/>
    <s v="Electronics"/>
    <s v="SMB"/>
    <n v="30"/>
    <x v="3"/>
    <n v="1665"/>
  </r>
  <r>
    <s v="ORD-01953"/>
    <d v="2024-06-01T00:00:00"/>
    <s v="CUST-0113"/>
    <x v="25"/>
    <s v="R024"/>
    <n v="1"/>
    <n v="3570"/>
    <n v="7.7"/>
    <n v="3295.11"/>
    <s v="Completed"/>
    <x v="2"/>
    <s v="Electronics"/>
    <s v="Retail"/>
    <n v="30"/>
    <x v="2"/>
    <n v="1665"/>
  </r>
  <r>
    <s v="ORD-01954"/>
    <d v="2024-03-26T00:00:00"/>
    <s v="CUST-0023"/>
    <x v="35"/>
    <s v="R030"/>
    <n v="9"/>
    <n v="3870"/>
    <n v="11.9"/>
    <n v="30685.23"/>
    <s v="Cancelled"/>
    <x v="1"/>
    <s v="Electronics"/>
    <s v="SMB"/>
    <n v="43"/>
    <x v="2"/>
    <n v="1559"/>
  </r>
  <r>
    <s v="ORD-01955"/>
    <d v="2024-08-11T00:00:00"/>
    <s v="CUST-0136"/>
    <x v="58"/>
    <s v="R014"/>
    <n v="5"/>
    <n v="6940"/>
    <n v="17.399999999999999"/>
    <n v="28662.2"/>
    <s v="Completed"/>
    <x v="1"/>
    <s v="Sports"/>
    <s v="SMB"/>
    <n v="26"/>
    <x v="1"/>
    <n v="2827"/>
  </r>
  <r>
    <s v="ORD-01956"/>
    <d v="2024-01-21T00:00:00"/>
    <s v="CUST-0031"/>
    <x v="5"/>
    <s v="R026"/>
    <n v="6"/>
    <n v="370"/>
    <n v="8.1"/>
    <n v="2040.18"/>
    <s v="Cancelled"/>
    <x v="5"/>
    <s v="Home"/>
    <s v="Retail"/>
    <n v="53"/>
    <x v="2"/>
    <n v="288"/>
  </r>
  <r>
    <s v="ORD-01957"/>
    <d v="2024-09-14T00:00:00"/>
    <s v="CUST-0175"/>
    <x v="59"/>
    <s v="R027"/>
    <n v="8"/>
    <n v="3560"/>
    <n v="23.3"/>
    <n v="21844.16"/>
    <s v="Completed"/>
    <x v="2"/>
    <s v="Apparel"/>
    <s v="Corporate"/>
    <n v="55"/>
    <x v="2"/>
    <n v="2629"/>
  </r>
  <r>
    <s v="ORD-01958"/>
    <d v="2024-12-07T00:00:00"/>
    <s v="CUST-0249"/>
    <x v="38"/>
    <s v="R028"/>
    <n v="4"/>
    <n v="1220"/>
    <n v="2.7"/>
    <n v="4748.24"/>
    <s v="Completed"/>
    <x v="3"/>
    <s v="Electronics"/>
    <s v="Retail"/>
    <n v="44"/>
    <x v="2"/>
    <n v="517"/>
  </r>
  <r>
    <s v="ORD-01959"/>
    <d v="2024-11-02T00:00:00"/>
    <s v="CUST-0138"/>
    <x v="37"/>
    <s v="R020"/>
    <n v="10"/>
    <n v="4070"/>
    <n v="11.6"/>
    <n v="35978.800000000003"/>
    <s v="Completed"/>
    <x v="1"/>
    <s v="Grocery"/>
    <s v="Retail"/>
    <n v="24"/>
    <x v="3"/>
    <n v="2027"/>
  </r>
  <r>
    <s v="ORD-01960"/>
    <d v="2024-02-14T00:00:00"/>
    <s v="CUST-0290"/>
    <x v="3"/>
    <s v="R019"/>
    <n v="10"/>
    <n v="3660"/>
    <n v="28.8"/>
    <n v="26059.200000000001"/>
    <s v="Completed"/>
    <x v="2"/>
    <s v="Grocery"/>
    <s v="Retail"/>
    <n v="63"/>
    <x v="3"/>
    <n v="2214"/>
  </r>
  <r>
    <s v="ORD-01961"/>
    <d v="2024-06-06T00:00:00"/>
    <s v="CUST-0151"/>
    <x v="54"/>
    <s v="R018"/>
    <n v="5"/>
    <n v="5080"/>
    <n v="12.1"/>
    <n v="22326.6"/>
    <s v="Completed"/>
    <x v="3"/>
    <s v="Home"/>
    <s v="Retail"/>
    <n v="53"/>
    <x v="3"/>
    <n v="2459"/>
  </r>
  <r>
    <s v="ORD-01962"/>
    <d v="2024-02-16T00:00:00"/>
    <s v="CUST-0290"/>
    <x v="39"/>
    <s v="R013"/>
    <n v="10"/>
    <n v="4610"/>
    <n v="22.5"/>
    <n v="35727.5"/>
    <s v="Completed"/>
    <x v="2"/>
    <s v="Home"/>
    <s v="Retail"/>
    <n v="63"/>
    <x v="1"/>
    <n v="1850"/>
  </r>
  <r>
    <s v="ORD-01963"/>
    <d v="2024-01-26T00:00:00"/>
    <s v="CUST-0074"/>
    <x v="41"/>
    <s v="R007"/>
    <n v="3"/>
    <n v="2660"/>
    <n v="15"/>
    <n v="6783"/>
    <s v="Completed"/>
    <x v="4"/>
    <s v="Electronics"/>
    <s v="Retail"/>
    <n v="27"/>
    <x v="0"/>
    <n v="1259"/>
  </r>
  <r>
    <s v="ORD-01964"/>
    <d v="2024-04-02T00:00:00"/>
    <s v="CUST-0295"/>
    <x v="4"/>
    <s v="R006"/>
    <n v="5"/>
    <n v="3160"/>
    <n v="1.3"/>
    <n v="15594.6"/>
    <s v="Completed"/>
    <x v="2"/>
    <s v="Apparel"/>
    <s v="SMB"/>
    <n v="48"/>
    <x v="0"/>
    <n v="1886"/>
  </r>
  <r>
    <s v="ORD-01965"/>
    <d v="2024-02-03T00:00:00"/>
    <s v="CUST-0132"/>
    <x v="5"/>
    <s v="R004"/>
    <n v="10"/>
    <n v="370"/>
    <n v="29"/>
    <n v="2627"/>
    <s v="Completed"/>
    <x v="2"/>
    <s v="Home"/>
    <s v="Retail"/>
    <n v="41"/>
    <x v="0"/>
    <n v="288"/>
  </r>
  <r>
    <s v="ORD-01966"/>
    <d v="2024-03-07T00:00:00"/>
    <s v="CUST-0289"/>
    <x v="23"/>
    <s v="R008"/>
    <n v="10"/>
    <n v="1010"/>
    <n v="14.1"/>
    <n v="8675.9"/>
    <s v="Refunded"/>
    <x v="3"/>
    <s v="Sports"/>
    <s v="Retail"/>
    <n v="54"/>
    <x v="0"/>
    <n v="516"/>
  </r>
  <r>
    <s v="ORD-01967"/>
    <d v="2024-10-21T00:00:00"/>
    <s v="CUST-0139"/>
    <x v="59"/>
    <s v="R030"/>
    <n v="3"/>
    <n v="3560"/>
    <n v="23.6"/>
    <n v="8159.52"/>
    <s v="Completed"/>
    <x v="5"/>
    <s v="Apparel"/>
    <s v="SMB"/>
    <n v="65"/>
    <x v="2"/>
    <n v="2629"/>
  </r>
  <r>
    <s v="ORD-01968"/>
    <d v="2024-02-18T00:00:00"/>
    <s v="CUST-0032"/>
    <x v="38"/>
    <s v="R028"/>
    <n v="9"/>
    <n v="1220"/>
    <n v="16.600000000000001"/>
    <n v="9157.32"/>
    <s v="Completed"/>
    <x v="5"/>
    <s v="Electronics"/>
    <s v="Retail"/>
    <n v="28"/>
    <x v="2"/>
    <n v="517"/>
  </r>
  <r>
    <s v="ORD-01969"/>
    <d v="2024-02-21T00:00:00"/>
    <s v="CUST-0109"/>
    <x v="14"/>
    <s v="R008"/>
    <n v="8"/>
    <n v="190"/>
    <n v="22.3"/>
    <n v="1181.04"/>
    <s v="Completed"/>
    <x v="0"/>
    <s v="Sports"/>
    <s v="Retail"/>
    <n v="42"/>
    <x v="0"/>
    <n v="147"/>
  </r>
  <r>
    <s v="ORD-01970"/>
    <d v="2024-06-25T00:00:00"/>
    <s v="CUST-0224"/>
    <x v="23"/>
    <s v="R002"/>
    <n v="2"/>
    <n v="1010"/>
    <n v="3.8"/>
    <n v="1943.24"/>
    <s v="Completed"/>
    <x v="1"/>
    <s v="Sports"/>
    <s v="Corporate"/>
    <n v="24"/>
    <x v="0"/>
    <n v="516"/>
  </r>
  <r>
    <s v="ORD-01971"/>
    <d v="2024-05-27T00:00:00"/>
    <s v="CUST-0038"/>
    <x v="12"/>
    <s v="R009"/>
    <n v="4"/>
    <n v="2600"/>
    <n v="29.1"/>
    <n v="7373.6"/>
    <s v="Completed"/>
    <x v="3"/>
    <s v="Electronics"/>
    <s v="Retail"/>
    <n v="57"/>
    <x v="1"/>
    <n v="1052"/>
  </r>
  <r>
    <s v="ORD-01972"/>
    <d v="2024-08-13T00:00:00"/>
    <s v="CUST-0132"/>
    <x v="55"/>
    <s v="R029"/>
    <n v="7"/>
    <n v="3450"/>
    <n v="4"/>
    <n v="23184"/>
    <s v="Completed"/>
    <x v="2"/>
    <s v="Apparel"/>
    <s v="Retail"/>
    <n v="41"/>
    <x v="2"/>
    <n v="1748"/>
  </r>
  <r>
    <s v="ORD-01973"/>
    <d v="2024-01-20T00:00:00"/>
    <s v="CUST-0226"/>
    <x v="47"/>
    <s v="R019"/>
    <n v="6"/>
    <n v="2510"/>
    <n v="12.7"/>
    <n v="13147.38"/>
    <s v="Completed"/>
    <x v="1"/>
    <s v="Apparel"/>
    <s v="Corporate"/>
    <n v="52"/>
    <x v="3"/>
    <n v="1075"/>
  </r>
  <r>
    <s v="ORD-01974"/>
    <d v="2024-09-25T00:00:00"/>
    <s v="CUST-0275"/>
    <x v="14"/>
    <s v="R027"/>
    <n v="6"/>
    <n v="190"/>
    <n v="20"/>
    <n v="912"/>
    <s v="Cancelled"/>
    <x v="3"/>
    <s v="Sports"/>
    <s v="Retail"/>
    <n v="36"/>
    <x v="2"/>
    <n v="147"/>
  </r>
  <r>
    <s v="ORD-01975"/>
    <d v="2024-08-25T00:00:00"/>
    <s v="CUST-0109"/>
    <x v="21"/>
    <s v="R029"/>
    <n v="10"/>
    <n v="1650"/>
    <n v="21.5"/>
    <n v="12952.5"/>
    <s v="Completed"/>
    <x v="0"/>
    <s v="Beauty"/>
    <s v="Retail"/>
    <n v="42"/>
    <x v="2"/>
    <n v="1222"/>
  </r>
  <r>
    <s v="ORD-01976"/>
    <d v="2024-02-22T00:00:00"/>
    <s v="CUST-0281"/>
    <x v="27"/>
    <s v="R009"/>
    <n v="4"/>
    <n v="2860"/>
    <n v="15.2"/>
    <n v="9701.1200000000008"/>
    <s v="Completed"/>
    <x v="4"/>
    <s v="Sports"/>
    <s v="Corporate"/>
    <n v="57"/>
    <x v="1"/>
    <n v="2028"/>
  </r>
  <r>
    <s v="ORD-01977"/>
    <d v="2024-10-24T00:00:00"/>
    <s v="CUST-0174"/>
    <x v="2"/>
    <s v="R028"/>
    <n v="3"/>
    <n v="470"/>
    <n v="14.2"/>
    <n v="1209.78"/>
    <s v="Completed"/>
    <x v="0"/>
    <s v="Sports"/>
    <s v="Retail"/>
    <n v="54"/>
    <x v="2"/>
    <n v="302"/>
  </r>
  <r>
    <s v="ORD-01978"/>
    <d v="2024-06-26T00:00:00"/>
    <s v="CUST-0103"/>
    <x v="27"/>
    <s v="R030"/>
    <n v="2"/>
    <n v="2860"/>
    <n v="17.899999999999999"/>
    <n v="4696.12"/>
    <s v="Completed"/>
    <x v="5"/>
    <s v="Sports"/>
    <s v="Corporate"/>
    <n v="54"/>
    <x v="2"/>
    <n v="2028"/>
  </r>
  <r>
    <s v="ORD-01979"/>
    <d v="2024-04-25T00:00:00"/>
    <s v="CUST-0076"/>
    <x v="19"/>
    <s v="R018"/>
    <n v="2"/>
    <n v="2480"/>
    <n v="11.5"/>
    <n v="4389.6000000000004"/>
    <s v="Cancelled"/>
    <x v="3"/>
    <s v="Apparel"/>
    <s v="Retail"/>
    <n v="38"/>
    <x v="3"/>
    <n v="1173"/>
  </r>
  <r>
    <s v="ORD-01980"/>
    <d v="2024-12-09T00:00:00"/>
    <s v="CUST-0227"/>
    <x v="44"/>
    <s v="R006"/>
    <n v="10"/>
    <n v="2030"/>
    <n v="29.2"/>
    <n v="14372.4"/>
    <s v="Completed"/>
    <x v="4"/>
    <s v="Home"/>
    <s v="SMB"/>
    <n v="44"/>
    <x v="0"/>
    <n v="1143"/>
  </r>
  <r>
    <s v="ORD-01981"/>
    <d v="2024-07-16T00:00:00"/>
    <s v="CUST-0006"/>
    <x v="16"/>
    <s v="R012"/>
    <n v="6"/>
    <n v="3450"/>
    <n v="3.5"/>
    <n v="19975.5"/>
    <s v="Refunded"/>
    <x v="0"/>
    <s v="Beauty"/>
    <s v="SMB"/>
    <n v="44"/>
    <x v="1"/>
    <n v="2420"/>
  </r>
  <r>
    <s v="ORD-01982"/>
    <d v="2024-03-05T00:00:00"/>
    <s v="CUST-0231"/>
    <x v="7"/>
    <s v="R011"/>
    <n v="10"/>
    <n v="1430"/>
    <n v="3.5"/>
    <n v="13799.5"/>
    <s v="Completed"/>
    <x v="1"/>
    <s v="Electronics"/>
    <s v="Retail"/>
    <n v="61"/>
    <x v="1"/>
    <n v="861"/>
  </r>
  <r>
    <s v="ORD-01983"/>
    <d v="2024-05-10T00:00:00"/>
    <s v="CUST-0085"/>
    <x v="1"/>
    <s v="R017"/>
    <n v="1"/>
    <n v="820"/>
    <n v="14.5"/>
    <n v="701.1"/>
    <s v="Cancelled"/>
    <x v="1"/>
    <s v="Apparel"/>
    <s v="Retail"/>
    <n v="26"/>
    <x v="3"/>
    <n v="391"/>
  </r>
  <r>
    <s v="ORD-01984"/>
    <d v="2024-02-11T00:00:00"/>
    <s v="CUST-0022"/>
    <x v="24"/>
    <s v="R023"/>
    <n v="5"/>
    <n v="4880"/>
    <n v="1.8"/>
    <n v="23960.799999999999"/>
    <s v="Completed"/>
    <x v="4"/>
    <s v="Beauty"/>
    <s v="Corporate"/>
    <n v="55"/>
    <x v="3"/>
    <n v="2768"/>
  </r>
  <r>
    <s v="ORD-01985"/>
    <d v="2024-04-03T00:00:00"/>
    <s v="CUST-0275"/>
    <x v="22"/>
    <s v="R016"/>
    <n v="8"/>
    <n v="3350"/>
    <n v="26.3"/>
    <n v="19751.599999999999"/>
    <s v="Cancelled"/>
    <x v="3"/>
    <s v="Beauty"/>
    <s v="Retail"/>
    <n v="36"/>
    <x v="1"/>
    <n v="1728"/>
  </r>
  <r>
    <s v="ORD-01986"/>
    <d v="2024-01-07T00:00:00"/>
    <s v="CUST-0159"/>
    <x v="19"/>
    <s v="R022"/>
    <n v="9"/>
    <n v="2480"/>
    <n v="24.3"/>
    <n v="16896.240000000002"/>
    <s v="Completed"/>
    <x v="5"/>
    <s v="Apparel"/>
    <s v="Retail"/>
    <n v="32"/>
    <x v="3"/>
    <n v="1173"/>
  </r>
  <r>
    <s v="ORD-01987"/>
    <d v="2024-07-27T00:00:00"/>
    <s v="CUST-0152"/>
    <x v="39"/>
    <s v="R024"/>
    <n v="9"/>
    <n v="4610"/>
    <n v="10"/>
    <n v="37341"/>
    <s v="Completed"/>
    <x v="4"/>
    <s v="Home"/>
    <s v="SMB"/>
    <n v="64"/>
    <x v="2"/>
    <n v="1850"/>
  </r>
  <r>
    <s v="ORD-01988"/>
    <d v="2024-04-27T00:00:00"/>
    <s v="CUST-0289"/>
    <x v="31"/>
    <s v="R004"/>
    <n v="1"/>
    <n v="3780"/>
    <n v="2.2000000000000002"/>
    <n v="3696.84"/>
    <s v="Completed"/>
    <x v="3"/>
    <s v="Grocery"/>
    <s v="Retail"/>
    <n v="54"/>
    <x v="0"/>
    <n v="2436"/>
  </r>
  <r>
    <s v="ORD-01989"/>
    <d v="2024-04-19T00:00:00"/>
    <s v="CUST-0004"/>
    <x v="40"/>
    <s v="R026"/>
    <n v="3"/>
    <n v="3020"/>
    <n v="21.4"/>
    <n v="7121.16"/>
    <s v="Cancelled"/>
    <x v="2"/>
    <s v="Beauty"/>
    <s v="Retail"/>
    <n v="53"/>
    <x v="2"/>
    <n v="1626"/>
  </r>
  <r>
    <s v="ORD-01990"/>
    <d v="2024-12-19T00:00:00"/>
    <s v="CUST-0159"/>
    <x v="57"/>
    <s v="R006"/>
    <n v="10"/>
    <n v="1090"/>
    <n v="29.2"/>
    <n v="7717.2"/>
    <s v="Cancelled"/>
    <x v="5"/>
    <s v="Home"/>
    <s v="Retail"/>
    <n v="32"/>
    <x v="0"/>
    <n v="464"/>
  </r>
  <r>
    <s v="ORD-01991"/>
    <d v="2024-11-20T00:00:00"/>
    <s v="CUST-0083"/>
    <x v="26"/>
    <s v="R013"/>
    <n v="5"/>
    <n v="5100"/>
    <n v="28.4"/>
    <n v="18258"/>
    <s v="Completed"/>
    <x v="4"/>
    <s v="Beauty"/>
    <s v="Corporate"/>
    <n v="31"/>
    <x v="1"/>
    <n v="2237"/>
  </r>
  <r>
    <s v="ORD-01992"/>
    <d v="2024-03-01T00:00:00"/>
    <s v="CUST-0242"/>
    <x v="24"/>
    <s v="R008"/>
    <n v="6"/>
    <n v="4880"/>
    <n v="16.8"/>
    <n v="24360.959999999999"/>
    <s v="Completed"/>
    <x v="1"/>
    <s v="Beauty"/>
    <s v="SMB"/>
    <n v="59"/>
    <x v="0"/>
    <n v="2768"/>
  </r>
  <r>
    <s v="ORD-01993"/>
    <d v="2024-06-08T00:00:00"/>
    <s v="CUST-0245"/>
    <x v="49"/>
    <s v="R027"/>
    <n v="1"/>
    <n v="5330"/>
    <n v="27.5"/>
    <n v="3864.25"/>
    <s v="Completed"/>
    <x v="5"/>
    <s v="Electronics"/>
    <s v="Retail"/>
    <n v="65"/>
    <x v="2"/>
    <n v="2405"/>
  </r>
  <r>
    <s v="ORD-01994"/>
    <d v="2024-07-04T00:00:00"/>
    <s v="CUST-0008"/>
    <x v="44"/>
    <s v="R029"/>
    <n v="7"/>
    <n v="2030"/>
    <n v="5.3"/>
    <n v="13456.87"/>
    <s v="Cancelled"/>
    <x v="0"/>
    <s v="Home"/>
    <s v="SMB"/>
    <n v="39"/>
    <x v="2"/>
    <n v="1143"/>
  </r>
  <r>
    <s v="ORD-01995"/>
    <d v="2024-03-09T00:00:00"/>
    <s v="CUST-0260"/>
    <x v="22"/>
    <s v="R024"/>
    <n v="7"/>
    <n v="3350"/>
    <n v="0.4"/>
    <n v="23356.2"/>
    <s v="Completed"/>
    <x v="4"/>
    <s v="Beauty"/>
    <s v="Retail"/>
    <n v="42"/>
    <x v="2"/>
    <n v="1728"/>
  </r>
  <r>
    <s v="ORD-01996"/>
    <d v="2024-01-01T00:00:00"/>
    <s v="CUST-0265"/>
    <x v="30"/>
    <s v="R015"/>
    <n v="6"/>
    <n v="3730"/>
    <n v="13.8"/>
    <n v="19291.560000000001"/>
    <s v="Completed"/>
    <x v="1"/>
    <s v="Home"/>
    <s v="Retail"/>
    <n v="49"/>
    <x v="1"/>
    <n v="2135"/>
  </r>
  <r>
    <s v="ORD-01997"/>
    <d v="2024-10-20T00:00:00"/>
    <s v="CUST-0135"/>
    <x v="53"/>
    <s v="R017"/>
    <n v="6"/>
    <n v="3970"/>
    <n v="5.8"/>
    <n v="22438.44"/>
    <s v="Pending"/>
    <x v="0"/>
    <s v="Electronics"/>
    <s v="SMB"/>
    <n v="24"/>
    <x v="3"/>
    <n v="2865"/>
  </r>
  <r>
    <s v="ORD-01998"/>
    <d v="2024-10-27T00:00:00"/>
    <s v="CUST-0030"/>
    <x v="45"/>
    <s v="R011"/>
    <n v="4"/>
    <n v="2210"/>
    <n v="18.2"/>
    <n v="7231.12"/>
    <s v="Pending"/>
    <x v="4"/>
    <s v="Grocery"/>
    <s v="Corporate"/>
    <n v="43"/>
    <x v="1"/>
    <n v="1010"/>
  </r>
  <r>
    <s v="ORD-01999"/>
    <d v="2024-03-19T00:00:00"/>
    <s v="CUST-0167"/>
    <x v="48"/>
    <s v="R008"/>
    <n v="6"/>
    <n v="5410"/>
    <n v="15.5"/>
    <n v="27428.7"/>
    <s v="Completed"/>
    <x v="2"/>
    <s v="Sports"/>
    <s v="Retail"/>
    <n v="43"/>
    <x v="0"/>
    <n v="2265"/>
  </r>
  <r>
    <s v="ORD-02000"/>
    <d v="2024-02-03T00:00:00"/>
    <s v="CUST-0238"/>
    <x v="54"/>
    <s v="R023"/>
    <n v="6"/>
    <n v="5080"/>
    <n v="28.1"/>
    <n v="21915.119999999999"/>
    <s v="Completed"/>
    <x v="2"/>
    <s v="Home"/>
    <s v="Retail"/>
    <n v="49"/>
    <x v="3"/>
    <n v="24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F6609-F607-4F49-9B0E-845E19E857A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0:I26" firstHeaderRow="1" firstDataRow="2" firstDataCol="1"/>
  <pivotFields count="15">
    <pivotField showAll="0"/>
    <pivotField numFmtId="164" showAll="0">
      <items count="366">
        <item x="346"/>
        <item x="174"/>
        <item x="137"/>
        <item x="146"/>
        <item x="197"/>
        <item x="92"/>
        <item x="129"/>
        <item x="193"/>
        <item x="212"/>
        <item x="114"/>
        <item x="272"/>
        <item x="291"/>
        <item x="300"/>
        <item x="359"/>
        <item x="141"/>
        <item x="246"/>
        <item x="231"/>
        <item x="119"/>
        <item x="202"/>
        <item x="288"/>
        <item x="42"/>
        <item x="343"/>
        <item x="203"/>
        <item x="162"/>
        <item x="309"/>
        <item x="58"/>
        <item x="125"/>
        <item x="158"/>
        <item x="153"/>
        <item x="188"/>
        <item x="94"/>
        <item x="46"/>
        <item x="258"/>
        <item x="354"/>
        <item x="179"/>
        <item x="322"/>
        <item x="60"/>
        <item x="90"/>
        <item x="259"/>
        <item x="238"/>
        <item x="10"/>
        <item x="144"/>
        <item x="323"/>
        <item x="164"/>
        <item x="260"/>
        <item x="186"/>
        <item x="200"/>
        <item x="220"/>
        <item x="1"/>
        <item x="123"/>
        <item x="305"/>
        <item x="30"/>
        <item x="112"/>
        <item x="138"/>
        <item x="63"/>
        <item x="324"/>
        <item x="333"/>
        <item x="134"/>
        <item x="154"/>
        <item x="116"/>
        <item x="279"/>
        <item x="177"/>
        <item x="20"/>
        <item x="36"/>
        <item x="320"/>
        <item x="298"/>
        <item x="243"/>
        <item x="353"/>
        <item x="107"/>
        <item x="268"/>
        <item x="331"/>
        <item x="26"/>
        <item x="234"/>
        <item x="13"/>
        <item x="250"/>
        <item x="27"/>
        <item x="213"/>
        <item x="264"/>
        <item x="43"/>
        <item x="2"/>
        <item x="332"/>
        <item x="41"/>
        <item x="163"/>
        <item x="67"/>
        <item x="351"/>
        <item x="312"/>
        <item x="239"/>
        <item x="229"/>
        <item x="82"/>
        <item x="257"/>
        <item x="143"/>
        <item x="266"/>
        <item x="360"/>
        <item x="217"/>
        <item x="194"/>
        <item x="244"/>
        <item x="321"/>
        <item x="44"/>
        <item x="69"/>
        <item x="139"/>
        <item x="40"/>
        <item x="274"/>
        <item x="18"/>
        <item x="183"/>
        <item x="8"/>
        <item x="245"/>
        <item x="62"/>
        <item x="342"/>
        <item x="169"/>
        <item x="24"/>
        <item x="73"/>
        <item x="210"/>
        <item x="280"/>
        <item x="171"/>
        <item x="5"/>
        <item x="192"/>
        <item x="199"/>
        <item x="132"/>
        <item x="306"/>
        <item x="91"/>
        <item x="249"/>
        <item x="3"/>
        <item x="85"/>
        <item x="209"/>
        <item x="104"/>
        <item x="53"/>
        <item x="196"/>
        <item x="140"/>
        <item x="103"/>
        <item x="292"/>
        <item x="124"/>
        <item x="318"/>
        <item x="75"/>
        <item x="54"/>
        <item x="87"/>
        <item x="273"/>
        <item x="49"/>
        <item x="335"/>
        <item x="195"/>
        <item x="313"/>
        <item x="39"/>
        <item x="301"/>
        <item x="224"/>
        <item x="347"/>
        <item x="295"/>
        <item x="352"/>
        <item x="334"/>
        <item x="96"/>
        <item x="242"/>
        <item x="236"/>
        <item x="33"/>
        <item x="68"/>
        <item x="328"/>
        <item x="338"/>
        <item x="225"/>
        <item x="130"/>
        <item x="120"/>
        <item x="121"/>
        <item x="216"/>
        <item x="310"/>
        <item x="358"/>
        <item x="99"/>
        <item x="253"/>
        <item x="6"/>
        <item x="145"/>
        <item x="136"/>
        <item x="86"/>
        <item x="61"/>
        <item x="151"/>
        <item x="76"/>
        <item x="32"/>
        <item x="113"/>
        <item x="364"/>
        <item x="57"/>
        <item x="12"/>
        <item x="299"/>
        <item x="290"/>
        <item x="277"/>
        <item x="19"/>
        <item x="314"/>
        <item x="22"/>
        <item x="339"/>
        <item x="267"/>
        <item x="206"/>
        <item x="233"/>
        <item x="302"/>
        <item x="35"/>
        <item x="319"/>
        <item x="178"/>
        <item x="214"/>
        <item x="337"/>
        <item x="64"/>
        <item x="285"/>
        <item x="270"/>
        <item x="97"/>
        <item x="173"/>
        <item x="56"/>
        <item x="135"/>
        <item x="156"/>
        <item x="304"/>
        <item x="155"/>
        <item x="293"/>
        <item x="315"/>
        <item x="185"/>
        <item x="263"/>
        <item x="255"/>
        <item x="71"/>
        <item x="59"/>
        <item x="66"/>
        <item x="350"/>
        <item x="349"/>
        <item x="240"/>
        <item x="172"/>
        <item x="265"/>
        <item x="47"/>
        <item x="11"/>
        <item x="118"/>
        <item x="89"/>
        <item x="256"/>
        <item x="187"/>
        <item x="15"/>
        <item x="191"/>
        <item x="282"/>
        <item x="50"/>
        <item x="340"/>
        <item x="25"/>
        <item x="79"/>
        <item x="281"/>
        <item x="226"/>
        <item x="126"/>
        <item x="190"/>
        <item x="271"/>
        <item x="111"/>
        <item x="283"/>
        <item x="357"/>
        <item x="159"/>
        <item x="72"/>
        <item x="201"/>
        <item x="21"/>
        <item x="101"/>
        <item x="147"/>
        <item x="80"/>
        <item x="166"/>
        <item x="275"/>
        <item x="355"/>
        <item x="205"/>
        <item x="152"/>
        <item x="149"/>
        <item x="326"/>
        <item x="110"/>
        <item x="176"/>
        <item x="363"/>
        <item x="227"/>
        <item x="182"/>
        <item x="14"/>
        <item x="74"/>
        <item x="289"/>
        <item x="0"/>
        <item x="269"/>
        <item x="317"/>
        <item x="278"/>
        <item x="223"/>
        <item x="211"/>
        <item x="122"/>
        <item x="361"/>
        <item x="88"/>
        <item x="307"/>
        <item x="115"/>
        <item x="9"/>
        <item x="230"/>
        <item x="254"/>
        <item x="232"/>
        <item x="148"/>
        <item x="45"/>
        <item x="286"/>
        <item x="237"/>
        <item x="296"/>
        <item x="28"/>
        <item x="23"/>
        <item x="297"/>
        <item x="160"/>
        <item x="52"/>
        <item x="308"/>
        <item x="189"/>
        <item x="31"/>
        <item x="251"/>
        <item x="344"/>
        <item x="133"/>
        <item x="228"/>
        <item x="248"/>
        <item x="329"/>
        <item x="336"/>
        <item x="241"/>
        <item x="65"/>
        <item x="261"/>
        <item x="78"/>
        <item x="276"/>
        <item x="55"/>
        <item x="222"/>
        <item x="157"/>
        <item x="95"/>
        <item x="106"/>
        <item x="345"/>
        <item x="127"/>
        <item x="102"/>
        <item x="100"/>
        <item x="311"/>
        <item x="37"/>
        <item x="77"/>
        <item x="131"/>
        <item x="341"/>
        <item x="348"/>
        <item x="117"/>
        <item x="150"/>
        <item x="38"/>
        <item x="84"/>
        <item x="170"/>
        <item x="303"/>
        <item x="294"/>
        <item x="4"/>
        <item x="109"/>
        <item x="284"/>
        <item x="105"/>
        <item x="70"/>
        <item x="48"/>
        <item x="7"/>
        <item x="221"/>
        <item x="204"/>
        <item x="247"/>
        <item x="356"/>
        <item x="81"/>
        <item x="235"/>
        <item x="207"/>
        <item x="327"/>
        <item x="17"/>
        <item x="180"/>
        <item x="108"/>
        <item x="98"/>
        <item x="316"/>
        <item x="252"/>
        <item x="215"/>
        <item x="142"/>
        <item x="287"/>
        <item x="208"/>
        <item x="184"/>
        <item x="161"/>
        <item x="198"/>
        <item x="167"/>
        <item x="93"/>
        <item x="29"/>
        <item x="362"/>
        <item x="175"/>
        <item x="128"/>
        <item x="218"/>
        <item x="34"/>
        <item x="262"/>
        <item x="83"/>
        <item x="51"/>
        <item x="181"/>
        <item x="330"/>
        <item x="325"/>
        <item x="168"/>
        <item x="16"/>
        <item x="219"/>
        <item x="16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7">
        <item x="0"/>
        <item x="5"/>
        <item x="4"/>
        <item x="2"/>
        <item x="3"/>
        <item x="1"/>
        <item t="default"/>
      </items>
    </pivotField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final_amount" fld="8" showDataAs="percentOfRow" baseField="0" baseItem="0" numFmtId="10"/>
  </dataFields>
  <formats count="16"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11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14" type="button" dataOnly="0" labelOnly="1" outline="0" axis="axisRow" fieldPosition="0"/>
    </format>
    <format dxfId="41">
      <pivotArea dataOnly="0" labelOnly="1" fieldPosition="0">
        <references count="1">
          <reference field="14" count="0"/>
        </references>
      </pivotArea>
    </format>
    <format dxfId="40">
      <pivotArea dataOnly="0" labelOnly="1" grandRow="1" outline="0" fieldPosition="0"/>
    </format>
    <format dxfId="39">
      <pivotArea dataOnly="0" labelOnly="1" fieldPosition="0">
        <references count="1">
          <reference field="11" count="0"/>
        </references>
      </pivotArea>
    </format>
    <format dxfId="38">
      <pivotArea dataOnly="0" labelOnly="1" grandCol="1" outline="0" fieldPosition="0"/>
    </format>
    <format dxfId="37">
      <pivotArea collapsedLevelsAreSubtotals="1" fieldPosition="0">
        <references count="2">
          <reference field="11" count="1" selected="0">
            <x v="0"/>
          </reference>
          <reference field="14" count="1">
            <x v="1"/>
          </reference>
        </references>
      </pivotArea>
    </format>
    <format dxfId="36">
      <pivotArea collapsedLevelsAreSubtotals="1" fieldPosition="0">
        <references count="2">
          <reference field="11" count="1" selected="0">
            <x v="0"/>
          </reference>
          <reference field="14" count="1">
            <x v="1"/>
          </reference>
        </references>
      </pivotArea>
    </format>
    <format dxfId="35">
      <pivotArea collapsedLevelsAreSubtotals="1" fieldPosition="0">
        <references count="2">
          <reference field="11" count="1" selected="0">
            <x v="0"/>
          </reference>
          <reference field="14" count="1">
            <x v="1"/>
          </reference>
        </references>
      </pivotArea>
    </format>
    <format dxfId="34">
      <pivotArea collapsedLevelsAreSubtotals="1" fieldPosition="0">
        <references count="2">
          <reference field="11" count="1" selected="0">
            <x v="0"/>
          </reference>
          <reference field="14" count="1">
            <x v="1"/>
          </reference>
        </references>
      </pivotArea>
    </format>
    <format dxfId="33">
      <pivotArea collapsedLevelsAreSubtotals="1" fieldPosition="0">
        <references count="2">
          <reference field="11" count="1" selected="0">
            <x v="0"/>
          </reference>
          <reference field="14" count="1">
            <x v="1"/>
          </reference>
        </references>
      </pivotArea>
    </format>
    <format dxfId="32">
      <pivotArea collapsedLevelsAreSubtotals="1" fieldPosition="0">
        <references count="2">
          <reference field="11" count="1" selected="0">
            <x v="0"/>
          </reference>
          <reference field="1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916D5-7B50-4C2C-B6CA-EBC5297438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I18" firstHeaderRow="1" firstDataRow="2" firstDataCol="1"/>
  <pivotFields count="15">
    <pivotField showAll="0"/>
    <pivotField numFmtId="164" showAll="0">
      <items count="366">
        <item x="346"/>
        <item x="174"/>
        <item x="137"/>
        <item x="146"/>
        <item x="197"/>
        <item x="92"/>
        <item x="129"/>
        <item x="193"/>
        <item x="212"/>
        <item x="114"/>
        <item x="272"/>
        <item x="291"/>
        <item x="300"/>
        <item x="359"/>
        <item x="141"/>
        <item x="246"/>
        <item x="231"/>
        <item x="119"/>
        <item x="202"/>
        <item x="288"/>
        <item x="42"/>
        <item x="343"/>
        <item x="203"/>
        <item x="162"/>
        <item x="309"/>
        <item x="58"/>
        <item x="125"/>
        <item x="158"/>
        <item x="153"/>
        <item x="188"/>
        <item x="94"/>
        <item x="46"/>
        <item x="258"/>
        <item x="354"/>
        <item x="179"/>
        <item x="322"/>
        <item x="60"/>
        <item x="90"/>
        <item x="259"/>
        <item x="238"/>
        <item x="10"/>
        <item x="144"/>
        <item x="323"/>
        <item x="164"/>
        <item x="260"/>
        <item x="186"/>
        <item x="200"/>
        <item x="220"/>
        <item x="1"/>
        <item x="123"/>
        <item x="305"/>
        <item x="30"/>
        <item x="112"/>
        <item x="138"/>
        <item x="63"/>
        <item x="324"/>
        <item x="333"/>
        <item x="134"/>
        <item x="154"/>
        <item x="116"/>
        <item x="279"/>
        <item x="177"/>
        <item x="20"/>
        <item x="36"/>
        <item x="320"/>
        <item x="298"/>
        <item x="243"/>
        <item x="353"/>
        <item x="107"/>
        <item x="268"/>
        <item x="331"/>
        <item x="26"/>
        <item x="234"/>
        <item x="13"/>
        <item x="250"/>
        <item x="27"/>
        <item x="213"/>
        <item x="264"/>
        <item x="43"/>
        <item x="2"/>
        <item x="332"/>
        <item x="41"/>
        <item x="163"/>
        <item x="67"/>
        <item x="351"/>
        <item x="312"/>
        <item x="239"/>
        <item x="229"/>
        <item x="82"/>
        <item x="257"/>
        <item x="143"/>
        <item x="266"/>
        <item x="360"/>
        <item x="217"/>
        <item x="194"/>
        <item x="244"/>
        <item x="321"/>
        <item x="44"/>
        <item x="69"/>
        <item x="139"/>
        <item x="40"/>
        <item x="274"/>
        <item x="18"/>
        <item x="183"/>
        <item x="8"/>
        <item x="245"/>
        <item x="62"/>
        <item x="342"/>
        <item x="169"/>
        <item x="24"/>
        <item x="73"/>
        <item x="210"/>
        <item x="280"/>
        <item x="171"/>
        <item x="5"/>
        <item x="192"/>
        <item x="199"/>
        <item x="132"/>
        <item x="306"/>
        <item x="91"/>
        <item x="249"/>
        <item x="3"/>
        <item x="85"/>
        <item x="209"/>
        <item x="104"/>
        <item x="53"/>
        <item x="196"/>
        <item x="140"/>
        <item x="103"/>
        <item x="292"/>
        <item x="124"/>
        <item x="318"/>
        <item x="75"/>
        <item x="54"/>
        <item x="87"/>
        <item x="273"/>
        <item x="49"/>
        <item x="335"/>
        <item x="195"/>
        <item x="313"/>
        <item x="39"/>
        <item x="301"/>
        <item x="224"/>
        <item x="347"/>
        <item x="295"/>
        <item x="352"/>
        <item x="334"/>
        <item x="96"/>
        <item x="242"/>
        <item x="236"/>
        <item x="33"/>
        <item x="68"/>
        <item x="328"/>
        <item x="338"/>
        <item x="225"/>
        <item x="130"/>
        <item x="120"/>
        <item x="121"/>
        <item x="216"/>
        <item x="310"/>
        <item x="358"/>
        <item x="99"/>
        <item x="253"/>
        <item x="6"/>
        <item x="145"/>
        <item x="136"/>
        <item x="86"/>
        <item x="61"/>
        <item x="151"/>
        <item x="76"/>
        <item x="32"/>
        <item x="113"/>
        <item x="364"/>
        <item x="57"/>
        <item x="12"/>
        <item x="299"/>
        <item x="290"/>
        <item x="277"/>
        <item x="19"/>
        <item x="314"/>
        <item x="22"/>
        <item x="339"/>
        <item x="267"/>
        <item x="206"/>
        <item x="233"/>
        <item x="302"/>
        <item x="35"/>
        <item x="319"/>
        <item x="178"/>
        <item x="214"/>
        <item x="337"/>
        <item x="64"/>
        <item x="285"/>
        <item x="270"/>
        <item x="97"/>
        <item x="173"/>
        <item x="56"/>
        <item x="135"/>
        <item x="156"/>
        <item x="304"/>
        <item x="155"/>
        <item x="293"/>
        <item x="315"/>
        <item x="185"/>
        <item x="263"/>
        <item x="255"/>
        <item x="71"/>
        <item x="59"/>
        <item x="66"/>
        <item x="350"/>
        <item x="349"/>
        <item x="240"/>
        <item x="172"/>
        <item x="265"/>
        <item x="47"/>
        <item x="11"/>
        <item x="118"/>
        <item x="89"/>
        <item x="256"/>
        <item x="187"/>
        <item x="15"/>
        <item x="191"/>
        <item x="282"/>
        <item x="50"/>
        <item x="340"/>
        <item x="25"/>
        <item x="79"/>
        <item x="281"/>
        <item x="226"/>
        <item x="126"/>
        <item x="190"/>
        <item x="271"/>
        <item x="111"/>
        <item x="283"/>
        <item x="357"/>
        <item x="159"/>
        <item x="72"/>
        <item x="201"/>
        <item x="21"/>
        <item x="101"/>
        <item x="147"/>
        <item x="80"/>
        <item x="166"/>
        <item x="275"/>
        <item x="355"/>
        <item x="205"/>
        <item x="152"/>
        <item x="149"/>
        <item x="326"/>
        <item x="110"/>
        <item x="176"/>
        <item x="363"/>
        <item x="227"/>
        <item x="182"/>
        <item x="14"/>
        <item x="74"/>
        <item x="289"/>
        <item x="0"/>
        <item x="269"/>
        <item x="317"/>
        <item x="278"/>
        <item x="223"/>
        <item x="211"/>
        <item x="122"/>
        <item x="361"/>
        <item x="88"/>
        <item x="307"/>
        <item x="115"/>
        <item x="9"/>
        <item x="230"/>
        <item x="254"/>
        <item x="232"/>
        <item x="148"/>
        <item x="45"/>
        <item x="286"/>
        <item x="237"/>
        <item x="296"/>
        <item x="28"/>
        <item x="23"/>
        <item x="297"/>
        <item x="160"/>
        <item x="52"/>
        <item x="308"/>
        <item x="189"/>
        <item x="31"/>
        <item x="251"/>
        <item x="344"/>
        <item x="133"/>
        <item x="228"/>
        <item x="248"/>
        <item x="329"/>
        <item x="336"/>
        <item x="241"/>
        <item x="65"/>
        <item x="261"/>
        <item x="78"/>
        <item x="276"/>
        <item x="55"/>
        <item x="222"/>
        <item x="157"/>
        <item x="95"/>
        <item x="106"/>
        <item x="345"/>
        <item x="127"/>
        <item x="102"/>
        <item x="100"/>
        <item x="311"/>
        <item x="37"/>
        <item x="77"/>
        <item x="131"/>
        <item x="341"/>
        <item x="348"/>
        <item x="117"/>
        <item x="150"/>
        <item x="38"/>
        <item x="84"/>
        <item x="170"/>
        <item x="303"/>
        <item x="294"/>
        <item x="4"/>
        <item x="109"/>
        <item x="284"/>
        <item x="105"/>
        <item x="70"/>
        <item x="48"/>
        <item x="7"/>
        <item x="221"/>
        <item x="204"/>
        <item x="247"/>
        <item x="356"/>
        <item x="81"/>
        <item x="235"/>
        <item x="207"/>
        <item x="327"/>
        <item x="17"/>
        <item x="180"/>
        <item x="108"/>
        <item x="98"/>
        <item x="316"/>
        <item x="252"/>
        <item x="215"/>
        <item x="142"/>
        <item x="287"/>
        <item x="208"/>
        <item x="184"/>
        <item x="161"/>
        <item x="198"/>
        <item x="167"/>
        <item x="93"/>
        <item x="29"/>
        <item x="362"/>
        <item x="175"/>
        <item x="128"/>
        <item x="218"/>
        <item x="34"/>
        <item x="262"/>
        <item x="83"/>
        <item x="51"/>
        <item x="181"/>
        <item x="330"/>
        <item x="325"/>
        <item x="168"/>
        <item x="16"/>
        <item x="219"/>
        <item x="16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7">
        <item x="0"/>
        <item x="5"/>
        <item x="4"/>
        <item x="2"/>
        <item x="3"/>
        <item x="1"/>
        <item t="default"/>
      </items>
    </pivotField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final_amount" fld="8" baseField="0" baseItem="0"/>
  </dataFields>
  <formats count="24"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11" type="button" dataOnly="0" labelOnly="1" outline="0" axis="axisCol" fieldPosition="0"/>
    </format>
    <format dxfId="67">
      <pivotArea field="-2" type="button" dataOnly="0" labelOnly="1" outline="0" axis="axisValues" fieldPosition="0"/>
    </format>
    <format dxfId="66">
      <pivotArea type="topRight" dataOnly="0" labelOnly="1" outline="0" fieldPosition="0"/>
    </format>
    <format dxfId="65">
      <pivotArea field="14" type="button" dataOnly="0" labelOnly="1" outline="0" axis="axisRow" fieldPosition="0"/>
    </format>
    <format dxfId="64">
      <pivotArea dataOnly="0" labelOnly="1" fieldPosition="0">
        <references count="1">
          <reference field="14" count="0"/>
        </references>
      </pivotArea>
    </format>
    <format dxfId="63">
      <pivotArea dataOnly="0" labelOnly="1" grandRow="1" outline="0" fieldPosition="0"/>
    </format>
    <format dxfId="62">
      <pivotArea dataOnly="0" labelOnly="1" fieldPosition="0">
        <references count="1">
          <reference field="11" count="0"/>
        </references>
      </pivotArea>
    </format>
    <format dxfId="61">
      <pivotArea field="11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0">
      <pivotArea dataOnly="0" labelOnly="1" outline="0" fieldPosition="0">
        <references count="2">
          <reference field="4294967294" count="1">
            <x v="0"/>
          </reference>
          <reference field="11" count="1" selected="0">
            <x v="0"/>
          </reference>
        </references>
      </pivotArea>
    </format>
    <format dxfId="59">
      <pivotArea dataOnly="0" labelOnly="1" outline="0" fieldPosition="0">
        <references count="2">
          <reference field="4294967294" count="1">
            <x v="0"/>
          </reference>
          <reference field="11" count="1" selected="0">
            <x v="1"/>
          </reference>
        </references>
      </pivotArea>
    </format>
    <format dxfId="58">
      <pivotArea dataOnly="0" labelOnly="1" outline="0" fieldPosition="0">
        <references count="2">
          <reference field="4294967294" count="1">
            <x v="0"/>
          </reference>
          <reference field="11" count="1" selected="0">
            <x v="2"/>
          </reference>
        </references>
      </pivotArea>
    </format>
    <format dxfId="57">
      <pivotArea dataOnly="0" labelOnly="1" outline="0" fieldPosition="0">
        <references count="2">
          <reference field="4294967294" count="1">
            <x v="0"/>
          </reference>
          <reference field="11" count="1" selected="0">
            <x v="3"/>
          </reference>
        </references>
      </pivotArea>
    </format>
    <format dxfId="56">
      <pivotArea dataOnly="0" labelOnly="1" outline="0" fieldPosition="0">
        <references count="2">
          <reference field="4294967294" count="1">
            <x v="0"/>
          </reference>
          <reference field="11" count="1" selected="0">
            <x v="4"/>
          </reference>
        </references>
      </pivotArea>
    </format>
    <format dxfId="55">
      <pivotArea dataOnly="0" labelOnly="1" outline="0" fieldPosition="0">
        <references count="2">
          <reference field="4294967294" count="1">
            <x v="0"/>
          </reference>
          <reference field="11" count="1" selected="0">
            <x v="5"/>
          </reference>
        </references>
      </pivotArea>
    </format>
    <format dxfId="54">
      <pivotArea collapsedLevelsAreSubtotals="1" fieldPosition="0">
        <references count="2">
          <reference field="11" count="1" selected="0">
            <x v="2"/>
          </reference>
          <reference field="14" count="1">
            <x v="2"/>
          </reference>
        </references>
      </pivotArea>
    </format>
    <format dxfId="53">
      <pivotArea collapsedLevelsAreSubtotals="1" fieldPosition="0">
        <references count="2">
          <reference field="11" count="1" selected="0">
            <x v="2"/>
          </reference>
          <reference field="14" count="1">
            <x v="2"/>
          </reference>
        </references>
      </pivotArea>
    </format>
    <format dxfId="52">
      <pivotArea collapsedLevelsAreSubtotals="1" fieldPosition="0">
        <references count="2">
          <reference field="11" count="1" selected="0">
            <x v="2"/>
          </reference>
          <reference field="14" count="1">
            <x v="2"/>
          </reference>
        </references>
      </pivotArea>
    </format>
    <format dxfId="51">
      <pivotArea collapsedLevelsAreSubtotals="1" fieldPosition="0">
        <references count="2">
          <reference field="11" count="1" selected="0">
            <x v="2"/>
          </reference>
          <reference field="14" count="1">
            <x v="2"/>
          </reference>
        </references>
      </pivotArea>
    </format>
    <format dxfId="50">
      <pivotArea collapsedLevelsAreSubtotals="1" fieldPosition="0">
        <references count="2">
          <reference field="11" count="1" selected="0">
            <x v="2"/>
          </reference>
          <reference field="14" count="1">
            <x v="2"/>
          </reference>
        </references>
      </pivotArea>
    </format>
    <format dxfId="49">
      <pivotArea collapsedLevelsAreSubtotals="1" fieldPosition="0">
        <references count="2">
          <reference field="11" count="1" selected="0">
            <x v="2"/>
          </reference>
          <reference field="14" count="1">
            <x v="2"/>
          </reference>
        </references>
      </pivotArea>
    </format>
    <format dxfId="48">
      <pivotArea collapsedLevelsAreSubtotals="1" fieldPosition="0">
        <references count="2">
          <reference field="11" count="1" selected="0">
            <x v="2"/>
          </reference>
          <reference field="1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BA2DF-2372-4799-ADD6-6ABE7B12EE05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8:F37" firstHeaderRow="1" firstDataRow="1" firstDataCol="1"/>
  <pivotFields count="17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6"/>
        <item x="4"/>
        <item x="1"/>
        <item x="2"/>
        <item x="5"/>
        <item x="3"/>
        <item x="0"/>
        <item t="default"/>
      </items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Profit_Margin" fld="16" subtotal="average" baseField="10" baseItem="0" numFmtId="166"/>
  </dataFields>
  <formats count="6">
    <format dxfId="77">
      <pivotArea outline="0" collapsedLevelsAreSubtotals="1" fieldPosition="0"/>
    </format>
    <format dxfId="76">
      <pivotArea collapsedLevelsAreSubtotals="1" fieldPosition="0">
        <references count="1">
          <reference field="10" count="1">
            <x v="1"/>
          </reference>
        </references>
      </pivotArea>
    </format>
    <format dxfId="75">
      <pivotArea collapsedLevelsAreSubtotals="1" fieldPosition="0">
        <references count="1">
          <reference field="10" count="1">
            <x v="1"/>
          </reference>
        </references>
      </pivotArea>
    </format>
    <format dxfId="74">
      <pivotArea collapsedLevelsAreSubtotals="1" fieldPosition="0">
        <references count="1">
          <reference field="10" count="1">
            <x v="1"/>
          </reference>
        </references>
      </pivotArea>
    </format>
    <format dxfId="73">
      <pivotArea collapsedLevelsAreSubtotals="1" fieldPosition="0">
        <references count="1">
          <reference field="10" count="1">
            <x v="1"/>
          </reference>
        </references>
      </pivotArea>
    </format>
    <format dxfId="72">
      <pivotArea collapsedLevelsAreSubtotals="1" fieldPosition="0">
        <references count="1">
          <reference field="1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C9570-4382-4545-9C74-7D673D4A559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8:C394" firstHeaderRow="1" firstDataRow="1" firstDataCol="1"/>
  <pivotFields count="15">
    <pivotField showAll="0"/>
    <pivotField axis="axisRow" numFmtId="164" showAll="0">
      <items count="366">
        <item x="346"/>
        <item x="174"/>
        <item x="137"/>
        <item x="146"/>
        <item x="197"/>
        <item x="92"/>
        <item x="129"/>
        <item x="193"/>
        <item x="212"/>
        <item x="114"/>
        <item x="272"/>
        <item x="291"/>
        <item x="300"/>
        <item x="359"/>
        <item x="141"/>
        <item x="246"/>
        <item x="231"/>
        <item x="119"/>
        <item x="202"/>
        <item x="288"/>
        <item x="42"/>
        <item x="343"/>
        <item x="203"/>
        <item x="162"/>
        <item x="309"/>
        <item x="58"/>
        <item x="125"/>
        <item x="158"/>
        <item x="153"/>
        <item x="188"/>
        <item x="94"/>
        <item x="46"/>
        <item x="258"/>
        <item x="354"/>
        <item x="179"/>
        <item x="322"/>
        <item x="60"/>
        <item x="90"/>
        <item x="259"/>
        <item x="238"/>
        <item x="10"/>
        <item x="144"/>
        <item x="323"/>
        <item x="164"/>
        <item x="260"/>
        <item x="186"/>
        <item x="200"/>
        <item x="220"/>
        <item x="1"/>
        <item x="123"/>
        <item x="305"/>
        <item x="30"/>
        <item x="112"/>
        <item x="138"/>
        <item x="63"/>
        <item x="324"/>
        <item x="333"/>
        <item x="134"/>
        <item x="154"/>
        <item x="116"/>
        <item x="279"/>
        <item x="177"/>
        <item x="20"/>
        <item x="36"/>
        <item x="320"/>
        <item x="298"/>
        <item x="243"/>
        <item x="353"/>
        <item x="107"/>
        <item x="268"/>
        <item x="331"/>
        <item x="26"/>
        <item x="234"/>
        <item x="13"/>
        <item x="250"/>
        <item x="27"/>
        <item x="213"/>
        <item x="264"/>
        <item x="43"/>
        <item x="2"/>
        <item x="332"/>
        <item x="41"/>
        <item x="163"/>
        <item x="67"/>
        <item x="351"/>
        <item x="312"/>
        <item x="239"/>
        <item x="229"/>
        <item x="82"/>
        <item x="257"/>
        <item x="143"/>
        <item x="266"/>
        <item x="360"/>
        <item x="217"/>
        <item x="194"/>
        <item x="244"/>
        <item x="321"/>
        <item x="44"/>
        <item x="69"/>
        <item x="139"/>
        <item x="40"/>
        <item x="274"/>
        <item x="18"/>
        <item x="183"/>
        <item x="8"/>
        <item x="245"/>
        <item x="62"/>
        <item x="342"/>
        <item x="169"/>
        <item x="24"/>
        <item x="73"/>
        <item x="210"/>
        <item x="280"/>
        <item x="171"/>
        <item x="5"/>
        <item x="192"/>
        <item x="199"/>
        <item x="132"/>
        <item x="306"/>
        <item x="91"/>
        <item x="249"/>
        <item x="3"/>
        <item x="85"/>
        <item x="209"/>
        <item x="104"/>
        <item x="53"/>
        <item x="196"/>
        <item x="140"/>
        <item x="103"/>
        <item x="292"/>
        <item x="124"/>
        <item x="318"/>
        <item x="75"/>
        <item x="54"/>
        <item x="87"/>
        <item x="273"/>
        <item x="49"/>
        <item x="335"/>
        <item x="195"/>
        <item x="313"/>
        <item x="39"/>
        <item x="301"/>
        <item x="224"/>
        <item x="347"/>
        <item x="295"/>
        <item x="352"/>
        <item x="334"/>
        <item x="96"/>
        <item x="242"/>
        <item x="236"/>
        <item x="33"/>
        <item x="68"/>
        <item x="328"/>
        <item x="338"/>
        <item x="225"/>
        <item x="130"/>
        <item x="120"/>
        <item x="121"/>
        <item x="216"/>
        <item x="310"/>
        <item x="358"/>
        <item x="99"/>
        <item x="253"/>
        <item x="6"/>
        <item x="145"/>
        <item x="136"/>
        <item x="86"/>
        <item x="61"/>
        <item x="151"/>
        <item x="76"/>
        <item x="32"/>
        <item x="113"/>
        <item x="364"/>
        <item x="57"/>
        <item x="12"/>
        <item x="299"/>
        <item x="290"/>
        <item x="277"/>
        <item x="19"/>
        <item x="314"/>
        <item x="22"/>
        <item x="339"/>
        <item x="267"/>
        <item x="206"/>
        <item x="233"/>
        <item x="302"/>
        <item x="35"/>
        <item x="319"/>
        <item x="178"/>
        <item x="214"/>
        <item x="337"/>
        <item x="64"/>
        <item x="285"/>
        <item x="270"/>
        <item x="97"/>
        <item x="173"/>
        <item x="56"/>
        <item x="135"/>
        <item x="156"/>
        <item x="304"/>
        <item x="155"/>
        <item x="293"/>
        <item x="315"/>
        <item x="185"/>
        <item x="263"/>
        <item x="255"/>
        <item x="71"/>
        <item x="59"/>
        <item x="66"/>
        <item x="350"/>
        <item x="349"/>
        <item x="240"/>
        <item x="172"/>
        <item x="265"/>
        <item x="47"/>
        <item x="11"/>
        <item x="118"/>
        <item x="89"/>
        <item x="256"/>
        <item x="187"/>
        <item x="15"/>
        <item x="191"/>
        <item x="282"/>
        <item x="50"/>
        <item x="340"/>
        <item x="25"/>
        <item x="79"/>
        <item x="281"/>
        <item x="226"/>
        <item x="126"/>
        <item x="190"/>
        <item x="271"/>
        <item x="111"/>
        <item x="283"/>
        <item x="357"/>
        <item x="159"/>
        <item x="72"/>
        <item x="201"/>
        <item x="21"/>
        <item x="101"/>
        <item x="147"/>
        <item x="80"/>
        <item x="166"/>
        <item x="275"/>
        <item x="355"/>
        <item x="205"/>
        <item x="152"/>
        <item x="149"/>
        <item x="326"/>
        <item x="110"/>
        <item x="176"/>
        <item x="363"/>
        <item x="227"/>
        <item x="182"/>
        <item x="14"/>
        <item x="74"/>
        <item x="289"/>
        <item x="0"/>
        <item x="269"/>
        <item x="317"/>
        <item x="278"/>
        <item x="223"/>
        <item x="211"/>
        <item x="122"/>
        <item x="361"/>
        <item x="88"/>
        <item x="307"/>
        <item x="115"/>
        <item x="9"/>
        <item x="230"/>
        <item x="254"/>
        <item x="232"/>
        <item x="148"/>
        <item x="45"/>
        <item x="286"/>
        <item x="237"/>
        <item x="296"/>
        <item x="28"/>
        <item x="23"/>
        <item x="297"/>
        <item x="160"/>
        <item x="52"/>
        <item x="308"/>
        <item x="189"/>
        <item x="31"/>
        <item x="251"/>
        <item x="344"/>
        <item x="133"/>
        <item x="228"/>
        <item x="248"/>
        <item x="329"/>
        <item x="336"/>
        <item x="241"/>
        <item x="65"/>
        <item x="261"/>
        <item x="78"/>
        <item x="276"/>
        <item x="55"/>
        <item x="222"/>
        <item x="157"/>
        <item x="95"/>
        <item x="106"/>
        <item x="345"/>
        <item x="127"/>
        <item x="102"/>
        <item x="100"/>
        <item x="311"/>
        <item x="37"/>
        <item x="77"/>
        <item x="131"/>
        <item x="341"/>
        <item x="348"/>
        <item x="117"/>
        <item x="150"/>
        <item x="38"/>
        <item x="84"/>
        <item x="170"/>
        <item x="303"/>
        <item x="294"/>
        <item x="4"/>
        <item x="109"/>
        <item x="284"/>
        <item x="105"/>
        <item x="70"/>
        <item x="48"/>
        <item x="7"/>
        <item x="221"/>
        <item x="204"/>
        <item x="247"/>
        <item x="356"/>
        <item x="81"/>
        <item x="235"/>
        <item x="207"/>
        <item x="327"/>
        <item x="17"/>
        <item x="180"/>
        <item x="108"/>
        <item x="98"/>
        <item x="316"/>
        <item x="252"/>
        <item x="215"/>
        <item x="142"/>
        <item x="287"/>
        <item x="208"/>
        <item x="184"/>
        <item x="161"/>
        <item x="198"/>
        <item x="167"/>
        <item x="93"/>
        <item x="29"/>
        <item x="362"/>
        <item x="175"/>
        <item x="128"/>
        <item x="218"/>
        <item x="34"/>
        <item x="262"/>
        <item x="83"/>
        <item x="51"/>
        <item x="181"/>
        <item x="330"/>
        <item x="325"/>
        <item x="168"/>
        <item x="16"/>
        <item x="219"/>
        <item x="16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Items count="1">
    <i/>
  </colItems>
  <dataFields count="1">
    <dataField name="Total_Rev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8D343-DF4D-40F3-A1EB-DE453E361BE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F370" firstHeaderRow="1" firstDataRow="2" firstDataCol="1"/>
  <pivotFields count="15">
    <pivotField showAll="0"/>
    <pivotField axis="axisRow" numFmtId="164" showAll="0">
      <items count="366">
        <item x="346"/>
        <item x="174"/>
        <item x="137"/>
        <item x="146"/>
        <item x="197"/>
        <item x="92"/>
        <item x="129"/>
        <item x="193"/>
        <item x="212"/>
        <item x="114"/>
        <item x="272"/>
        <item x="291"/>
        <item x="300"/>
        <item x="359"/>
        <item x="141"/>
        <item x="246"/>
        <item x="231"/>
        <item x="119"/>
        <item x="202"/>
        <item x="288"/>
        <item x="42"/>
        <item x="343"/>
        <item x="203"/>
        <item x="162"/>
        <item x="309"/>
        <item x="58"/>
        <item x="125"/>
        <item x="158"/>
        <item x="153"/>
        <item x="188"/>
        <item x="94"/>
        <item x="46"/>
        <item x="258"/>
        <item x="354"/>
        <item x="179"/>
        <item x="322"/>
        <item x="60"/>
        <item x="90"/>
        <item x="259"/>
        <item x="238"/>
        <item x="10"/>
        <item x="144"/>
        <item x="323"/>
        <item x="164"/>
        <item x="260"/>
        <item x="186"/>
        <item x="200"/>
        <item x="220"/>
        <item x="1"/>
        <item x="123"/>
        <item x="305"/>
        <item x="30"/>
        <item x="112"/>
        <item x="138"/>
        <item x="63"/>
        <item x="324"/>
        <item x="333"/>
        <item x="134"/>
        <item x="154"/>
        <item x="116"/>
        <item x="279"/>
        <item x="177"/>
        <item x="20"/>
        <item x="36"/>
        <item x="320"/>
        <item x="298"/>
        <item x="243"/>
        <item x="353"/>
        <item x="107"/>
        <item x="268"/>
        <item x="331"/>
        <item x="26"/>
        <item x="234"/>
        <item x="13"/>
        <item x="250"/>
        <item x="27"/>
        <item x="213"/>
        <item x="264"/>
        <item x="43"/>
        <item x="2"/>
        <item x="332"/>
        <item x="41"/>
        <item x="163"/>
        <item x="67"/>
        <item x="351"/>
        <item x="312"/>
        <item x="239"/>
        <item x="229"/>
        <item x="82"/>
        <item x="257"/>
        <item x="143"/>
        <item x="266"/>
        <item x="360"/>
        <item x="217"/>
        <item x="194"/>
        <item x="244"/>
        <item x="321"/>
        <item x="44"/>
        <item x="69"/>
        <item x="139"/>
        <item x="40"/>
        <item x="274"/>
        <item x="18"/>
        <item x="183"/>
        <item x="8"/>
        <item x="245"/>
        <item x="62"/>
        <item x="342"/>
        <item x="169"/>
        <item x="24"/>
        <item x="73"/>
        <item x="210"/>
        <item x="280"/>
        <item x="171"/>
        <item x="5"/>
        <item x="192"/>
        <item x="199"/>
        <item x="132"/>
        <item x="306"/>
        <item x="91"/>
        <item x="249"/>
        <item x="3"/>
        <item x="85"/>
        <item x="209"/>
        <item x="104"/>
        <item x="53"/>
        <item x="196"/>
        <item x="140"/>
        <item x="103"/>
        <item x="292"/>
        <item x="124"/>
        <item x="318"/>
        <item x="75"/>
        <item x="54"/>
        <item x="87"/>
        <item x="273"/>
        <item x="49"/>
        <item x="335"/>
        <item x="195"/>
        <item x="313"/>
        <item x="39"/>
        <item x="301"/>
        <item x="224"/>
        <item x="347"/>
        <item x="295"/>
        <item x="352"/>
        <item x="334"/>
        <item x="96"/>
        <item x="242"/>
        <item x="236"/>
        <item x="33"/>
        <item x="68"/>
        <item x="328"/>
        <item x="338"/>
        <item x="225"/>
        <item x="130"/>
        <item x="120"/>
        <item x="121"/>
        <item x="216"/>
        <item x="310"/>
        <item x="358"/>
        <item x="99"/>
        <item x="253"/>
        <item x="6"/>
        <item x="145"/>
        <item x="136"/>
        <item x="86"/>
        <item x="61"/>
        <item x="151"/>
        <item x="76"/>
        <item x="32"/>
        <item x="113"/>
        <item x="364"/>
        <item x="57"/>
        <item x="12"/>
        <item x="299"/>
        <item x="290"/>
        <item x="277"/>
        <item x="19"/>
        <item x="314"/>
        <item x="22"/>
        <item x="339"/>
        <item x="267"/>
        <item x="206"/>
        <item x="233"/>
        <item x="302"/>
        <item x="35"/>
        <item x="319"/>
        <item x="178"/>
        <item x="214"/>
        <item x="337"/>
        <item x="64"/>
        <item x="285"/>
        <item x="270"/>
        <item x="97"/>
        <item x="173"/>
        <item x="56"/>
        <item x="135"/>
        <item x="156"/>
        <item x="304"/>
        <item x="155"/>
        <item x="293"/>
        <item x="315"/>
        <item x="185"/>
        <item x="263"/>
        <item x="255"/>
        <item x="71"/>
        <item x="59"/>
        <item x="66"/>
        <item x="350"/>
        <item x="349"/>
        <item x="240"/>
        <item x="172"/>
        <item x="265"/>
        <item x="47"/>
        <item x="11"/>
        <item x="118"/>
        <item x="89"/>
        <item x="256"/>
        <item x="187"/>
        <item x="15"/>
        <item x="191"/>
        <item x="282"/>
        <item x="50"/>
        <item x="340"/>
        <item x="25"/>
        <item x="79"/>
        <item x="281"/>
        <item x="226"/>
        <item x="126"/>
        <item x="190"/>
        <item x="271"/>
        <item x="111"/>
        <item x="283"/>
        <item x="357"/>
        <item x="159"/>
        <item x="72"/>
        <item x="201"/>
        <item x="21"/>
        <item x="101"/>
        <item x="147"/>
        <item x="80"/>
        <item x="166"/>
        <item x="275"/>
        <item x="355"/>
        <item x="205"/>
        <item x="152"/>
        <item x="149"/>
        <item x="326"/>
        <item x="110"/>
        <item x="176"/>
        <item x="363"/>
        <item x="227"/>
        <item x="182"/>
        <item x="14"/>
        <item x="74"/>
        <item x="289"/>
        <item x="0"/>
        <item x="269"/>
        <item x="317"/>
        <item x="278"/>
        <item x="223"/>
        <item x="211"/>
        <item x="122"/>
        <item x="361"/>
        <item x="88"/>
        <item x="307"/>
        <item x="115"/>
        <item x="9"/>
        <item x="230"/>
        <item x="254"/>
        <item x="232"/>
        <item x="148"/>
        <item x="45"/>
        <item x="286"/>
        <item x="237"/>
        <item x="296"/>
        <item x="28"/>
        <item x="23"/>
        <item x="297"/>
        <item x="160"/>
        <item x="52"/>
        <item x="308"/>
        <item x="189"/>
        <item x="31"/>
        <item x="251"/>
        <item x="344"/>
        <item x="133"/>
        <item x="228"/>
        <item x="248"/>
        <item x="329"/>
        <item x="336"/>
        <item x="241"/>
        <item x="65"/>
        <item x="261"/>
        <item x="78"/>
        <item x="276"/>
        <item x="55"/>
        <item x="222"/>
        <item x="157"/>
        <item x="95"/>
        <item x="106"/>
        <item x="345"/>
        <item x="127"/>
        <item x="102"/>
        <item x="100"/>
        <item x="311"/>
        <item x="37"/>
        <item x="77"/>
        <item x="131"/>
        <item x="341"/>
        <item x="348"/>
        <item x="117"/>
        <item x="150"/>
        <item x="38"/>
        <item x="84"/>
        <item x="170"/>
        <item x="303"/>
        <item x="294"/>
        <item x="4"/>
        <item x="109"/>
        <item x="284"/>
        <item x="105"/>
        <item x="70"/>
        <item x="48"/>
        <item x="7"/>
        <item x="221"/>
        <item x="204"/>
        <item x="247"/>
        <item x="356"/>
        <item x="81"/>
        <item x="235"/>
        <item x="207"/>
        <item x="327"/>
        <item x="17"/>
        <item x="180"/>
        <item x="108"/>
        <item x="98"/>
        <item x="316"/>
        <item x="252"/>
        <item x="215"/>
        <item x="142"/>
        <item x="287"/>
        <item x="208"/>
        <item x="184"/>
        <item x="161"/>
        <item x="198"/>
        <item x="167"/>
        <item x="93"/>
        <item x="29"/>
        <item x="362"/>
        <item x="175"/>
        <item x="128"/>
        <item x="218"/>
        <item x="34"/>
        <item x="262"/>
        <item x="83"/>
        <item x="51"/>
        <item x="181"/>
        <item x="330"/>
        <item x="325"/>
        <item x="168"/>
        <item x="16"/>
        <item x="219"/>
        <item x="165"/>
        <item t="default"/>
      </items>
    </pivotField>
    <pivotField showAll="0"/>
    <pivotField showAll="0"/>
    <pivotField axis="axisCol" showAll="0">
      <items count="31">
        <item x="19"/>
        <item x="25"/>
        <item x="11"/>
        <item x="10"/>
        <item x="1"/>
        <item x="3"/>
        <item x="0"/>
        <item x="4"/>
        <item x="18"/>
        <item x="9"/>
        <item x="23"/>
        <item x="27"/>
        <item x="22"/>
        <item x="2"/>
        <item x="15"/>
        <item x="29"/>
        <item x="21"/>
        <item x="26"/>
        <item x="7"/>
        <item x="16"/>
        <item x="13"/>
        <item x="24"/>
        <item x="12"/>
        <item x="6"/>
        <item x="5"/>
        <item x="17"/>
        <item x="28"/>
        <item x="8"/>
        <item x="20"/>
        <item x="1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1">
    <field x="4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Sum of final_amount" fld="8" baseField="0" baseItem="0"/>
  </dataFields>
  <formats count="17"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4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4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3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2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1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0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9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8">
      <pivotArea dataOnly="0" labelOnly="1" fieldPosition="0">
        <references count="1">
          <reference field="1" count="15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</reference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1">
          <reference field="4" count="0"/>
        </references>
      </pivotArea>
    </format>
    <format dxfId="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AB9C6-505C-4FDB-98AB-6EDA9C463EA3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4" firstHeaderRow="1" firstDataRow="1" firstDataCol="1" rowPageCount="1" colPageCount="1"/>
  <pivotFields count="17">
    <pivotField showAll="0"/>
    <pivotField numFmtId="164" showAll="0"/>
    <pivotField showAll="0"/>
    <pivotField axis="axisRow" showAll="0" sortType="descending">
      <items count="61">
        <item x="49"/>
        <item x="12"/>
        <item x="25"/>
        <item x="35"/>
        <item x="42"/>
        <item x="53"/>
        <item x="7"/>
        <item x="41"/>
        <item x="38"/>
        <item x="11"/>
        <item x="55"/>
        <item x="4"/>
        <item x="32"/>
        <item x="0"/>
        <item x="20"/>
        <item x="43"/>
        <item x="47"/>
        <item x="59"/>
        <item x="19"/>
        <item x="1"/>
        <item x="28"/>
        <item x="34"/>
        <item x="50"/>
        <item x="10"/>
        <item x="46"/>
        <item x="37"/>
        <item x="31"/>
        <item x="3"/>
        <item x="45"/>
        <item x="9"/>
        <item x="30"/>
        <item x="5"/>
        <item x="44"/>
        <item x="54"/>
        <item x="57"/>
        <item x="13"/>
        <item x="29"/>
        <item x="8"/>
        <item x="39"/>
        <item x="18"/>
        <item x="36"/>
        <item x="52"/>
        <item x="22"/>
        <item x="21"/>
        <item x="40"/>
        <item x="24"/>
        <item x="16"/>
        <item x="26"/>
        <item x="51"/>
        <item x="33"/>
        <item x="17"/>
        <item x="48"/>
        <item x="2"/>
        <item x="23"/>
        <item x="27"/>
        <item x="58"/>
        <item x="6"/>
        <item x="15"/>
        <item x="56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/>
    <pivotField dragToRow="0" dragToCol="0" dragToPage="0" showAll="0" defaultSubtotal="0"/>
  </pivotFields>
  <rowFields count="1">
    <field x="3"/>
  </rowFields>
  <rowItems count="61">
    <i>
      <x v="55"/>
    </i>
    <i>
      <x v="2"/>
    </i>
    <i>
      <x v="47"/>
    </i>
    <i>
      <x v="33"/>
    </i>
    <i>
      <x v="3"/>
    </i>
    <i>
      <x v="24"/>
    </i>
    <i>
      <x v="25"/>
    </i>
    <i>
      <x v="38"/>
    </i>
    <i>
      <x v="46"/>
    </i>
    <i>
      <x/>
    </i>
    <i>
      <x v="58"/>
    </i>
    <i>
      <x v="10"/>
    </i>
    <i>
      <x v="41"/>
    </i>
    <i>
      <x v="32"/>
    </i>
    <i>
      <x v="49"/>
    </i>
    <i>
      <x v="11"/>
    </i>
    <i>
      <x v="37"/>
    </i>
    <i>
      <x v="28"/>
    </i>
    <i>
      <x v="27"/>
    </i>
    <i>
      <x v="54"/>
    </i>
    <i>
      <x v="50"/>
    </i>
    <i>
      <x v="14"/>
    </i>
    <i>
      <x v="1"/>
    </i>
    <i>
      <x v="18"/>
    </i>
    <i>
      <x v="42"/>
    </i>
    <i>
      <x v="44"/>
    </i>
    <i>
      <x v="30"/>
    </i>
    <i>
      <x v="5"/>
    </i>
    <i>
      <x v="17"/>
    </i>
    <i>
      <x v="45"/>
    </i>
    <i>
      <x v="13"/>
    </i>
    <i>
      <x v="20"/>
    </i>
    <i>
      <x v="35"/>
    </i>
    <i>
      <x v="12"/>
    </i>
    <i>
      <x v="16"/>
    </i>
    <i>
      <x v="22"/>
    </i>
    <i>
      <x v="40"/>
    </i>
    <i>
      <x v="23"/>
    </i>
    <i>
      <x v="51"/>
    </i>
    <i>
      <x v="57"/>
    </i>
    <i>
      <x v="43"/>
    </i>
    <i>
      <x v="9"/>
    </i>
    <i>
      <x v="21"/>
    </i>
    <i>
      <x v="8"/>
    </i>
    <i>
      <x v="48"/>
    </i>
    <i>
      <x v="39"/>
    </i>
    <i>
      <x v="26"/>
    </i>
    <i>
      <x v="6"/>
    </i>
    <i>
      <x v="29"/>
    </i>
    <i>
      <x v="56"/>
    </i>
    <i>
      <x v="34"/>
    </i>
    <i>
      <x v="52"/>
    </i>
    <i>
      <x v="31"/>
    </i>
    <i>
      <x v="53"/>
    </i>
    <i>
      <x v="36"/>
    </i>
    <i>
      <x v="15"/>
    </i>
    <i>
      <x v="19"/>
    </i>
    <i>
      <x v="59"/>
    </i>
    <i>
      <x v="7"/>
    </i>
    <i>
      <x v="4"/>
    </i>
    <i t="grand">
      <x/>
    </i>
  </rowItems>
  <colItems count="1">
    <i/>
  </colItems>
  <pageFields count="1">
    <pageField fld="14" item="3" hier="-1"/>
  </pageFields>
  <dataFields count="1">
    <dataField name="Sum of final_amount" fld="8" baseField="0" baseItem="0"/>
  </dataFields>
  <formats count="15">
    <format dxfId="14">
      <pivotArea field="3" type="button" dataOnly="0" labelOnly="1" outline="0" axis="axisRow" fieldPosition="0"/>
    </format>
    <format dxfId="13">
      <pivotArea dataOnly="0" labelOnly="1" outline="0" axis="axisValues" fieldPosition="0"/>
    </format>
    <format dxfId="12">
      <pivotArea field="3" type="button" dataOnly="0" labelOnly="1" outline="0" axis="axisRow" fieldPosition="0"/>
    </format>
    <format dxfId="11">
      <pivotArea dataOnly="0" labelOnly="1" outline="0" axis="axisValues" fieldPosition="0"/>
    </format>
    <format dxfId="10">
      <pivotArea outline="0" collapsedLevelsAreSubtotals="1" fieldPosition="0"/>
    </format>
    <format dxfId="9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">
      <pivotArea dataOnly="0" labelOnly="1" fieldPosition="0">
        <references count="1">
          <reference field="3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7">
      <pivotArea dataOnly="0" labelOnly="1" grandRow="1" outline="0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50">
            <x v="0"/>
            <x v="1"/>
            <x v="2"/>
            <x v="3"/>
            <x v="5"/>
            <x v="6"/>
            <x v="8"/>
            <x v="9"/>
            <x v="10"/>
            <x v="11"/>
            <x v="12"/>
            <x v="13"/>
            <x v="14"/>
            <x v="16"/>
            <x v="17"/>
            <x v="18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2"/>
            <x v="33"/>
            <x v="35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4"/>
            <x v="55"/>
            <x v="56"/>
            <x v="57"/>
            <x v="58"/>
          </reference>
        </references>
      </pivotArea>
    </format>
    <format dxfId="2">
      <pivotArea dataOnly="0" labelOnly="1" fieldPosition="0">
        <references count="1">
          <reference field="3" count="10">
            <x v="4"/>
            <x v="7"/>
            <x v="15"/>
            <x v="19"/>
            <x v="31"/>
            <x v="34"/>
            <x v="36"/>
            <x v="52"/>
            <x v="53"/>
            <x v="59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zoomScaleNormal="100" workbookViewId="0">
      <selection activeCell="K5" sqref="K5"/>
    </sheetView>
  </sheetViews>
  <sheetFormatPr defaultRowHeight="14.4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>
      <c r="A1" s="66" t="s">
        <v>3004</v>
      </c>
      <c r="B1" s="67"/>
      <c r="C1" s="67"/>
      <c r="D1" s="67"/>
      <c r="E1" s="67"/>
      <c r="F1" s="67"/>
      <c r="G1" s="67"/>
      <c r="H1" s="68"/>
    </row>
    <row r="2" spans="1:8" ht="16.8">
      <c r="A2" s="69" t="s">
        <v>3005</v>
      </c>
      <c r="B2" s="9"/>
      <c r="C2" s="9"/>
      <c r="D2" s="9"/>
      <c r="E2" s="9"/>
      <c r="F2" s="9"/>
      <c r="G2" s="9"/>
      <c r="H2" s="70"/>
    </row>
    <row r="3" spans="1:8">
      <c r="A3" s="71" t="s">
        <v>3006</v>
      </c>
      <c r="B3" s="9"/>
      <c r="C3" s="9"/>
      <c r="D3" s="9"/>
      <c r="E3" s="9"/>
      <c r="F3" s="9"/>
      <c r="G3" s="9"/>
      <c r="H3" s="70"/>
    </row>
    <row r="4" spans="1:8">
      <c r="A4" s="72"/>
      <c r="B4" s="9"/>
      <c r="C4" s="9"/>
      <c r="D4" s="9"/>
      <c r="E4" s="9"/>
      <c r="F4" s="9"/>
      <c r="G4" s="9"/>
      <c r="H4" s="70"/>
    </row>
    <row r="5" spans="1:8" ht="15.6">
      <c r="A5" s="153" t="s">
        <v>0</v>
      </c>
      <c r="B5" s="151"/>
      <c r="C5" s="151"/>
      <c r="D5" s="151"/>
      <c r="E5" s="151"/>
      <c r="F5" s="151"/>
      <c r="G5" s="9"/>
      <c r="H5" s="70"/>
    </row>
    <row r="6" spans="1:8">
      <c r="A6" s="150" t="s">
        <v>1</v>
      </c>
      <c r="B6" s="151"/>
      <c r="C6" s="151"/>
      <c r="D6" s="151"/>
      <c r="E6" s="151"/>
      <c r="F6" s="151"/>
      <c r="G6" s="151"/>
      <c r="H6" s="152"/>
    </row>
    <row r="7" spans="1:8">
      <c r="A7" s="150" t="s">
        <v>3007</v>
      </c>
      <c r="B7" s="151"/>
      <c r="C7" s="151"/>
      <c r="D7" s="151"/>
      <c r="E7" s="151"/>
      <c r="F7" s="151"/>
      <c r="G7" s="151"/>
      <c r="H7" s="152"/>
    </row>
    <row r="8" spans="1:8">
      <c r="A8" s="150" t="s">
        <v>2</v>
      </c>
      <c r="B8" s="151"/>
      <c r="C8" s="151"/>
      <c r="D8" s="151"/>
      <c r="E8" s="151"/>
      <c r="F8" s="151"/>
      <c r="G8" s="151"/>
      <c r="H8" s="152"/>
    </row>
    <row r="9" spans="1:8">
      <c r="A9" s="150"/>
      <c r="B9" s="151"/>
      <c r="C9" s="151"/>
      <c r="D9" s="151"/>
      <c r="E9" s="151"/>
      <c r="F9" s="151"/>
      <c r="G9" s="151"/>
      <c r="H9" s="152"/>
    </row>
    <row r="10" spans="1:8">
      <c r="A10" s="150" t="s">
        <v>3</v>
      </c>
      <c r="B10" s="151"/>
      <c r="C10" s="151"/>
      <c r="D10" s="151"/>
      <c r="E10" s="151"/>
      <c r="F10" s="151"/>
      <c r="G10" s="151"/>
      <c r="H10" s="152"/>
    </row>
    <row r="11" spans="1:8">
      <c r="A11" s="150" t="s">
        <v>3008</v>
      </c>
      <c r="B11" s="151"/>
      <c r="C11" s="151"/>
      <c r="D11" s="151"/>
      <c r="E11" s="151"/>
      <c r="F11" s="151"/>
      <c r="G11" s="151"/>
      <c r="H11" s="152"/>
    </row>
    <row r="12" spans="1:8">
      <c r="A12" s="150" t="s">
        <v>4</v>
      </c>
      <c r="B12" s="151"/>
      <c r="C12" s="151"/>
      <c r="D12" s="151"/>
      <c r="E12" s="151"/>
      <c r="F12" s="151"/>
      <c r="G12" s="151"/>
      <c r="H12" s="152"/>
    </row>
    <row r="13" spans="1:8">
      <c r="A13" s="72"/>
      <c r="B13" s="9"/>
      <c r="C13" s="9"/>
      <c r="D13" s="9"/>
      <c r="E13" s="9"/>
      <c r="F13" s="9"/>
      <c r="G13" s="9"/>
      <c r="H13" s="70"/>
    </row>
    <row r="14" spans="1:8" ht="15.6">
      <c r="A14" s="73" t="s">
        <v>5</v>
      </c>
      <c r="B14" s="9"/>
      <c r="C14" s="9"/>
      <c r="D14" s="9"/>
      <c r="E14" s="9"/>
      <c r="F14" s="9"/>
      <c r="G14" s="9"/>
      <c r="H14" s="70"/>
    </row>
    <row r="15" spans="1:8">
      <c r="A15" s="150" t="s">
        <v>6</v>
      </c>
      <c r="B15" s="151"/>
      <c r="C15" s="151"/>
      <c r="D15" s="151"/>
      <c r="E15" s="151"/>
      <c r="F15" s="151"/>
      <c r="G15" s="151"/>
      <c r="H15" s="152"/>
    </row>
    <row r="16" spans="1:8">
      <c r="A16" s="150" t="s">
        <v>7</v>
      </c>
      <c r="B16" s="151"/>
      <c r="C16" s="151"/>
      <c r="D16" s="151"/>
      <c r="E16" s="151"/>
      <c r="F16" s="151"/>
      <c r="G16" s="151"/>
      <c r="H16" s="152"/>
    </row>
    <row r="17" spans="1:8">
      <c r="A17" s="150" t="s">
        <v>8</v>
      </c>
      <c r="B17" s="151"/>
      <c r="C17" s="151"/>
      <c r="D17" s="151"/>
      <c r="E17" s="151"/>
      <c r="F17" s="151"/>
      <c r="G17" s="151"/>
      <c r="H17" s="152"/>
    </row>
    <row r="18" spans="1:8">
      <c r="A18" s="150" t="s">
        <v>3009</v>
      </c>
      <c r="B18" s="151"/>
      <c r="C18" s="151"/>
      <c r="D18" s="151"/>
      <c r="E18" s="151"/>
      <c r="F18" s="151"/>
      <c r="G18" s="151"/>
      <c r="H18" s="152"/>
    </row>
    <row r="19" spans="1:8">
      <c r="A19" s="150" t="s">
        <v>9</v>
      </c>
      <c r="B19" s="151"/>
      <c r="C19" s="151"/>
      <c r="D19" s="151"/>
      <c r="E19" s="151"/>
      <c r="F19" s="151"/>
      <c r="G19" s="151"/>
      <c r="H19" s="152"/>
    </row>
    <row r="20" spans="1:8">
      <c r="A20" s="150" t="s">
        <v>3010</v>
      </c>
      <c r="B20" s="151"/>
      <c r="C20" s="151"/>
      <c r="D20" s="151"/>
      <c r="E20" s="151"/>
      <c r="F20" s="151"/>
      <c r="G20" s="151"/>
      <c r="H20" s="152"/>
    </row>
    <row r="21" spans="1:8">
      <c r="A21" s="72"/>
      <c r="B21" s="9"/>
      <c r="C21" s="9"/>
      <c r="D21" s="9"/>
      <c r="E21" s="9"/>
      <c r="F21" s="9"/>
      <c r="G21" s="9"/>
      <c r="H21" s="70"/>
    </row>
    <row r="22" spans="1:8" ht="15.6">
      <c r="A22" s="73" t="s">
        <v>10</v>
      </c>
      <c r="B22" s="9"/>
      <c r="C22" s="9"/>
      <c r="D22" s="9"/>
      <c r="E22" s="9"/>
      <c r="F22" s="9"/>
      <c r="G22" s="9"/>
      <c r="H22" s="70"/>
    </row>
    <row r="23" spans="1:8">
      <c r="A23" s="74" t="s">
        <v>11</v>
      </c>
      <c r="B23" s="59" t="s">
        <v>12</v>
      </c>
      <c r="C23" s="10" t="s">
        <v>13</v>
      </c>
      <c r="D23" s="10" t="s">
        <v>14</v>
      </c>
      <c r="E23" s="9"/>
      <c r="F23" s="9"/>
      <c r="G23" s="9"/>
      <c r="H23" s="70"/>
    </row>
    <row r="24" spans="1:8">
      <c r="A24" s="75" t="s">
        <v>15</v>
      </c>
      <c r="B24" s="61" t="s">
        <v>16</v>
      </c>
      <c r="C24" s="60" t="s">
        <v>17</v>
      </c>
      <c r="D24" s="60" t="s">
        <v>18</v>
      </c>
      <c r="E24" s="9"/>
      <c r="F24" s="9"/>
      <c r="G24" s="9"/>
      <c r="H24" s="70"/>
    </row>
    <row r="25" spans="1:8">
      <c r="A25" s="75" t="s">
        <v>19</v>
      </c>
      <c r="B25" s="61" t="s">
        <v>20</v>
      </c>
      <c r="C25" s="60" t="s">
        <v>21</v>
      </c>
      <c r="D25" s="60" t="s">
        <v>22</v>
      </c>
      <c r="E25" s="9"/>
      <c r="F25" s="9"/>
      <c r="G25" s="9"/>
      <c r="H25" s="70"/>
    </row>
    <row r="26" spans="1:8">
      <c r="A26" s="75" t="s">
        <v>23</v>
      </c>
      <c r="B26" s="61" t="s">
        <v>24</v>
      </c>
      <c r="C26" s="60" t="s">
        <v>21</v>
      </c>
      <c r="D26" s="60" t="s">
        <v>18</v>
      </c>
      <c r="E26" s="9"/>
      <c r="F26" s="9"/>
      <c r="G26" s="9"/>
      <c r="H26" s="70"/>
    </row>
    <row r="27" spans="1:8">
      <c r="A27" s="75" t="s">
        <v>25</v>
      </c>
      <c r="B27" s="61" t="s">
        <v>26</v>
      </c>
      <c r="C27" s="60" t="s">
        <v>27</v>
      </c>
      <c r="D27" s="60" t="s">
        <v>22</v>
      </c>
      <c r="E27" s="9"/>
      <c r="F27" s="9"/>
      <c r="G27" s="9"/>
      <c r="H27" s="70"/>
    </row>
    <row r="28" spans="1:8">
      <c r="A28" s="75" t="s">
        <v>28</v>
      </c>
      <c r="B28" s="61" t="s">
        <v>29</v>
      </c>
      <c r="C28" s="60" t="s">
        <v>27</v>
      </c>
      <c r="D28" s="60" t="s">
        <v>30</v>
      </c>
      <c r="E28" s="9"/>
      <c r="F28" s="9"/>
      <c r="G28" s="9"/>
      <c r="H28" s="70"/>
    </row>
    <row r="29" spans="1:8">
      <c r="A29" s="76"/>
      <c r="B29" s="63" t="s">
        <v>31</v>
      </c>
      <c r="C29" s="62" t="s">
        <v>32</v>
      </c>
      <c r="D29" s="62" t="s">
        <v>33</v>
      </c>
      <c r="E29" s="9"/>
      <c r="F29" s="9"/>
      <c r="G29" s="9"/>
      <c r="H29" s="70"/>
    </row>
    <row r="30" spans="1:8">
      <c r="A30" s="72"/>
      <c r="B30" s="9"/>
      <c r="C30" s="9"/>
      <c r="D30" s="9"/>
      <c r="E30" s="9"/>
      <c r="F30" s="9"/>
      <c r="G30" s="9"/>
      <c r="H30" s="70"/>
    </row>
    <row r="31" spans="1:8">
      <c r="A31" s="72"/>
      <c r="B31" s="9"/>
      <c r="C31" s="9"/>
      <c r="D31" s="9"/>
      <c r="E31" s="9"/>
      <c r="F31" s="9"/>
      <c r="G31" s="9"/>
      <c r="H31" s="70"/>
    </row>
    <row r="32" spans="1:8" ht="15.6">
      <c r="A32" s="73" t="s">
        <v>34</v>
      </c>
      <c r="B32" s="9"/>
      <c r="C32" s="9"/>
      <c r="D32" s="9"/>
      <c r="E32" s="9"/>
      <c r="F32" s="9"/>
      <c r="G32" s="9"/>
      <c r="H32" s="70"/>
    </row>
    <row r="33" spans="1:8">
      <c r="A33" s="74" t="s">
        <v>14</v>
      </c>
      <c r="B33" s="10" t="s">
        <v>35</v>
      </c>
      <c r="C33" s="59" t="s">
        <v>36</v>
      </c>
      <c r="D33" s="9"/>
      <c r="E33" s="9"/>
      <c r="F33" s="9"/>
      <c r="G33" s="9"/>
      <c r="H33" s="70"/>
    </row>
    <row r="34" spans="1:8">
      <c r="A34" s="75" t="s">
        <v>37</v>
      </c>
      <c r="B34" s="60" t="s">
        <v>38</v>
      </c>
      <c r="C34" s="61" t="s">
        <v>3011</v>
      </c>
      <c r="D34" s="9"/>
      <c r="E34" s="9"/>
      <c r="F34" s="9"/>
      <c r="G34" s="9"/>
      <c r="H34" s="70"/>
    </row>
    <row r="35" spans="1:8">
      <c r="A35" s="75" t="s">
        <v>39</v>
      </c>
      <c r="B35" s="60" t="s">
        <v>40</v>
      </c>
      <c r="C35" s="61" t="s">
        <v>41</v>
      </c>
      <c r="D35" s="9"/>
      <c r="E35" s="9"/>
      <c r="F35" s="9"/>
      <c r="G35" s="9"/>
      <c r="H35" s="70"/>
    </row>
    <row r="36" spans="1:8">
      <c r="A36" s="75" t="s">
        <v>42</v>
      </c>
      <c r="B36" s="60" t="s">
        <v>43</v>
      </c>
      <c r="C36" s="61" t="s">
        <v>3012</v>
      </c>
      <c r="D36" s="9"/>
      <c r="E36" s="9"/>
      <c r="F36" s="9"/>
      <c r="G36" s="9"/>
      <c r="H36" s="70"/>
    </row>
    <row r="37" spans="1:8">
      <c r="A37" s="75" t="s">
        <v>44</v>
      </c>
      <c r="B37" s="60" t="s">
        <v>45</v>
      </c>
      <c r="C37" s="61" t="s">
        <v>3013</v>
      </c>
      <c r="D37" s="9"/>
      <c r="E37" s="9"/>
      <c r="F37" s="9"/>
      <c r="G37" s="9"/>
      <c r="H37" s="70"/>
    </row>
    <row r="38" spans="1:8">
      <c r="A38" s="75" t="s">
        <v>46</v>
      </c>
      <c r="B38" s="60" t="s">
        <v>47</v>
      </c>
      <c r="C38" s="61" t="s">
        <v>3014</v>
      </c>
      <c r="D38" s="9"/>
      <c r="E38" s="9"/>
      <c r="F38" s="9"/>
      <c r="G38" s="9"/>
      <c r="H38" s="70"/>
    </row>
    <row r="39" spans="1:8">
      <c r="A39" s="72"/>
      <c r="B39" s="9"/>
      <c r="C39" s="9"/>
      <c r="D39" s="9"/>
      <c r="E39" s="9"/>
      <c r="F39" s="9"/>
      <c r="G39" s="9"/>
      <c r="H39" s="70"/>
    </row>
    <row r="40" spans="1:8">
      <c r="A40" s="72"/>
      <c r="B40" s="9"/>
      <c r="C40" s="9"/>
      <c r="D40" s="9"/>
      <c r="E40" s="9"/>
      <c r="F40" s="9"/>
      <c r="G40" s="9"/>
      <c r="H40" s="70"/>
    </row>
    <row r="41" spans="1:8" ht="15.6">
      <c r="A41" s="73" t="s">
        <v>48</v>
      </c>
      <c r="B41" s="9"/>
      <c r="C41" s="9"/>
      <c r="D41" s="9"/>
      <c r="E41" s="9"/>
      <c r="F41" s="9"/>
      <c r="G41" s="9"/>
      <c r="H41" s="70"/>
    </row>
    <row r="42" spans="1:8">
      <c r="A42" s="77" t="s">
        <v>49</v>
      </c>
      <c r="B42" s="64" t="s">
        <v>50</v>
      </c>
      <c r="C42" s="64" t="s">
        <v>51</v>
      </c>
      <c r="D42" s="64" t="s">
        <v>52</v>
      </c>
      <c r="E42" s="9"/>
      <c r="F42" s="9"/>
      <c r="G42" s="9"/>
      <c r="H42" s="70"/>
    </row>
    <row r="43" spans="1:8" ht="39.6">
      <c r="A43" s="78" t="s">
        <v>53</v>
      </c>
      <c r="B43" s="65" t="s">
        <v>54</v>
      </c>
      <c r="C43" s="65" t="s">
        <v>55</v>
      </c>
      <c r="D43" s="65" t="s">
        <v>56</v>
      </c>
      <c r="E43" s="9"/>
      <c r="F43" s="9"/>
      <c r="G43" s="9"/>
      <c r="H43" s="70"/>
    </row>
    <row r="44" spans="1:8" ht="26.4">
      <c r="A44" s="78" t="s">
        <v>57</v>
      </c>
      <c r="B44" s="65" t="s">
        <v>58</v>
      </c>
      <c r="C44" s="65" t="s">
        <v>59</v>
      </c>
      <c r="D44" s="65" t="s">
        <v>60</v>
      </c>
      <c r="E44" s="9"/>
      <c r="F44" s="9"/>
      <c r="G44" s="9"/>
      <c r="H44" s="70"/>
    </row>
    <row r="45" spans="1:8" ht="26.4">
      <c r="A45" s="78" t="s">
        <v>61</v>
      </c>
      <c r="B45" s="65" t="s">
        <v>62</v>
      </c>
      <c r="C45" s="65" t="s">
        <v>63</v>
      </c>
      <c r="D45" s="65" t="s">
        <v>64</v>
      </c>
      <c r="E45" s="9"/>
      <c r="F45" s="9"/>
      <c r="G45" s="9"/>
      <c r="H45" s="70"/>
    </row>
    <row r="46" spans="1:8" ht="26.4">
      <c r="A46" s="78" t="s">
        <v>65</v>
      </c>
      <c r="B46" s="65" t="s">
        <v>32</v>
      </c>
      <c r="C46" s="65" t="s">
        <v>66</v>
      </c>
      <c r="D46" s="65" t="s">
        <v>67</v>
      </c>
      <c r="E46" s="9"/>
      <c r="F46" s="9"/>
      <c r="G46" s="9"/>
      <c r="H46" s="70"/>
    </row>
    <row r="47" spans="1:8" ht="27" thickBot="1">
      <c r="A47" s="79" t="s">
        <v>68</v>
      </c>
      <c r="B47" s="80" t="s">
        <v>69</v>
      </c>
      <c r="C47" s="80" t="s">
        <v>70</v>
      </c>
      <c r="D47" s="80" t="s">
        <v>71</v>
      </c>
      <c r="E47" s="81"/>
      <c r="F47" s="81"/>
      <c r="G47" s="81"/>
      <c r="H47" s="82"/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3B91-94E2-417D-8D66-E4231D04A181}">
  <dimension ref="A1"/>
  <sheetViews>
    <sheetView topLeftCell="KI1" workbookViewId="0">
      <selection activeCell="A3" sqref="A3:H9"/>
    </sheetView>
  </sheetViews>
  <sheetFormatPr defaultRowHeight="14.4"/>
  <cols>
    <col min="1" max="1" width="19" bestFit="1" customWidth="1"/>
    <col min="2" max="2" width="15.5546875" bestFit="1" customWidth="1"/>
    <col min="3" max="8" width="11" bestFit="1" customWidth="1"/>
    <col min="9" max="9" width="19" bestFit="1" customWidth="1"/>
    <col min="10" max="10" width="20" bestFit="1" customWidth="1"/>
    <col min="11" max="11" width="19" bestFit="1" customWidth="1"/>
    <col min="12" max="12" width="20" bestFit="1" customWidth="1"/>
    <col min="13" max="13" width="19" bestFit="1" customWidth="1"/>
    <col min="14" max="14" width="24.77734375" bestFit="1" customWidth="1"/>
    <col min="15" max="15" width="23.777343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1ABB-F393-478E-BC34-FA88FEF9CB0D}">
  <dimension ref="A1"/>
  <sheetViews>
    <sheetView workbookViewId="0">
      <selection activeCell="A3" sqref="A3:H9"/>
    </sheetView>
  </sheetViews>
  <sheetFormatPr defaultRowHeight="14.4"/>
  <cols>
    <col min="1" max="1" width="19" bestFit="1" customWidth="1"/>
    <col min="2" max="2" width="15.5546875" bestFit="1" customWidth="1"/>
    <col min="3" max="3" width="7" bestFit="1" customWidth="1"/>
    <col min="4" max="4" width="10" bestFit="1" customWidth="1"/>
    <col min="5" max="5" width="7.5546875" bestFit="1" customWidth="1"/>
    <col min="6" max="7" width="7" bestFit="1" customWidth="1"/>
    <col min="8" max="8" width="10.7773437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855D-0E92-434E-9A62-0FC7DAE1DA3A}">
  <dimension ref="A1"/>
  <sheetViews>
    <sheetView workbookViewId="0">
      <selection activeCell="A3" sqref="A3:B9"/>
    </sheetView>
  </sheetViews>
  <sheetFormatPr defaultRowHeight="14.4"/>
  <cols>
    <col min="1" max="1" width="12.5546875" bestFit="1" customWidth="1"/>
    <col min="2" max="2" width="16.77734375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80CB-B2FE-4421-BC88-553B8EC0C13E}">
  <dimension ref="A1"/>
  <sheetViews>
    <sheetView workbookViewId="0">
      <selection activeCell="A3" sqref="A3:B12"/>
    </sheetView>
  </sheetViews>
  <sheetFormatPr defaultRowHeight="14.4"/>
  <cols>
    <col min="1" max="1" width="12.5546875" bestFit="1" customWidth="1"/>
    <col min="2" max="2" width="22.554687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S2005"/>
  <sheetViews>
    <sheetView workbookViewId="0">
      <pane ySplit="1" topLeftCell="A2" activePane="bottomLeft" state="frozen"/>
      <selection pane="bottomLeft" activeCell="F1988" sqref="F1988"/>
    </sheetView>
  </sheetViews>
  <sheetFormatPr defaultRowHeight="14.4"/>
  <cols>
    <col min="1" max="1" width="12.77734375" customWidth="1"/>
    <col min="2" max="2" width="15.5546875" customWidth="1"/>
    <col min="3" max="3" width="19.109375" customWidth="1"/>
    <col min="4" max="4" width="17" customWidth="1"/>
    <col min="5" max="5" width="17.33203125" customWidth="1"/>
    <col min="6" max="6" width="13.33203125" bestFit="1" customWidth="1"/>
    <col min="7" max="7" width="15.109375" bestFit="1" customWidth="1"/>
    <col min="8" max="8" width="18" bestFit="1" customWidth="1"/>
    <col min="9" max="9" width="18.109375" bestFit="1" customWidth="1"/>
    <col min="10" max="10" width="21.109375" bestFit="1" customWidth="1"/>
    <col min="11" max="11" width="14.21875" bestFit="1" customWidth="1"/>
    <col min="12" max="12" width="14.33203125" bestFit="1" customWidth="1"/>
    <col min="13" max="13" width="14.21875" bestFit="1" customWidth="1"/>
    <col min="14" max="14" width="7.109375" bestFit="1" customWidth="1"/>
    <col min="15" max="15" width="10.109375" bestFit="1" customWidth="1"/>
    <col min="16" max="16" width="13.6640625" customWidth="1"/>
    <col min="17" max="17" width="15.109375" bestFit="1" customWidth="1"/>
    <col min="18" max="18" width="23.33203125" bestFit="1" customWidth="1"/>
    <col min="19" max="19" width="20" bestFit="1" customWidth="1"/>
  </cols>
  <sheetData>
    <row r="1" spans="1:19" ht="17.399999999999999">
      <c r="A1" s="84" t="s">
        <v>72</v>
      </c>
      <c r="B1" s="85" t="s">
        <v>73</v>
      </c>
      <c r="C1" s="85" t="s">
        <v>74</v>
      </c>
      <c r="D1" s="85" t="s">
        <v>75</v>
      </c>
      <c r="E1" s="85" t="s">
        <v>76</v>
      </c>
      <c r="F1" s="141" t="s">
        <v>77</v>
      </c>
      <c r="G1" s="84" t="s">
        <v>78</v>
      </c>
      <c r="H1" s="85" t="s">
        <v>79</v>
      </c>
      <c r="I1" s="85" t="s">
        <v>80</v>
      </c>
      <c r="J1" s="85" t="s">
        <v>81</v>
      </c>
      <c r="K1" s="85" t="s">
        <v>82</v>
      </c>
      <c r="L1" s="86" t="s">
        <v>3026</v>
      </c>
      <c r="M1" s="86" t="s">
        <v>3027</v>
      </c>
      <c r="N1" s="87" t="s">
        <v>3033</v>
      </c>
      <c r="O1" s="87" t="s">
        <v>3034</v>
      </c>
      <c r="P1" s="88" t="s">
        <v>2781</v>
      </c>
      <c r="Q1" s="89" t="s">
        <v>3043</v>
      </c>
      <c r="R1" s="90" t="s">
        <v>3045</v>
      </c>
      <c r="S1" s="91" t="s">
        <v>3046</v>
      </c>
    </row>
    <row r="2" spans="1:19">
      <c r="A2" s="102" t="s">
        <v>83</v>
      </c>
      <c r="B2" s="2">
        <v>45549</v>
      </c>
      <c r="C2" s="1" t="s">
        <v>84</v>
      </c>
      <c r="D2" s="1" t="s">
        <v>85</v>
      </c>
      <c r="E2" s="1" t="s">
        <v>86</v>
      </c>
      <c r="F2" s="83">
        <v>8</v>
      </c>
      <c r="G2" s="92">
        <v>3620</v>
      </c>
      <c r="H2" s="3">
        <v>15.4</v>
      </c>
      <c r="I2" s="3">
        <v>24500.16</v>
      </c>
      <c r="J2" s="1" t="s">
        <v>87</v>
      </c>
      <c r="K2" s="1" t="s">
        <v>88</v>
      </c>
      <c r="L2" t="str">
        <f>VLOOKUP(D2, Products!A:C, 3, FALSE)</f>
        <v>Apparel</v>
      </c>
      <c r="M2" t="str">
        <f>VLOOKUP(C2, Customers!A:E, 5, FALSE)</f>
        <v>SMB</v>
      </c>
      <c r="N2">
        <f>VLOOKUP(C2, Customers!A:E, 3, FALSE)</f>
        <v>44</v>
      </c>
      <c r="O2" s="93" t="str">
        <f>VLOOKUP(E2, Sales_Reps!A:C, 3, FALSE)</f>
        <v>North</v>
      </c>
      <c r="P2">
        <f>VLOOKUP(D2, Products!A:E, 4, FALSE)</f>
        <v>2509</v>
      </c>
      <c r="Q2">
        <f>IF(COUNTIF($A$2:A2, A2)=2, 1, 0)</f>
        <v>0</v>
      </c>
      <c r="R2">
        <f>IF(ISNA(MATCH(C2, Customers!$A:$A, 0)), 1, 0)</f>
        <v>0</v>
      </c>
      <c r="S2" s="94" t="b">
        <f>VLOOKUP(D2, Products!A:F, 6, FALSE)</f>
        <v>1</v>
      </c>
    </row>
    <row r="3" spans="1:19">
      <c r="A3" s="102" t="s">
        <v>89</v>
      </c>
      <c r="B3" s="2">
        <v>45340</v>
      </c>
      <c r="C3" s="1" t="s">
        <v>90</v>
      </c>
      <c r="D3" s="1" t="s">
        <v>91</v>
      </c>
      <c r="E3" s="1" t="s">
        <v>92</v>
      </c>
      <c r="F3" s="83">
        <v>2</v>
      </c>
      <c r="G3" s="92">
        <v>820</v>
      </c>
      <c r="H3" s="3">
        <v>10.8</v>
      </c>
      <c r="I3" s="3">
        <v>1462.88</v>
      </c>
      <c r="J3" s="1" t="s">
        <v>93</v>
      </c>
      <c r="K3" s="1" t="s">
        <v>94</v>
      </c>
      <c r="L3" t="str">
        <f>VLOOKUP(D3, Products!A:C, 3, FALSE)</f>
        <v>Apparel</v>
      </c>
      <c r="M3" t="str">
        <f>VLOOKUP(C3, Customers!A:E, 5, FALSE)</f>
        <v>Retail</v>
      </c>
      <c r="N3">
        <f>VLOOKUP(C3, Customers!A:E, 3, FALSE)</f>
        <v>39</v>
      </c>
      <c r="O3" s="93" t="str">
        <f>VLOOKUP(E3, Sales_Reps!A:C, 3, FALSE)</f>
        <v>North</v>
      </c>
      <c r="P3">
        <f>VLOOKUP(D3, Products!A:E, 4, FALSE)</f>
        <v>391</v>
      </c>
      <c r="Q3">
        <f>IF(COUNTIF($A$2:A3, A3)=2, 1, 0)</f>
        <v>0</v>
      </c>
      <c r="R3">
        <f>IF(ISNA(MATCH(C3, Customers!$A:$A, 0)), 1, 0)</f>
        <v>0</v>
      </c>
      <c r="S3" s="94" t="b">
        <f>VLOOKUP(D3, Products!A:F, 6, FALSE)</f>
        <v>1</v>
      </c>
    </row>
    <row r="4" spans="1:19">
      <c r="A4" s="102" t="s">
        <v>95</v>
      </c>
      <c r="B4" s="2">
        <v>45371</v>
      </c>
      <c r="C4" s="1" t="s">
        <v>96</v>
      </c>
      <c r="D4" s="1" t="s">
        <v>97</v>
      </c>
      <c r="E4" s="1" t="s">
        <v>98</v>
      </c>
      <c r="F4" s="83">
        <v>8</v>
      </c>
      <c r="G4" s="92">
        <v>470</v>
      </c>
      <c r="H4" s="3">
        <v>3.3</v>
      </c>
      <c r="I4" s="3">
        <v>3635.92</v>
      </c>
      <c r="J4" s="1" t="s">
        <v>93</v>
      </c>
      <c r="K4" s="1" t="s">
        <v>99</v>
      </c>
      <c r="L4" t="str">
        <f>VLOOKUP(D4, Products!A:C, 3, FALSE)</f>
        <v>Sports</v>
      </c>
      <c r="M4" t="str">
        <f>VLOOKUP(C4, Customers!A:E, 5, FALSE)</f>
        <v>Retail</v>
      </c>
      <c r="N4">
        <f>VLOOKUP(C4, Customers!A:E, 3, FALSE)</f>
        <v>52</v>
      </c>
      <c r="O4" s="93" t="str">
        <f>VLOOKUP(E4, Sales_Reps!A:C, 3, FALSE)</f>
        <v>South</v>
      </c>
      <c r="P4">
        <f>VLOOKUP(D4, Products!A:E, 4, FALSE)</f>
        <v>302</v>
      </c>
      <c r="Q4">
        <f>IF(COUNTIF($A$2:A4, A4)=2, 1, 0)</f>
        <v>0</v>
      </c>
      <c r="R4">
        <f>IF(ISNA(MATCH(C4, Customers!$A:$A, 0)), 1, 0)</f>
        <v>0</v>
      </c>
      <c r="S4" s="94" t="b">
        <f>VLOOKUP(D4, Products!A:F, 6, FALSE)</f>
        <v>0</v>
      </c>
    </row>
    <row r="5" spans="1:19">
      <c r="A5" s="102" t="s">
        <v>100</v>
      </c>
      <c r="B5" s="2">
        <v>45413</v>
      </c>
      <c r="C5" s="1" t="s">
        <v>101</v>
      </c>
      <c r="D5" s="1" t="s">
        <v>102</v>
      </c>
      <c r="E5" s="1" t="s">
        <v>103</v>
      </c>
      <c r="F5" s="83">
        <v>1</v>
      </c>
      <c r="G5" s="92">
        <v>3660</v>
      </c>
      <c r="H5" s="3">
        <v>15.7</v>
      </c>
      <c r="I5" s="3">
        <v>3085.38</v>
      </c>
      <c r="J5" s="1" t="s">
        <v>87</v>
      </c>
      <c r="K5" s="1" t="s">
        <v>99</v>
      </c>
      <c r="L5" t="str">
        <f>VLOOKUP(D5, Products!A:C, 3, FALSE)</f>
        <v>Grocery</v>
      </c>
      <c r="M5" t="str">
        <f>VLOOKUP(C5, Customers!A:E, 5, FALSE)</f>
        <v>Corporate</v>
      </c>
      <c r="N5">
        <f>VLOOKUP(C5, Customers!A:E, 3, FALSE)</f>
        <v>46</v>
      </c>
      <c r="O5" s="93" t="str">
        <f>VLOOKUP(E5, Sales_Reps!A:C, 3, FALSE)</f>
        <v>North</v>
      </c>
      <c r="P5">
        <f>VLOOKUP(D5, Products!A:E, 4, FALSE)</f>
        <v>2214</v>
      </c>
      <c r="Q5">
        <f>IF(COUNTIF($A$2:A5, A5)=2, 1, 0)</f>
        <v>0</v>
      </c>
      <c r="R5">
        <f>IF(ISNA(MATCH(C5, Customers!$A:$A, 0)), 1, 0)</f>
        <v>0</v>
      </c>
      <c r="S5" s="94" t="b">
        <f>VLOOKUP(D5, Products!A:F, 6, FALSE)</f>
        <v>0</v>
      </c>
    </row>
    <row r="6" spans="1:19">
      <c r="A6" s="102" t="s">
        <v>104</v>
      </c>
      <c r="B6" s="2">
        <v>45611</v>
      </c>
      <c r="C6" s="1" t="s">
        <v>105</v>
      </c>
      <c r="D6" s="1" t="s">
        <v>106</v>
      </c>
      <c r="E6" s="1" t="s">
        <v>107</v>
      </c>
      <c r="F6" s="83">
        <v>1</v>
      </c>
      <c r="G6" s="92">
        <v>3160</v>
      </c>
      <c r="H6" s="3">
        <v>26</v>
      </c>
      <c r="I6" s="3">
        <v>2338.4</v>
      </c>
      <c r="J6" s="1" t="s">
        <v>87</v>
      </c>
      <c r="K6" s="1" t="s">
        <v>94</v>
      </c>
      <c r="L6" t="str">
        <f>VLOOKUP(D6, Products!A:C, 3, FALSE)</f>
        <v>Apparel</v>
      </c>
      <c r="M6" t="str">
        <f>VLOOKUP(C6, Customers!A:E, 5, FALSE)</f>
        <v>Retail</v>
      </c>
      <c r="N6">
        <f>VLOOKUP(C6, Customers!A:E, 3, FALSE)</f>
        <v>36</v>
      </c>
      <c r="O6" s="93" t="str">
        <f>VLOOKUP(E6, Sales_Reps!A:C, 3, FALSE)</f>
        <v>North</v>
      </c>
      <c r="P6">
        <f>VLOOKUP(D6, Products!A:E, 4, FALSE)</f>
        <v>1886</v>
      </c>
      <c r="Q6">
        <f>IF(COUNTIF($A$2:A6, A6)=2, 1, 0)</f>
        <v>0</v>
      </c>
      <c r="R6">
        <f>IF(ISNA(MATCH(C6, Customers!$A:$A, 0)), 1, 0)</f>
        <v>0</v>
      </c>
      <c r="S6" s="94" t="b">
        <f>VLOOKUP(D6, Products!A:F, 6, FALSE)</f>
        <v>1</v>
      </c>
    </row>
    <row r="7" spans="1:19">
      <c r="A7" s="102" t="s">
        <v>108</v>
      </c>
      <c r="B7" s="2">
        <v>45406</v>
      </c>
      <c r="C7" s="1" t="s">
        <v>109</v>
      </c>
      <c r="D7" s="1" t="s">
        <v>110</v>
      </c>
      <c r="E7" s="1" t="s">
        <v>111</v>
      </c>
      <c r="F7" s="83">
        <v>4</v>
      </c>
      <c r="G7" s="92">
        <v>370</v>
      </c>
      <c r="H7" s="3">
        <v>29</v>
      </c>
      <c r="I7" s="3">
        <v>1050.8</v>
      </c>
      <c r="J7" s="1" t="s">
        <v>87</v>
      </c>
      <c r="K7" s="1" t="s">
        <v>112</v>
      </c>
      <c r="L7" t="str">
        <f>VLOOKUP(D7, Products!A:C, 3, FALSE)</f>
        <v>Home</v>
      </c>
      <c r="M7" t="str">
        <f>VLOOKUP(C7, Customers!A:E, 5, FALSE)</f>
        <v>Retail</v>
      </c>
      <c r="N7">
        <f>VLOOKUP(C7, Customers!A:E, 3, FALSE)</f>
        <v>36</v>
      </c>
      <c r="O7" s="93" t="str">
        <f>VLOOKUP(E7, Sales_Reps!A:C, 3, FALSE)</f>
        <v>West</v>
      </c>
      <c r="P7">
        <f>VLOOKUP(D7, Products!A:E, 4, FALSE)</f>
        <v>288</v>
      </c>
      <c r="Q7">
        <f>IF(COUNTIF($A$2:A7, A7)=2, 1, 0)</f>
        <v>0</v>
      </c>
      <c r="R7">
        <f>IF(ISNA(MATCH(C7, Customers!$A:$A, 0)), 1, 0)</f>
        <v>0</v>
      </c>
      <c r="S7" s="94" t="b">
        <f>VLOOKUP(D7, Products!A:F, 6, FALSE)</f>
        <v>1</v>
      </c>
    </row>
    <row r="8" spans="1:19">
      <c r="A8" s="102" t="s">
        <v>113</v>
      </c>
      <c r="B8" s="2">
        <v>45455</v>
      </c>
      <c r="C8" s="1" t="s">
        <v>114</v>
      </c>
      <c r="D8" s="1" t="s">
        <v>115</v>
      </c>
      <c r="E8" s="1" t="s">
        <v>116</v>
      </c>
      <c r="F8" s="83">
        <v>3</v>
      </c>
      <c r="G8" s="92">
        <v>960</v>
      </c>
      <c r="H8" s="3">
        <v>5.8</v>
      </c>
      <c r="I8" s="3">
        <v>2712.96</v>
      </c>
      <c r="J8" s="1" t="s">
        <v>87</v>
      </c>
      <c r="K8" s="1" t="s">
        <v>117</v>
      </c>
      <c r="L8" t="str">
        <f>VLOOKUP(D8, Products!A:C, 3, FALSE)</f>
        <v>Sports</v>
      </c>
      <c r="M8" t="str">
        <f>VLOOKUP(C8, Customers!A:E, 5, FALSE)</f>
        <v>Retail</v>
      </c>
      <c r="N8">
        <f>VLOOKUP(C8, Customers!A:E, 3, FALSE)</f>
        <v>27</v>
      </c>
      <c r="O8" s="93" t="str">
        <f>VLOOKUP(E8, Sales_Reps!A:C, 3, FALSE)</f>
        <v>West</v>
      </c>
      <c r="P8">
        <f>VLOOKUP(D8, Products!A:E, 4, FALSE)</f>
        <v>705</v>
      </c>
      <c r="Q8">
        <f>IF(COUNTIF($A$2:A8, A8)=2, 1, 0)</f>
        <v>0</v>
      </c>
      <c r="R8">
        <f>IF(ISNA(MATCH(C8, Customers!$A:$A, 0)), 1, 0)</f>
        <v>0</v>
      </c>
      <c r="S8" s="94" t="b">
        <f>VLOOKUP(D8, Products!A:F, 6, FALSE)</f>
        <v>1</v>
      </c>
    </row>
    <row r="9" spans="1:19">
      <c r="A9" s="102" t="s">
        <v>118</v>
      </c>
      <c r="B9" s="2">
        <v>45617</v>
      </c>
      <c r="C9" s="1" t="s">
        <v>119</v>
      </c>
      <c r="D9" s="1" t="s">
        <v>120</v>
      </c>
      <c r="E9" s="1" t="s">
        <v>121</v>
      </c>
      <c r="F9" s="83">
        <v>8</v>
      </c>
      <c r="G9" s="92">
        <v>1430</v>
      </c>
      <c r="H9" s="3">
        <v>2.4</v>
      </c>
      <c r="I9" s="3">
        <v>11165.44</v>
      </c>
      <c r="J9" s="1" t="s">
        <v>87</v>
      </c>
      <c r="K9" s="1" t="s">
        <v>117</v>
      </c>
      <c r="L9" t="str">
        <f>VLOOKUP(D9, Products!A:C, 3, FALSE)</f>
        <v>Electronics</v>
      </c>
      <c r="M9" t="str">
        <f>VLOOKUP(C9, Customers!A:E, 5, FALSE)</f>
        <v>Corporate</v>
      </c>
      <c r="N9">
        <f>VLOOKUP(C9, Customers!A:E, 3, FALSE)</f>
        <v>57</v>
      </c>
      <c r="O9" s="93" t="str">
        <f>VLOOKUP(E9, Sales_Reps!A:C, 3, FALSE)</f>
        <v>East</v>
      </c>
      <c r="P9">
        <f>VLOOKUP(D9, Products!A:E, 4, FALSE)</f>
        <v>861</v>
      </c>
      <c r="Q9">
        <f>IF(COUNTIF($A$2:A9, A9)=2, 1, 0)</f>
        <v>0</v>
      </c>
      <c r="R9">
        <f>IF(ISNA(MATCH(C9, Customers!$A:$A, 0)), 1, 0)</f>
        <v>0</v>
      </c>
      <c r="S9" s="94" t="b">
        <f>VLOOKUP(D9, Products!A:F, 6, FALSE)</f>
        <v>1</v>
      </c>
    </row>
    <row r="10" spans="1:19">
      <c r="A10" s="102" t="s">
        <v>122</v>
      </c>
      <c r="B10" s="2">
        <v>45549</v>
      </c>
      <c r="C10" s="1" t="s">
        <v>123</v>
      </c>
      <c r="D10" s="1" t="s">
        <v>124</v>
      </c>
      <c r="E10" s="1" t="s">
        <v>107</v>
      </c>
      <c r="F10" s="83">
        <v>3</v>
      </c>
      <c r="G10" s="92">
        <v>5490</v>
      </c>
      <c r="H10" s="3">
        <v>14.2</v>
      </c>
      <c r="I10" s="3">
        <v>14131.26</v>
      </c>
      <c r="J10" s="1" t="s">
        <v>87</v>
      </c>
      <c r="K10" s="1" t="s">
        <v>117</v>
      </c>
      <c r="L10" t="str">
        <f>VLOOKUP(D10, Products!A:C, 3, FALSE)</f>
        <v>Home</v>
      </c>
      <c r="M10" t="str">
        <f>VLOOKUP(C10, Customers!A:E, 5, FALSE)</f>
        <v>Retail</v>
      </c>
      <c r="N10">
        <f>VLOOKUP(C10, Customers!A:E, 3, FALSE)</f>
        <v>42</v>
      </c>
      <c r="O10" s="93" t="str">
        <f>VLOOKUP(E10, Sales_Reps!A:C, 3, FALSE)</f>
        <v>North</v>
      </c>
      <c r="P10">
        <f>VLOOKUP(D10, Products!A:E, 4, FALSE)</f>
        <v>2549</v>
      </c>
      <c r="Q10">
        <f>IF(COUNTIF($A$2:A10, A10)=2, 1, 0)</f>
        <v>0</v>
      </c>
      <c r="R10">
        <f>IF(ISNA(MATCH(C10, Customers!$A:$A, 0)), 1, 0)</f>
        <v>0</v>
      </c>
      <c r="S10" s="94" t="b">
        <f>VLOOKUP(D10, Products!A:F, 6, FALSE)</f>
        <v>1</v>
      </c>
    </row>
    <row r="11" spans="1:19">
      <c r="A11" s="102" t="s">
        <v>125</v>
      </c>
      <c r="B11" s="2">
        <v>45396</v>
      </c>
      <c r="C11" s="1" t="s">
        <v>126</v>
      </c>
      <c r="D11" s="1" t="s">
        <v>127</v>
      </c>
      <c r="E11" s="1" t="s">
        <v>128</v>
      </c>
      <c r="F11" s="83">
        <v>3</v>
      </c>
      <c r="G11" s="92">
        <v>970</v>
      </c>
      <c r="H11" s="3">
        <v>1.2</v>
      </c>
      <c r="I11" s="3">
        <v>2875.08</v>
      </c>
      <c r="J11" s="1" t="s">
        <v>87</v>
      </c>
      <c r="K11" s="1" t="s">
        <v>88</v>
      </c>
      <c r="L11" t="str">
        <f>VLOOKUP(D11, Products!A:C, 3, FALSE)</f>
        <v>Grocery</v>
      </c>
      <c r="M11" t="str">
        <f>VLOOKUP(C11, Customers!A:E, 5, FALSE)</f>
        <v>Retail</v>
      </c>
      <c r="N11">
        <f>VLOOKUP(C11, Customers!A:E, 3, FALSE)</f>
        <v>56</v>
      </c>
      <c r="O11" s="93" t="str">
        <f>VLOOKUP(E11, Sales_Reps!A:C, 3, FALSE)</f>
        <v>West</v>
      </c>
      <c r="P11">
        <f>VLOOKUP(D11, Products!A:E, 4, FALSE)</f>
        <v>434</v>
      </c>
      <c r="Q11">
        <f>IF(COUNTIF($A$2:A11, A11)=2, 1, 0)</f>
        <v>0</v>
      </c>
      <c r="R11">
        <f>IF(ISNA(MATCH(C11, Customers!$A:$A, 0)), 1, 0)</f>
        <v>0</v>
      </c>
      <c r="S11" s="94" t="b">
        <f>VLOOKUP(D11, Products!A:F, 6, FALSE)</f>
        <v>1</v>
      </c>
    </row>
    <row r="12" spans="1:19">
      <c r="A12" s="102" t="s">
        <v>129</v>
      </c>
      <c r="B12" s="2">
        <v>45560</v>
      </c>
      <c r="C12" s="1" t="s">
        <v>130</v>
      </c>
      <c r="D12" s="1" t="s">
        <v>131</v>
      </c>
      <c r="E12" s="1" t="s">
        <v>132</v>
      </c>
      <c r="F12" s="83">
        <v>7</v>
      </c>
      <c r="G12" s="92">
        <v>2270</v>
      </c>
      <c r="H12" s="3">
        <v>7.1</v>
      </c>
      <c r="I12" s="3">
        <v>14761.81</v>
      </c>
      <c r="J12" s="1" t="s">
        <v>93</v>
      </c>
      <c r="K12" s="1" t="s">
        <v>133</v>
      </c>
      <c r="L12" t="str">
        <f>VLOOKUP(D12, Products!A:C, 3, FALSE)</f>
        <v>Grocery</v>
      </c>
      <c r="M12" t="str">
        <f>VLOOKUP(C12, Customers!A:E, 5, FALSE)</f>
        <v>Retail</v>
      </c>
      <c r="N12">
        <f>VLOOKUP(C12, Customers!A:E, 3, FALSE)</f>
        <v>60</v>
      </c>
      <c r="O12" s="93" t="str">
        <f>VLOOKUP(E12, Sales_Reps!A:C, 3, FALSE)</f>
        <v>South</v>
      </c>
      <c r="P12">
        <f>VLOOKUP(D12, Products!A:E, 4, FALSE)</f>
        <v>1203</v>
      </c>
      <c r="Q12">
        <f>IF(COUNTIF($A$2:A12, A12)=2, 1, 0)</f>
        <v>0</v>
      </c>
      <c r="R12">
        <f>IF(ISNA(MATCH(C12, Customers!$A:$A, 0)), 1, 0)</f>
        <v>0</v>
      </c>
      <c r="S12" s="94" t="b">
        <f>VLOOKUP(D12, Products!A:F, 6, FALSE)</f>
        <v>1</v>
      </c>
    </row>
    <row r="13" spans="1:19">
      <c r="A13" s="102" t="s">
        <v>134</v>
      </c>
      <c r="B13" s="2">
        <v>45332</v>
      </c>
      <c r="C13" s="1" t="s">
        <v>126</v>
      </c>
      <c r="D13" s="1" t="s">
        <v>135</v>
      </c>
      <c r="E13" s="1" t="s">
        <v>116</v>
      </c>
      <c r="F13" s="83">
        <v>9</v>
      </c>
      <c r="G13" s="92">
        <v>2640</v>
      </c>
      <c r="H13" s="3">
        <v>21.7</v>
      </c>
      <c r="I13" s="3">
        <v>18604.080000000002</v>
      </c>
      <c r="J13" s="1" t="s">
        <v>87</v>
      </c>
      <c r="K13" s="1" t="s">
        <v>88</v>
      </c>
      <c r="L13" t="str">
        <f>VLOOKUP(D13, Products!A:C, 3, FALSE)</f>
        <v>Electronics</v>
      </c>
      <c r="M13" t="str">
        <f>VLOOKUP(C13, Customers!A:E, 5, FALSE)</f>
        <v>Retail</v>
      </c>
      <c r="N13">
        <f>VLOOKUP(C13, Customers!A:E, 3, FALSE)</f>
        <v>56</v>
      </c>
      <c r="O13" s="93" t="str">
        <f>VLOOKUP(E13, Sales_Reps!A:C, 3, FALSE)</f>
        <v>West</v>
      </c>
      <c r="P13">
        <f>VLOOKUP(D13, Products!A:E, 4, FALSE)</f>
        <v>1149</v>
      </c>
      <c r="Q13">
        <f>IF(COUNTIF($A$2:A13, A13)=2, 1, 0)</f>
        <v>0</v>
      </c>
      <c r="R13">
        <f>IF(ISNA(MATCH(C13, Customers!$A:$A, 0)), 1, 0)</f>
        <v>0</v>
      </c>
      <c r="S13" s="94" t="b">
        <f>VLOOKUP(D13, Products!A:F, 6, FALSE)</f>
        <v>1</v>
      </c>
    </row>
    <row r="14" spans="1:19">
      <c r="A14" s="102" t="s">
        <v>136</v>
      </c>
      <c r="B14" s="2">
        <v>45507</v>
      </c>
      <c r="C14" s="1" t="s">
        <v>137</v>
      </c>
      <c r="D14" s="1" t="s">
        <v>138</v>
      </c>
      <c r="E14" s="1" t="s">
        <v>139</v>
      </c>
      <c r="F14" s="83">
        <v>3</v>
      </c>
      <c r="G14" s="92">
        <v>2600</v>
      </c>
      <c r="H14" s="3">
        <v>4.3</v>
      </c>
      <c r="I14" s="3">
        <v>7464.6</v>
      </c>
      <c r="J14" s="1" t="s">
        <v>140</v>
      </c>
      <c r="K14" s="1" t="s">
        <v>99</v>
      </c>
      <c r="L14" t="str">
        <f>VLOOKUP(D14, Products!A:C, 3, FALSE)</f>
        <v>Electronics</v>
      </c>
      <c r="M14" t="str">
        <f>VLOOKUP(C14, Customers!A:E, 5, FALSE)</f>
        <v>SMB</v>
      </c>
      <c r="N14">
        <f>VLOOKUP(C14, Customers!A:E, 3, FALSE)</f>
        <v>27</v>
      </c>
      <c r="O14" s="93" t="str">
        <f>VLOOKUP(E14, Sales_Reps!A:C, 3, FALSE)</f>
        <v>North</v>
      </c>
      <c r="P14">
        <f>VLOOKUP(D14, Products!A:E, 4, FALSE)</f>
        <v>1052</v>
      </c>
      <c r="Q14">
        <f>IF(COUNTIF($A$2:A14, A14)=2, 1, 0)</f>
        <v>0</v>
      </c>
      <c r="R14">
        <f>IF(ISNA(MATCH(C14, Customers!$A:$A, 0)), 1, 0)</f>
        <v>0</v>
      </c>
      <c r="S14" s="94" t="b">
        <f>VLOOKUP(D14, Products!A:F, 6, FALSE)</f>
        <v>1</v>
      </c>
    </row>
    <row r="15" spans="1:19">
      <c r="A15" s="102" t="s">
        <v>141</v>
      </c>
      <c r="B15" s="2">
        <v>45466</v>
      </c>
      <c r="C15" s="1" t="s">
        <v>142</v>
      </c>
      <c r="D15" s="1" t="s">
        <v>143</v>
      </c>
      <c r="E15" s="1" t="s">
        <v>111</v>
      </c>
      <c r="F15" s="83">
        <v>3</v>
      </c>
      <c r="G15" s="92">
        <v>3250</v>
      </c>
      <c r="H15" s="3">
        <v>14.1</v>
      </c>
      <c r="I15" s="3">
        <v>8375.25</v>
      </c>
      <c r="J15" s="1" t="s">
        <v>144</v>
      </c>
      <c r="K15" s="1" t="s">
        <v>88</v>
      </c>
      <c r="L15" t="str">
        <f>VLOOKUP(D15, Products!A:C, 3, FALSE)</f>
        <v>Home</v>
      </c>
      <c r="M15" t="str">
        <f>VLOOKUP(C15, Customers!A:E, 5, FALSE)</f>
        <v>SMB</v>
      </c>
      <c r="N15">
        <f>VLOOKUP(C15, Customers!A:E, 3, FALSE)</f>
        <v>39</v>
      </c>
      <c r="O15" s="93" t="str">
        <f>VLOOKUP(E15, Sales_Reps!A:C, 3, FALSE)</f>
        <v>West</v>
      </c>
      <c r="P15">
        <f>VLOOKUP(D15, Products!A:E, 4, FALSE)</f>
        <v>1556</v>
      </c>
      <c r="Q15">
        <f>IF(COUNTIF($A$2:A15, A15)=2, 1, 0)</f>
        <v>0</v>
      </c>
      <c r="R15">
        <f>IF(ISNA(MATCH(C15, Customers!$A:$A, 0)), 1, 0)</f>
        <v>0</v>
      </c>
      <c r="S15" s="94" t="b">
        <f>VLOOKUP(D15, Products!A:F, 6, FALSE)</f>
        <v>1</v>
      </c>
    </row>
    <row r="16" spans="1:19">
      <c r="A16" s="102" t="s">
        <v>145</v>
      </c>
      <c r="B16" s="2">
        <v>45365</v>
      </c>
      <c r="C16" s="1" t="s">
        <v>146</v>
      </c>
      <c r="D16" s="1" t="s">
        <v>147</v>
      </c>
      <c r="E16" s="1" t="s">
        <v>148</v>
      </c>
      <c r="F16" s="83">
        <v>1</v>
      </c>
      <c r="G16" s="92">
        <v>190</v>
      </c>
      <c r="H16" s="3">
        <v>20.7</v>
      </c>
      <c r="I16" s="3">
        <v>150.66999999999999</v>
      </c>
      <c r="J16" s="1" t="s">
        <v>87</v>
      </c>
      <c r="K16" s="1" t="s">
        <v>88</v>
      </c>
      <c r="L16" t="str">
        <f>VLOOKUP(D16, Products!A:C, 3, FALSE)</f>
        <v>Sports</v>
      </c>
      <c r="M16" t="str">
        <f>VLOOKUP(C16, Customers!A:E, 5, FALSE)</f>
        <v>Retail</v>
      </c>
      <c r="N16">
        <f>VLOOKUP(C16, Customers!A:E, 3, FALSE)</f>
        <v>38</v>
      </c>
      <c r="O16" s="93" t="str">
        <f>VLOOKUP(E16, Sales_Reps!A:C, 3, FALSE)</f>
        <v>North</v>
      </c>
      <c r="P16">
        <f>VLOOKUP(D16, Products!A:E, 4, FALSE)</f>
        <v>147</v>
      </c>
      <c r="Q16">
        <f>IF(COUNTIF($A$2:A16, A16)=2, 1, 0)</f>
        <v>0</v>
      </c>
      <c r="R16">
        <f>IF(ISNA(MATCH(C16, Customers!$A:$A, 0)), 1, 0)</f>
        <v>0</v>
      </c>
      <c r="S16" s="94" t="b">
        <f>VLOOKUP(D16, Products!A:F, 6, FALSE)</f>
        <v>1</v>
      </c>
    </row>
    <row r="17" spans="1:19">
      <c r="A17" s="102" t="s">
        <v>149</v>
      </c>
      <c r="B17" s="2">
        <v>45546</v>
      </c>
      <c r="C17" s="1" t="s">
        <v>150</v>
      </c>
      <c r="D17" s="1" t="s">
        <v>151</v>
      </c>
      <c r="E17" s="1" t="s">
        <v>98</v>
      </c>
      <c r="F17" s="83">
        <v>7</v>
      </c>
      <c r="G17" s="92">
        <v>2400</v>
      </c>
      <c r="H17" s="3">
        <v>10.199999999999999</v>
      </c>
      <c r="I17" s="3">
        <v>15086.4</v>
      </c>
      <c r="J17" s="1" t="s">
        <v>93</v>
      </c>
      <c r="K17" s="1" t="s">
        <v>88</v>
      </c>
      <c r="L17" t="str">
        <f>VLOOKUP(D17, Products!A:C, 3, FALSE)</f>
        <v>Sports</v>
      </c>
      <c r="M17" t="str">
        <f>VLOOKUP(C17, Customers!A:E, 5, FALSE)</f>
        <v>Retail</v>
      </c>
      <c r="N17">
        <f>VLOOKUP(C17, Customers!A:E, 3, FALSE)</f>
        <v>63</v>
      </c>
      <c r="O17" s="93" t="str">
        <f>VLOOKUP(E17, Sales_Reps!A:C, 3, FALSE)</f>
        <v>South</v>
      </c>
      <c r="P17">
        <f>VLOOKUP(D17, Products!A:E, 4, FALSE)</f>
        <v>974</v>
      </c>
      <c r="Q17">
        <f>IF(COUNTIF($A$2:A17, A17)=2, 1, 0)</f>
        <v>0</v>
      </c>
      <c r="R17">
        <f>IF(ISNA(MATCH(C17, Customers!$A:$A, 0)), 1, 0)</f>
        <v>0</v>
      </c>
      <c r="S17" s="94" t="b">
        <f>VLOOKUP(D17, Products!A:F, 6, FALSE)</f>
        <v>1</v>
      </c>
    </row>
    <row r="18" spans="1:19">
      <c r="A18" s="102" t="s">
        <v>152</v>
      </c>
      <c r="B18" s="2">
        <v>45512</v>
      </c>
      <c r="C18" s="1" t="s">
        <v>153</v>
      </c>
      <c r="D18" s="1" t="s">
        <v>102</v>
      </c>
      <c r="E18" s="1" t="s">
        <v>154</v>
      </c>
      <c r="F18" s="83">
        <v>4</v>
      </c>
      <c r="G18" s="92">
        <v>3660</v>
      </c>
      <c r="H18" s="3">
        <v>2.6</v>
      </c>
      <c r="I18" s="3">
        <v>14259.36</v>
      </c>
      <c r="J18" s="1" t="s">
        <v>87</v>
      </c>
      <c r="K18" s="1" t="s">
        <v>117</v>
      </c>
      <c r="L18" t="str">
        <f>VLOOKUP(D18, Products!A:C, 3, FALSE)</f>
        <v>Grocery</v>
      </c>
      <c r="M18" t="str">
        <f>VLOOKUP(C18, Customers!A:E, 5, FALSE)</f>
        <v>SMB</v>
      </c>
      <c r="N18">
        <f>VLOOKUP(C18, Customers!A:E, 3, FALSE)</f>
        <v>46</v>
      </c>
      <c r="O18" s="93" t="str">
        <f>VLOOKUP(E18, Sales_Reps!A:C, 3, FALSE)</f>
        <v>East</v>
      </c>
      <c r="P18">
        <f>VLOOKUP(D18, Products!A:E, 4, FALSE)</f>
        <v>2214</v>
      </c>
      <c r="Q18">
        <f>IF(COUNTIF($A$2:A18, A18)=2, 1, 0)</f>
        <v>0</v>
      </c>
      <c r="R18">
        <f>IF(ISNA(MATCH(C18, Customers!$A:$A, 0)), 1, 0)</f>
        <v>0</v>
      </c>
      <c r="S18" s="94" t="b">
        <f>VLOOKUP(D18, Products!A:F, 6, FALSE)</f>
        <v>0</v>
      </c>
    </row>
    <row r="19" spans="1:19">
      <c r="A19" s="102" t="s">
        <v>155</v>
      </c>
      <c r="B19" s="2">
        <v>45654</v>
      </c>
      <c r="C19" s="1" t="s">
        <v>156</v>
      </c>
      <c r="D19" s="1" t="s">
        <v>157</v>
      </c>
      <c r="E19" s="1" t="s">
        <v>158</v>
      </c>
      <c r="F19" s="83">
        <v>8</v>
      </c>
      <c r="G19" s="92">
        <v>3450</v>
      </c>
      <c r="H19" s="3">
        <v>18.5</v>
      </c>
      <c r="I19" s="3">
        <v>22494</v>
      </c>
      <c r="J19" s="1" t="s">
        <v>87</v>
      </c>
      <c r="K19" s="1" t="s">
        <v>133</v>
      </c>
      <c r="L19" t="str">
        <f>VLOOKUP(D19, Products!A:C, 3, FALSE)</f>
        <v>Beauty</v>
      </c>
      <c r="M19" t="str">
        <f>VLOOKUP(C19, Customers!A:E, 5, FALSE)</f>
        <v>Corporate</v>
      </c>
      <c r="N19">
        <f>VLOOKUP(C19, Customers!A:E, 3, FALSE)</f>
        <v>32</v>
      </c>
      <c r="O19" s="93" t="str">
        <f>VLOOKUP(E19, Sales_Reps!A:C, 3, FALSE)</f>
        <v>East</v>
      </c>
      <c r="P19">
        <f>VLOOKUP(D19, Products!A:E, 4, FALSE)</f>
        <v>2420</v>
      </c>
      <c r="Q19">
        <f>IF(COUNTIF($A$2:A19, A19)=2, 1, 0)</f>
        <v>0</v>
      </c>
      <c r="R19">
        <f>IF(ISNA(MATCH(C19, Customers!$A:$A, 0)), 1, 0)</f>
        <v>0</v>
      </c>
      <c r="S19" s="94" t="b">
        <f>VLOOKUP(D19, Products!A:F, 6, FALSE)</f>
        <v>1</v>
      </c>
    </row>
    <row r="20" spans="1:19">
      <c r="A20" s="102" t="s">
        <v>159</v>
      </c>
      <c r="B20" s="2">
        <v>45626</v>
      </c>
      <c r="C20" s="1" t="s">
        <v>160</v>
      </c>
      <c r="D20" s="1" t="s">
        <v>161</v>
      </c>
      <c r="E20" s="1" t="s">
        <v>154</v>
      </c>
      <c r="F20" s="83">
        <v>5</v>
      </c>
      <c r="G20" s="92">
        <v>3450</v>
      </c>
      <c r="H20" s="3">
        <v>7.3</v>
      </c>
      <c r="I20" s="3">
        <v>15990.75</v>
      </c>
      <c r="J20" s="1" t="s">
        <v>87</v>
      </c>
      <c r="K20" s="1" t="s">
        <v>112</v>
      </c>
      <c r="L20" t="str">
        <f>VLOOKUP(D20, Products!A:C, 3, FALSE)</f>
        <v>Sports</v>
      </c>
      <c r="M20" t="str">
        <f>VLOOKUP(C20, Customers!A:E, 5, FALSE)</f>
        <v>Retail</v>
      </c>
      <c r="N20">
        <f>VLOOKUP(C20, Customers!A:E, 3, FALSE)</f>
        <v>54</v>
      </c>
      <c r="O20" s="93" t="str">
        <f>VLOOKUP(E20, Sales_Reps!A:C, 3, FALSE)</f>
        <v>East</v>
      </c>
      <c r="P20">
        <f>VLOOKUP(D20, Products!A:E, 4, FALSE)</f>
        <v>2467</v>
      </c>
      <c r="Q20">
        <f>IF(COUNTIF($A$2:A20, A20)=2, 1, 0)</f>
        <v>0</v>
      </c>
      <c r="R20">
        <f>IF(ISNA(MATCH(C20, Customers!$A:$A, 0)), 1, 0)</f>
        <v>0</v>
      </c>
      <c r="S20" s="94" t="b">
        <f>VLOOKUP(D20, Products!A:F, 6, FALSE)</f>
        <v>1</v>
      </c>
    </row>
    <row r="21" spans="1:19">
      <c r="A21" s="102" t="s">
        <v>162</v>
      </c>
      <c r="B21" s="2">
        <v>45394</v>
      </c>
      <c r="C21" s="1" t="s">
        <v>163</v>
      </c>
      <c r="D21" s="1" t="s">
        <v>164</v>
      </c>
      <c r="E21" s="1" t="s">
        <v>154</v>
      </c>
      <c r="F21" s="83">
        <v>8</v>
      </c>
      <c r="G21" s="92">
        <v>1080</v>
      </c>
      <c r="H21" s="3">
        <v>2.2000000000000002</v>
      </c>
      <c r="I21" s="3">
        <v>8449.92</v>
      </c>
      <c r="J21" s="1" t="s">
        <v>87</v>
      </c>
      <c r="K21" s="1" t="s">
        <v>94</v>
      </c>
      <c r="L21" t="str">
        <f>VLOOKUP(D21, Products!A:C, 3, FALSE)</f>
        <v>Home</v>
      </c>
      <c r="M21" t="str">
        <f>VLOOKUP(C21, Customers!A:E, 5, FALSE)</f>
        <v>Retail</v>
      </c>
      <c r="N21">
        <f>VLOOKUP(C21, Customers!A:E, 3, FALSE)</f>
        <v>49</v>
      </c>
      <c r="O21" s="93" t="str">
        <f>VLOOKUP(E21, Sales_Reps!A:C, 3, FALSE)</f>
        <v>East</v>
      </c>
      <c r="P21">
        <f>VLOOKUP(D21, Products!A:E, 4, FALSE)</f>
        <v>519</v>
      </c>
      <c r="Q21">
        <f>IF(COUNTIF($A$2:A21, A21)=2, 1, 0)</f>
        <v>0</v>
      </c>
      <c r="R21">
        <f>IF(ISNA(MATCH(C21, Customers!$A:$A, 0)), 1, 0)</f>
        <v>0</v>
      </c>
      <c r="S21" s="94" t="b">
        <f>VLOOKUP(D21, Products!A:F, 6, FALSE)</f>
        <v>1</v>
      </c>
    </row>
    <row r="22" spans="1:19">
      <c r="A22" s="102" t="s">
        <v>165</v>
      </c>
      <c r="B22" s="2">
        <v>45470</v>
      </c>
      <c r="C22" s="1" t="s">
        <v>166</v>
      </c>
      <c r="D22" s="1" t="s">
        <v>167</v>
      </c>
      <c r="E22" s="1" t="s">
        <v>103</v>
      </c>
      <c r="F22" s="83">
        <v>7</v>
      </c>
      <c r="G22" s="92">
        <v>2480</v>
      </c>
      <c r="H22" s="3">
        <v>28.7</v>
      </c>
      <c r="I22" s="3">
        <v>12377.68</v>
      </c>
      <c r="J22" s="1" t="s">
        <v>87</v>
      </c>
      <c r="K22" s="1" t="s">
        <v>133</v>
      </c>
      <c r="L22" t="str">
        <f>VLOOKUP(D22, Products!A:C, 3, FALSE)</f>
        <v>Apparel</v>
      </c>
      <c r="M22" t="str">
        <f>VLOOKUP(C22, Customers!A:E, 5, FALSE)</f>
        <v>Retail</v>
      </c>
      <c r="N22">
        <f>VLOOKUP(C22, Customers!A:E, 3, FALSE)</f>
        <v>32</v>
      </c>
      <c r="O22" s="93" t="str">
        <f>VLOOKUP(E22, Sales_Reps!A:C, 3, FALSE)</f>
        <v>North</v>
      </c>
      <c r="P22">
        <f>VLOOKUP(D22, Products!A:E, 4, FALSE)</f>
        <v>1173</v>
      </c>
      <c r="Q22">
        <f>IF(COUNTIF($A$2:A22, A22)=2, 1, 0)</f>
        <v>0</v>
      </c>
      <c r="R22">
        <f>IF(ISNA(MATCH(C22, Customers!$A:$A, 0)), 1, 0)</f>
        <v>0</v>
      </c>
      <c r="S22" s="94" t="b">
        <f>VLOOKUP(D22, Products!A:F, 6, FALSE)</f>
        <v>1</v>
      </c>
    </row>
    <row r="23" spans="1:19">
      <c r="A23" s="102" t="s">
        <v>168</v>
      </c>
      <c r="B23" s="2">
        <v>45354</v>
      </c>
      <c r="C23" s="1" t="s">
        <v>169</v>
      </c>
      <c r="D23" s="1" t="s">
        <v>143</v>
      </c>
      <c r="E23" s="1" t="s">
        <v>170</v>
      </c>
      <c r="F23" s="83">
        <v>4</v>
      </c>
      <c r="G23" s="92">
        <v>3250</v>
      </c>
      <c r="H23" s="3">
        <v>24.6</v>
      </c>
      <c r="I23" s="3">
        <v>9802</v>
      </c>
      <c r="J23" s="1" t="s">
        <v>87</v>
      </c>
      <c r="K23" s="1" t="s">
        <v>112</v>
      </c>
      <c r="L23" t="str">
        <f>VLOOKUP(D23, Products!A:C, 3, FALSE)</f>
        <v>Home</v>
      </c>
      <c r="M23" t="str">
        <f>VLOOKUP(C23, Customers!A:E, 5, FALSE)</f>
        <v>Retail</v>
      </c>
      <c r="N23">
        <f>VLOOKUP(C23, Customers!A:E, 3, FALSE)</f>
        <v>34</v>
      </c>
      <c r="O23" s="93" t="str">
        <f>VLOOKUP(E23, Sales_Reps!A:C, 3, FALSE)</f>
        <v>West</v>
      </c>
      <c r="P23">
        <f>VLOOKUP(D23, Products!A:E, 4, FALSE)</f>
        <v>1556</v>
      </c>
      <c r="Q23">
        <f>IF(COUNTIF($A$2:A23, A23)=2, 1, 0)</f>
        <v>0</v>
      </c>
      <c r="R23">
        <f>IF(ISNA(MATCH(C23, Customers!$A:$A, 0)), 1, 0)</f>
        <v>0</v>
      </c>
      <c r="S23" s="94" t="b">
        <f>VLOOKUP(D23, Products!A:F, 6, FALSE)</f>
        <v>1</v>
      </c>
    </row>
    <row r="24" spans="1:19">
      <c r="A24" s="102" t="s">
        <v>171</v>
      </c>
      <c r="B24" s="2">
        <v>45530</v>
      </c>
      <c r="C24" s="1" t="s">
        <v>172</v>
      </c>
      <c r="D24" s="1" t="s">
        <v>173</v>
      </c>
      <c r="E24" s="1" t="s">
        <v>170</v>
      </c>
      <c r="F24" s="83">
        <v>9</v>
      </c>
      <c r="G24" s="92">
        <v>2720</v>
      </c>
      <c r="H24" s="3">
        <v>26.2</v>
      </c>
      <c r="I24" s="3">
        <v>18066.240000000002</v>
      </c>
      <c r="J24" s="1" t="s">
        <v>87</v>
      </c>
      <c r="K24" s="1" t="s">
        <v>88</v>
      </c>
      <c r="L24" t="str">
        <f>VLOOKUP(D24, Products!A:C, 3, FALSE)</f>
        <v>Apparel</v>
      </c>
      <c r="M24" t="str">
        <f>VLOOKUP(C24, Customers!A:E, 5, FALSE)</f>
        <v>Retail</v>
      </c>
      <c r="N24">
        <f>VLOOKUP(C24, Customers!A:E, 3, FALSE)</f>
        <v>50</v>
      </c>
      <c r="O24" s="93" t="str">
        <f>VLOOKUP(E24, Sales_Reps!A:C, 3, FALSE)</f>
        <v>West</v>
      </c>
      <c r="P24">
        <f>VLOOKUP(D24, Products!A:E, 4, FALSE)</f>
        <v>1962</v>
      </c>
      <c r="Q24">
        <f>IF(COUNTIF($A$2:A24, A24)=2, 1, 0)</f>
        <v>0</v>
      </c>
      <c r="R24">
        <f>IF(ISNA(MATCH(C24, Customers!$A:$A, 0)), 1, 0)</f>
        <v>0</v>
      </c>
      <c r="S24" s="94" t="b">
        <f>VLOOKUP(D24, Products!A:F, 6, FALSE)</f>
        <v>1</v>
      </c>
    </row>
    <row r="25" spans="1:19">
      <c r="A25" s="102" t="s">
        <v>174</v>
      </c>
      <c r="B25" s="2">
        <v>45472</v>
      </c>
      <c r="C25" s="1" t="s">
        <v>175</v>
      </c>
      <c r="D25" s="1" t="s">
        <v>176</v>
      </c>
      <c r="E25" s="1" t="s">
        <v>148</v>
      </c>
      <c r="F25" s="83">
        <v>2</v>
      </c>
      <c r="G25" s="92">
        <v>1650</v>
      </c>
      <c r="H25" s="3">
        <v>9.4</v>
      </c>
      <c r="I25" s="3">
        <v>2989.8</v>
      </c>
      <c r="J25" s="1" t="s">
        <v>87</v>
      </c>
      <c r="K25" s="1" t="s">
        <v>133</v>
      </c>
      <c r="L25" t="str">
        <f>VLOOKUP(D25, Products!A:C, 3, FALSE)</f>
        <v>Beauty</v>
      </c>
      <c r="M25" t="str">
        <f>VLOOKUP(C25, Customers!A:E, 5, FALSE)</f>
        <v>SMB</v>
      </c>
      <c r="N25">
        <f>VLOOKUP(C25, Customers!A:E, 3, FALSE)</f>
        <v>40</v>
      </c>
      <c r="O25" s="93" t="str">
        <f>VLOOKUP(E25, Sales_Reps!A:C, 3, FALSE)</f>
        <v>North</v>
      </c>
      <c r="P25">
        <f>VLOOKUP(D25, Products!A:E, 4, FALSE)</f>
        <v>1222</v>
      </c>
      <c r="Q25">
        <f>IF(COUNTIF($A$2:A25, A25)=2, 1, 0)</f>
        <v>0</v>
      </c>
      <c r="R25">
        <f>IF(ISNA(MATCH(C25, Customers!$A:$A, 0)), 1, 0)</f>
        <v>0</v>
      </c>
      <c r="S25" s="94" t="b">
        <f>VLOOKUP(D25, Products!A:F, 6, FALSE)</f>
        <v>1</v>
      </c>
    </row>
    <row r="26" spans="1:19">
      <c r="A26" s="102" t="s">
        <v>177</v>
      </c>
      <c r="B26" s="2">
        <v>45394</v>
      </c>
      <c r="C26" s="1" t="s">
        <v>178</v>
      </c>
      <c r="D26" s="1" t="s">
        <v>179</v>
      </c>
      <c r="E26" s="1" t="s">
        <v>154</v>
      </c>
      <c r="F26" s="83">
        <v>6</v>
      </c>
      <c r="G26" s="92">
        <v>3350</v>
      </c>
      <c r="H26" s="3">
        <v>6.1</v>
      </c>
      <c r="I26" s="3">
        <v>18873.900000000001</v>
      </c>
      <c r="J26" s="1" t="s">
        <v>93</v>
      </c>
      <c r="K26" s="1" t="s">
        <v>94</v>
      </c>
      <c r="L26" t="str">
        <f>VLOOKUP(D26, Products!A:C, 3, FALSE)</f>
        <v>Beauty</v>
      </c>
      <c r="M26" t="str">
        <f>VLOOKUP(C26, Customers!A:E, 5, FALSE)</f>
        <v>Corporate</v>
      </c>
      <c r="N26">
        <f>VLOOKUP(C26, Customers!A:E, 3, FALSE)</f>
        <v>55</v>
      </c>
      <c r="O26" s="93" t="str">
        <f>VLOOKUP(E26, Sales_Reps!A:C, 3, FALSE)</f>
        <v>East</v>
      </c>
      <c r="P26">
        <f>VLOOKUP(D26, Products!A:E, 4, FALSE)</f>
        <v>1728</v>
      </c>
      <c r="Q26">
        <f>IF(COUNTIF($A$2:A26, A26)=2, 1, 0)</f>
        <v>0</v>
      </c>
      <c r="R26">
        <f>IF(ISNA(MATCH(C26, Customers!$A:$A, 0)), 1, 0)</f>
        <v>0</v>
      </c>
      <c r="S26" s="94" t="b">
        <f>VLOOKUP(D26, Products!A:F, 6, FALSE)</f>
        <v>1</v>
      </c>
    </row>
    <row r="27" spans="1:19">
      <c r="A27" s="102" t="s">
        <v>180</v>
      </c>
      <c r="B27" s="2">
        <v>45570</v>
      </c>
      <c r="C27" s="1" t="s">
        <v>181</v>
      </c>
      <c r="D27" s="1" t="s">
        <v>182</v>
      </c>
      <c r="E27" s="1" t="s">
        <v>121</v>
      </c>
      <c r="F27" s="83">
        <v>2</v>
      </c>
      <c r="G27" s="92">
        <v>1010</v>
      </c>
      <c r="H27" s="3">
        <v>16.5</v>
      </c>
      <c r="I27" s="3">
        <v>1686.7</v>
      </c>
      <c r="J27" s="1" t="s">
        <v>140</v>
      </c>
      <c r="K27" s="1" t="s">
        <v>99</v>
      </c>
      <c r="L27" t="str">
        <f>VLOOKUP(D27, Products!A:C, 3, FALSE)</f>
        <v>Sports</v>
      </c>
      <c r="M27" t="str">
        <f>VLOOKUP(C27, Customers!A:E, 5, FALSE)</f>
        <v>Retail</v>
      </c>
      <c r="N27">
        <f>VLOOKUP(C27, Customers!A:E, 3, FALSE)</f>
        <v>31</v>
      </c>
      <c r="O27" s="93" t="str">
        <f>VLOOKUP(E27, Sales_Reps!A:C, 3, FALSE)</f>
        <v>East</v>
      </c>
      <c r="P27">
        <f>VLOOKUP(D27, Products!A:E, 4, FALSE)</f>
        <v>516</v>
      </c>
      <c r="Q27">
        <f>IF(COUNTIF($A$2:A27, A27)=2, 1, 0)</f>
        <v>0</v>
      </c>
      <c r="R27">
        <f>IF(ISNA(MATCH(C27, Customers!$A:$A, 0)), 1, 0)</f>
        <v>0</v>
      </c>
      <c r="S27" s="94" t="b">
        <f>VLOOKUP(D27, Products!A:F, 6, FALSE)</f>
        <v>1</v>
      </c>
    </row>
    <row r="28" spans="1:19">
      <c r="A28" s="102" t="s">
        <v>183</v>
      </c>
      <c r="B28" s="2">
        <v>45401</v>
      </c>
      <c r="C28" s="1" t="s">
        <v>96</v>
      </c>
      <c r="D28" s="1" t="s">
        <v>184</v>
      </c>
      <c r="E28" s="1" t="s">
        <v>103</v>
      </c>
      <c r="F28" s="83">
        <v>5</v>
      </c>
      <c r="G28" s="92">
        <v>4880</v>
      </c>
      <c r="H28" s="3">
        <v>23.6</v>
      </c>
      <c r="I28" s="3">
        <v>18641.599999999999</v>
      </c>
      <c r="J28" s="1" t="s">
        <v>87</v>
      </c>
      <c r="K28" s="1" t="s">
        <v>99</v>
      </c>
      <c r="L28" t="str">
        <f>VLOOKUP(D28, Products!A:C, 3, FALSE)</f>
        <v>Beauty</v>
      </c>
      <c r="M28" t="str">
        <f>VLOOKUP(C28, Customers!A:E, 5, FALSE)</f>
        <v>Retail</v>
      </c>
      <c r="N28">
        <f>VLOOKUP(C28, Customers!A:E, 3, FALSE)</f>
        <v>52</v>
      </c>
      <c r="O28" s="93" t="str">
        <f>VLOOKUP(E28, Sales_Reps!A:C, 3, FALSE)</f>
        <v>North</v>
      </c>
      <c r="P28">
        <f>VLOOKUP(D28, Products!A:E, 4, FALSE)</f>
        <v>2768</v>
      </c>
      <c r="Q28">
        <f>IF(COUNTIF($A$2:A28, A28)=2, 1, 0)</f>
        <v>0</v>
      </c>
      <c r="R28">
        <f>IF(ISNA(MATCH(C28, Customers!$A:$A, 0)), 1, 0)</f>
        <v>0</v>
      </c>
      <c r="S28" s="94" t="b">
        <f>VLOOKUP(D28, Products!A:F, 6, FALSE)</f>
        <v>1</v>
      </c>
    </row>
    <row r="29" spans="1:19">
      <c r="A29" s="102" t="s">
        <v>185</v>
      </c>
      <c r="B29" s="2">
        <v>45517</v>
      </c>
      <c r="C29" s="1" t="s">
        <v>186</v>
      </c>
      <c r="D29" s="1" t="s">
        <v>187</v>
      </c>
      <c r="E29" s="1" t="s">
        <v>188</v>
      </c>
      <c r="F29" s="83">
        <v>7</v>
      </c>
      <c r="G29" s="92">
        <v>3570</v>
      </c>
      <c r="H29" s="3">
        <v>5.8</v>
      </c>
      <c r="I29" s="3">
        <v>23540.58</v>
      </c>
      <c r="J29" s="1" t="s">
        <v>140</v>
      </c>
      <c r="K29" s="1" t="s">
        <v>94</v>
      </c>
      <c r="L29" t="str">
        <f>VLOOKUP(D29, Products!A:C, 3, FALSE)</f>
        <v>Electronics</v>
      </c>
      <c r="M29" t="str">
        <f>VLOOKUP(C29, Customers!A:E, 5, FALSE)</f>
        <v>SMB</v>
      </c>
      <c r="N29">
        <f>VLOOKUP(C29, Customers!A:E, 3, FALSE)</f>
        <v>52</v>
      </c>
      <c r="O29" s="93" t="str">
        <f>VLOOKUP(E29, Sales_Reps!A:C, 3, FALSE)</f>
        <v>South</v>
      </c>
      <c r="P29">
        <f>VLOOKUP(D29, Products!A:E, 4, FALSE)</f>
        <v>1665</v>
      </c>
      <c r="Q29">
        <f>IF(COUNTIF($A$2:A29, A29)=2, 1, 0)</f>
        <v>0</v>
      </c>
      <c r="R29">
        <f>IF(ISNA(MATCH(C29, Customers!$A:$A, 0)), 1, 0)</f>
        <v>0</v>
      </c>
      <c r="S29" s="94" t="b">
        <f>VLOOKUP(D29, Products!A:F, 6, FALSE)</f>
        <v>1</v>
      </c>
    </row>
    <row r="30" spans="1:19">
      <c r="A30" s="102" t="s">
        <v>189</v>
      </c>
      <c r="B30" s="2">
        <v>45363</v>
      </c>
      <c r="C30" s="1" t="s">
        <v>190</v>
      </c>
      <c r="D30" s="1" t="s">
        <v>191</v>
      </c>
      <c r="E30" s="1" t="s">
        <v>192</v>
      </c>
      <c r="F30" s="83">
        <v>9</v>
      </c>
      <c r="G30" s="92">
        <v>5100</v>
      </c>
      <c r="H30" s="3">
        <v>16.7</v>
      </c>
      <c r="I30" s="3">
        <v>38234.699999999997</v>
      </c>
      <c r="J30" s="1" t="s">
        <v>87</v>
      </c>
      <c r="K30" s="1" t="s">
        <v>133</v>
      </c>
      <c r="L30" t="str">
        <f>VLOOKUP(D30, Products!A:C, 3, FALSE)</f>
        <v>Beauty</v>
      </c>
      <c r="M30" t="str">
        <f>VLOOKUP(C30, Customers!A:E, 5, FALSE)</f>
        <v>Corporate</v>
      </c>
      <c r="N30">
        <f>VLOOKUP(C30, Customers!A:E, 3, FALSE)</f>
        <v>56</v>
      </c>
      <c r="O30" s="93" t="str">
        <f>VLOOKUP(E30, Sales_Reps!A:C, 3, FALSE)</f>
        <v>East</v>
      </c>
      <c r="P30">
        <f>VLOOKUP(D30, Products!A:E, 4, FALSE)</f>
        <v>2237</v>
      </c>
      <c r="Q30">
        <f>IF(COUNTIF($A$2:A30, A30)=2, 1, 0)</f>
        <v>0</v>
      </c>
      <c r="R30">
        <f>IF(ISNA(MATCH(C30, Customers!$A:$A, 0)), 1, 0)</f>
        <v>0</v>
      </c>
      <c r="S30" s="94" t="b">
        <f>VLOOKUP(D30, Products!A:F, 6, FALSE)</f>
        <v>1</v>
      </c>
    </row>
    <row r="31" spans="1:19">
      <c r="A31" s="102" t="s">
        <v>193</v>
      </c>
      <c r="B31" s="2">
        <v>45367</v>
      </c>
      <c r="C31" s="1" t="s">
        <v>194</v>
      </c>
      <c r="D31" s="1" t="s">
        <v>195</v>
      </c>
      <c r="E31" s="1" t="s">
        <v>92</v>
      </c>
      <c r="F31" s="83">
        <v>3</v>
      </c>
      <c r="G31" s="92">
        <v>2860</v>
      </c>
      <c r="H31" s="3">
        <v>25.8</v>
      </c>
      <c r="I31" s="3">
        <v>6366.36</v>
      </c>
      <c r="J31" s="1" t="s">
        <v>87</v>
      </c>
      <c r="K31" s="1" t="s">
        <v>88</v>
      </c>
      <c r="L31" t="str">
        <f>VLOOKUP(D31, Products!A:C, 3, FALSE)</f>
        <v>Sports</v>
      </c>
      <c r="M31" t="str">
        <f>VLOOKUP(C31, Customers!A:E, 5, FALSE)</f>
        <v>SMB</v>
      </c>
      <c r="N31">
        <f>VLOOKUP(C31, Customers!A:E, 3, FALSE)</f>
        <v>44</v>
      </c>
      <c r="O31" s="93" t="str">
        <f>VLOOKUP(E31, Sales_Reps!A:C, 3, FALSE)</f>
        <v>North</v>
      </c>
      <c r="P31">
        <f>VLOOKUP(D31, Products!A:E, 4, FALSE)</f>
        <v>2028</v>
      </c>
      <c r="Q31">
        <f>IF(COUNTIF($A$2:A31, A31)=2, 1, 0)</f>
        <v>0</v>
      </c>
      <c r="R31">
        <f>IF(ISNA(MATCH(C31, Customers!$A:$A, 0)), 1, 0)</f>
        <v>0</v>
      </c>
      <c r="S31" s="94" t="b">
        <f>VLOOKUP(D31, Products!A:F, 6, FALSE)</f>
        <v>1</v>
      </c>
    </row>
    <row r="32" spans="1:19">
      <c r="A32" s="102" t="s">
        <v>196</v>
      </c>
      <c r="B32" s="2">
        <v>45569</v>
      </c>
      <c r="C32" s="1" t="s">
        <v>197</v>
      </c>
      <c r="D32" s="1" t="s">
        <v>127</v>
      </c>
      <c r="E32" s="1" t="s">
        <v>103</v>
      </c>
      <c r="F32" s="83">
        <v>7</v>
      </c>
      <c r="G32" s="92">
        <v>970</v>
      </c>
      <c r="H32" s="3">
        <v>29.8</v>
      </c>
      <c r="I32" s="3">
        <v>4766.58</v>
      </c>
      <c r="J32" s="1" t="s">
        <v>87</v>
      </c>
      <c r="K32" s="1" t="s">
        <v>88</v>
      </c>
      <c r="L32" t="str">
        <f>VLOOKUP(D32, Products!A:C, 3, FALSE)</f>
        <v>Grocery</v>
      </c>
      <c r="M32" t="str">
        <f>VLOOKUP(C32, Customers!A:E, 5, FALSE)</f>
        <v>Corporate</v>
      </c>
      <c r="N32">
        <f>VLOOKUP(C32, Customers!A:E, 3, FALSE)</f>
        <v>47</v>
      </c>
      <c r="O32" s="93" t="str">
        <f>VLOOKUP(E32, Sales_Reps!A:C, 3, FALSE)</f>
        <v>North</v>
      </c>
      <c r="P32">
        <f>VLOOKUP(D32, Products!A:E, 4, FALSE)</f>
        <v>434</v>
      </c>
      <c r="Q32">
        <f>IF(COUNTIF($A$2:A32, A32)=2, 1, 0)</f>
        <v>0</v>
      </c>
      <c r="R32">
        <f>IF(ISNA(MATCH(C32, Customers!$A:$A, 0)), 1, 0)</f>
        <v>0</v>
      </c>
      <c r="S32" s="94" t="b">
        <f>VLOOKUP(D32, Products!A:F, 6, FALSE)</f>
        <v>1</v>
      </c>
    </row>
    <row r="33" spans="1:19">
      <c r="A33" s="102" t="s">
        <v>198</v>
      </c>
      <c r="B33" s="2">
        <v>45641</v>
      </c>
      <c r="C33" s="1" t="s">
        <v>199</v>
      </c>
      <c r="D33" s="1" t="s">
        <v>200</v>
      </c>
      <c r="E33" s="1" t="s">
        <v>201</v>
      </c>
      <c r="F33" s="83">
        <v>4</v>
      </c>
      <c r="G33" s="92">
        <v>2760</v>
      </c>
      <c r="H33" s="3">
        <v>5.9</v>
      </c>
      <c r="I33" s="3">
        <v>10388.64</v>
      </c>
      <c r="J33" s="1" t="s">
        <v>87</v>
      </c>
      <c r="K33" s="1" t="s">
        <v>133</v>
      </c>
      <c r="L33" t="str">
        <f>VLOOKUP(D33, Products!A:C, 3, FALSE)</f>
        <v>Grocery</v>
      </c>
      <c r="M33" t="str">
        <f>VLOOKUP(C33, Customers!A:E, 5, FALSE)</f>
        <v>Retail</v>
      </c>
      <c r="N33">
        <f>VLOOKUP(C33, Customers!A:E, 3, FALSE)</f>
        <v>53</v>
      </c>
      <c r="O33" s="93" t="str">
        <f>VLOOKUP(E33, Sales_Reps!A:C, 3, FALSE)</f>
        <v>West</v>
      </c>
      <c r="P33">
        <f>VLOOKUP(D33, Products!A:E, 4, FALSE)</f>
        <v>1435</v>
      </c>
      <c r="Q33">
        <f>IF(COUNTIF($A$2:A33, A33)=2, 1, 0)</f>
        <v>0</v>
      </c>
      <c r="R33">
        <f>IF(ISNA(MATCH(C33, Customers!$A:$A, 0)), 1, 0)</f>
        <v>0</v>
      </c>
      <c r="S33" s="94" t="b">
        <f>VLOOKUP(D33, Products!A:F, 6, FALSE)</f>
        <v>1</v>
      </c>
    </row>
    <row r="34" spans="1:19">
      <c r="A34" s="102" t="s">
        <v>202</v>
      </c>
      <c r="B34" s="2">
        <v>45343</v>
      </c>
      <c r="C34" s="1" t="s">
        <v>156</v>
      </c>
      <c r="D34" s="1" t="s">
        <v>203</v>
      </c>
      <c r="E34" s="1" t="s">
        <v>204</v>
      </c>
      <c r="F34" s="83">
        <v>10</v>
      </c>
      <c r="G34" s="92">
        <v>660</v>
      </c>
      <c r="H34" s="3">
        <v>18.3</v>
      </c>
      <c r="I34" s="3">
        <v>5392.2</v>
      </c>
      <c r="J34" s="1" t="s">
        <v>93</v>
      </c>
      <c r="K34" s="1" t="s">
        <v>133</v>
      </c>
      <c r="L34" t="str">
        <f>VLOOKUP(D34, Products!A:C, 3, FALSE)</f>
        <v>Home</v>
      </c>
      <c r="M34" t="str">
        <f>VLOOKUP(C34, Customers!A:E, 5, FALSE)</f>
        <v>Corporate</v>
      </c>
      <c r="N34">
        <f>VLOOKUP(C34, Customers!A:E, 3, FALSE)</f>
        <v>32</v>
      </c>
      <c r="O34" s="93" t="str">
        <f>VLOOKUP(E34, Sales_Reps!A:C, 3, FALSE)</f>
        <v>South</v>
      </c>
      <c r="P34">
        <f>VLOOKUP(D34, Products!A:E, 4, FALSE)</f>
        <v>329</v>
      </c>
      <c r="Q34">
        <f>IF(COUNTIF($A$2:A34, A34)=2, 1, 0)</f>
        <v>0</v>
      </c>
      <c r="R34">
        <f>IF(ISNA(MATCH(C34, Customers!$A:$A, 0)), 1, 0)</f>
        <v>0</v>
      </c>
      <c r="S34" s="94" t="b">
        <f>VLOOKUP(D34, Products!A:F, 6, FALSE)</f>
        <v>1</v>
      </c>
    </row>
    <row r="35" spans="1:19">
      <c r="A35" s="102" t="s">
        <v>205</v>
      </c>
      <c r="B35" s="2">
        <v>45576</v>
      </c>
      <c r="C35" s="1" t="s">
        <v>206</v>
      </c>
      <c r="D35" s="1" t="s">
        <v>143</v>
      </c>
      <c r="E35" s="1" t="s">
        <v>121</v>
      </c>
      <c r="F35" s="83">
        <v>1</v>
      </c>
      <c r="G35" s="92">
        <v>3250</v>
      </c>
      <c r="H35" s="3">
        <v>10.7</v>
      </c>
      <c r="I35" s="3">
        <v>2902.25</v>
      </c>
      <c r="J35" s="1" t="s">
        <v>87</v>
      </c>
      <c r="K35" s="1" t="s">
        <v>133</v>
      </c>
      <c r="L35" t="str">
        <f>VLOOKUP(D35, Products!A:C, 3, FALSE)</f>
        <v>Home</v>
      </c>
      <c r="M35" t="str">
        <f>VLOOKUP(C35, Customers!A:E, 5, FALSE)</f>
        <v>SMB</v>
      </c>
      <c r="N35">
        <f>VLOOKUP(C35, Customers!A:E, 3, FALSE)</f>
        <v>40</v>
      </c>
      <c r="O35" s="93" t="str">
        <f>VLOOKUP(E35, Sales_Reps!A:C, 3, FALSE)</f>
        <v>East</v>
      </c>
      <c r="P35">
        <f>VLOOKUP(D35, Products!A:E, 4, FALSE)</f>
        <v>1556</v>
      </c>
      <c r="Q35">
        <f>IF(COUNTIF($A$2:A35, A35)=2, 1, 0)</f>
        <v>0</v>
      </c>
      <c r="R35">
        <f>IF(ISNA(MATCH(C35, Customers!$A:$A, 0)), 1, 0)</f>
        <v>0</v>
      </c>
      <c r="S35" s="94" t="b">
        <f>VLOOKUP(D35, Products!A:F, 6, FALSE)</f>
        <v>1</v>
      </c>
    </row>
    <row r="36" spans="1:19">
      <c r="A36" s="102" t="s">
        <v>207</v>
      </c>
      <c r="B36" s="2">
        <v>45462</v>
      </c>
      <c r="C36" s="1" t="s">
        <v>208</v>
      </c>
      <c r="D36" s="1" t="s">
        <v>191</v>
      </c>
      <c r="E36" s="1" t="s">
        <v>121</v>
      </c>
      <c r="F36" s="83">
        <v>8</v>
      </c>
      <c r="G36" s="92">
        <v>5100</v>
      </c>
      <c r="H36" s="3">
        <v>26.4</v>
      </c>
      <c r="I36" s="3">
        <v>30028.799999999999</v>
      </c>
      <c r="J36" s="1" t="s">
        <v>140</v>
      </c>
      <c r="K36" s="1" t="s">
        <v>133</v>
      </c>
      <c r="L36" t="str">
        <f>VLOOKUP(D36, Products!A:C, 3, FALSE)</f>
        <v>Beauty</v>
      </c>
      <c r="M36" t="str">
        <f>VLOOKUP(C36, Customers!A:E, 5, FALSE)</f>
        <v>Retail</v>
      </c>
      <c r="N36">
        <f>VLOOKUP(C36, Customers!A:E, 3, FALSE)</f>
        <v>26</v>
      </c>
      <c r="O36" s="93" t="str">
        <f>VLOOKUP(E36, Sales_Reps!A:C, 3, FALSE)</f>
        <v>East</v>
      </c>
      <c r="P36">
        <f>VLOOKUP(D36, Products!A:E, 4, FALSE)</f>
        <v>2237</v>
      </c>
      <c r="Q36">
        <f>IF(COUNTIF($A$2:A36, A36)=2, 1, 0)</f>
        <v>0</v>
      </c>
      <c r="R36">
        <f>IF(ISNA(MATCH(C36, Customers!$A:$A, 0)), 1, 0)</f>
        <v>0</v>
      </c>
      <c r="S36" s="94" t="b">
        <f>VLOOKUP(D36, Products!A:F, 6, FALSE)</f>
        <v>1</v>
      </c>
    </row>
    <row r="37" spans="1:19">
      <c r="A37" s="102" t="s">
        <v>209</v>
      </c>
      <c r="B37" s="2">
        <v>45442</v>
      </c>
      <c r="C37" s="1" t="s">
        <v>210</v>
      </c>
      <c r="D37" s="1" t="s">
        <v>164</v>
      </c>
      <c r="E37" s="1" t="s">
        <v>158</v>
      </c>
      <c r="F37" s="83">
        <v>1</v>
      </c>
      <c r="G37" s="92">
        <v>1080</v>
      </c>
      <c r="H37" s="3">
        <v>5.0999999999999996</v>
      </c>
      <c r="I37" s="3">
        <v>1024.92</v>
      </c>
      <c r="J37" s="1" t="s">
        <v>87</v>
      </c>
      <c r="K37" s="1" t="s">
        <v>99</v>
      </c>
      <c r="L37" t="str">
        <f>VLOOKUP(D37, Products!A:C, 3, FALSE)</f>
        <v>Home</v>
      </c>
      <c r="M37" t="str">
        <f>VLOOKUP(C37, Customers!A:E, 5, FALSE)</f>
        <v>Retail</v>
      </c>
      <c r="N37">
        <f>VLOOKUP(C37, Customers!A:E, 3, FALSE)</f>
        <v>41</v>
      </c>
      <c r="O37" s="93" t="str">
        <f>VLOOKUP(E37, Sales_Reps!A:C, 3, FALSE)</f>
        <v>East</v>
      </c>
      <c r="P37">
        <f>VLOOKUP(D37, Products!A:E, 4, FALSE)</f>
        <v>519</v>
      </c>
      <c r="Q37">
        <f>IF(COUNTIF($A$2:A37, A37)=2, 1, 0)</f>
        <v>0</v>
      </c>
      <c r="R37">
        <f>IF(ISNA(MATCH(C37, Customers!$A:$A, 0)), 1, 0)</f>
        <v>0</v>
      </c>
      <c r="S37" s="94" t="b">
        <f>VLOOKUP(D37, Products!A:F, 6, FALSE)</f>
        <v>1</v>
      </c>
    </row>
    <row r="38" spans="1:19">
      <c r="A38" s="102" t="s">
        <v>211</v>
      </c>
      <c r="B38" s="2">
        <v>45646</v>
      </c>
      <c r="C38" s="1" t="s">
        <v>212</v>
      </c>
      <c r="D38" s="1" t="s">
        <v>124</v>
      </c>
      <c r="E38" s="1" t="s">
        <v>204</v>
      </c>
      <c r="F38" s="83">
        <v>2</v>
      </c>
      <c r="G38" s="92">
        <v>5490</v>
      </c>
      <c r="H38" s="3">
        <v>21.1</v>
      </c>
      <c r="I38" s="3">
        <v>8663.2199999999993</v>
      </c>
      <c r="J38" s="1" t="s">
        <v>140</v>
      </c>
      <c r="K38" s="1" t="s">
        <v>112</v>
      </c>
      <c r="L38" t="str">
        <f>VLOOKUP(D38, Products!A:C, 3, FALSE)</f>
        <v>Home</v>
      </c>
      <c r="M38" t="str">
        <f>VLOOKUP(C38, Customers!A:E, 5, FALSE)</f>
        <v>SMB</v>
      </c>
      <c r="N38">
        <f>VLOOKUP(C38, Customers!A:E, 3, FALSE)</f>
        <v>36</v>
      </c>
      <c r="O38" s="93" t="str">
        <f>VLOOKUP(E38, Sales_Reps!A:C, 3, FALSE)</f>
        <v>South</v>
      </c>
      <c r="P38">
        <f>VLOOKUP(D38, Products!A:E, 4, FALSE)</f>
        <v>2549</v>
      </c>
      <c r="Q38">
        <f>IF(COUNTIF($A$2:A38, A38)=2, 1, 0)</f>
        <v>0</v>
      </c>
      <c r="R38">
        <f>IF(ISNA(MATCH(C38, Customers!$A:$A, 0)), 1, 0)</f>
        <v>0</v>
      </c>
      <c r="S38" s="94" t="b">
        <f>VLOOKUP(D38, Products!A:F, 6, FALSE)</f>
        <v>1</v>
      </c>
    </row>
    <row r="39" spans="1:19">
      <c r="A39" s="102" t="s">
        <v>213</v>
      </c>
      <c r="B39" s="2">
        <v>45478</v>
      </c>
      <c r="C39" s="1" t="s">
        <v>214</v>
      </c>
      <c r="D39" s="1" t="s">
        <v>147</v>
      </c>
      <c r="E39" s="1" t="s">
        <v>215</v>
      </c>
      <c r="F39" s="83">
        <v>7</v>
      </c>
      <c r="G39" s="92">
        <v>190</v>
      </c>
      <c r="H39" s="3">
        <v>28.7</v>
      </c>
      <c r="I39" s="3">
        <v>948.29</v>
      </c>
      <c r="J39" s="1" t="s">
        <v>87</v>
      </c>
      <c r="K39" s="1" t="s">
        <v>117</v>
      </c>
      <c r="L39" t="str">
        <f>VLOOKUP(D39, Products!A:C, 3, FALSE)</f>
        <v>Sports</v>
      </c>
      <c r="M39" t="str">
        <f>VLOOKUP(C39, Customers!A:E, 5, FALSE)</f>
        <v>Retail</v>
      </c>
      <c r="N39">
        <f>VLOOKUP(C39, Customers!A:E, 3, FALSE)</f>
        <v>42</v>
      </c>
      <c r="O39" s="93" t="str">
        <f>VLOOKUP(E39, Sales_Reps!A:C, 3, FALSE)</f>
        <v>North</v>
      </c>
      <c r="P39">
        <f>VLOOKUP(D39, Products!A:E, 4, FALSE)</f>
        <v>147</v>
      </c>
      <c r="Q39">
        <f>IF(COUNTIF($A$2:A39, A39)=2, 1, 0)</f>
        <v>0</v>
      </c>
      <c r="R39">
        <f>IF(ISNA(MATCH(C39, Customers!$A:$A, 0)), 1, 0)</f>
        <v>0</v>
      </c>
      <c r="S39" s="94" t="b">
        <f>VLOOKUP(D39, Products!A:F, 6, FALSE)</f>
        <v>1</v>
      </c>
    </row>
    <row r="40" spans="1:19">
      <c r="A40" s="102" t="s">
        <v>216</v>
      </c>
      <c r="B40" s="2">
        <v>45355</v>
      </c>
      <c r="C40" s="1" t="s">
        <v>217</v>
      </c>
      <c r="D40" s="1" t="s">
        <v>151</v>
      </c>
      <c r="E40" s="1" t="s">
        <v>188</v>
      </c>
      <c r="F40" s="83">
        <v>6</v>
      </c>
      <c r="G40" s="92">
        <v>2400</v>
      </c>
      <c r="H40" s="3">
        <v>2.7</v>
      </c>
      <c r="I40" s="3">
        <v>14011.2</v>
      </c>
      <c r="J40" s="1" t="s">
        <v>87</v>
      </c>
      <c r="K40" s="1" t="s">
        <v>94</v>
      </c>
      <c r="L40" t="str">
        <f>VLOOKUP(D40, Products!A:C, 3, FALSE)</f>
        <v>Sports</v>
      </c>
      <c r="M40" t="str">
        <f>VLOOKUP(C40, Customers!A:E, 5, FALSE)</f>
        <v>Retail</v>
      </c>
      <c r="N40">
        <f>VLOOKUP(C40, Customers!A:E, 3, FALSE)</f>
        <v>51</v>
      </c>
      <c r="O40" s="93" t="str">
        <f>VLOOKUP(E40, Sales_Reps!A:C, 3, FALSE)</f>
        <v>South</v>
      </c>
      <c r="P40">
        <f>VLOOKUP(D40, Products!A:E, 4, FALSE)</f>
        <v>974</v>
      </c>
      <c r="Q40">
        <f>IF(COUNTIF($A$2:A40, A40)=2, 1, 0)</f>
        <v>0</v>
      </c>
      <c r="R40">
        <f>IF(ISNA(MATCH(C40, Customers!$A:$A, 0)), 1, 0)</f>
        <v>0</v>
      </c>
      <c r="S40" s="94" t="b">
        <f>VLOOKUP(D40, Products!A:F, 6, FALSE)</f>
        <v>1</v>
      </c>
    </row>
    <row r="41" spans="1:19">
      <c r="A41" s="102" t="s">
        <v>218</v>
      </c>
      <c r="B41" s="2">
        <v>45599</v>
      </c>
      <c r="C41" s="1" t="s">
        <v>219</v>
      </c>
      <c r="D41" s="1" t="s">
        <v>176</v>
      </c>
      <c r="E41" s="1" t="s">
        <v>154</v>
      </c>
      <c r="F41" s="83">
        <v>9</v>
      </c>
      <c r="G41" s="92">
        <v>1650</v>
      </c>
      <c r="H41" s="3">
        <v>11.6</v>
      </c>
      <c r="I41" s="3">
        <v>13127.4</v>
      </c>
      <c r="J41" s="1" t="s">
        <v>87</v>
      </c>
      <c r="K41" s="1" t="s">
        <v>99</v>
      </c>
      <c r="L41" t="str">
        <f>VLOOKUP(D41, Products!A:C, 3, FALSE)</f>
        <v>Beauty</v>
      </c>
      <c r="M41" t="str">
        <f>VLOOKUP(C41, Customers!A:E, 5, FALSE)</f>
        <v>SMB</v>
      </c>
      <c r="N41">
        <f>VLOOKUP(C41, Customers!A:E, 3, FALSE)</f>
        <v>50</v>
      </c>
      <c r="O41" s="93" t="str">
        <f>VLOOKUP(E41, Sales_Reps!A:C, 3, FALSE)</f>
        <v>East</v>
      </c>
      <c r="P41">
        <f>VLOOKUP(D41, Products!A:E, 4, FALSE)</f>
        <v>1222</v>
      </c>
      <c r="Q41">
        <f>IF(COUNTIF($A$2:A41, A41)=2, 1, 0)</f>
        <v>0</v>
      </c>
      <c r="R41">
        <f>IF(ISNA(MATCH(C41, Customers!$A:$A, 0)), 1, 0)</f>
        <v>0</v>
      </c>
      <c r="S41" s="94" t="b">
        <f>VLOOKUP(D41, Products!A:F, 6, FALSE)</f>
        <v>1</v>
      </c>
    </row>
    <row r="42" spans="1:19">
      <c r="A42" s="102" t="s">
        <v>220</v>
      </c>
      <c r="B42" s="2">
        <v>45606</v>
      </c>
      <c r="C42" s="1" t="s">
        <v>221</v>
      </c>
      <c r="D42" s="1" t="s">
        <v>124</v>
      </c>
      <c r="E42" s="1" t="s">
        <v>103</v>
      </c>
      <c r="F42" s="83">
        <v>4</v>
      </c>
      <c r="G42" s="92">
        <v>5490</v>
      </c>
      <c r="H42" s="3">
        <v>12.8</v>
      </c>
      <c r="I42" s="3">
        <v>19149.12</v>
      </c>
      <c r="J42" s="1" t="s">
        <v>140</v>
      </c>
      <c r="K42" s="1" t="s">
        <v>94</v>
      </c>
      <c r="L42" t="str">
        <f>VLOOKUP(D42, Products!A:C, 3, FALSE)</f>
        <v>Home</v>
      </c>
      <c r="M42" t="e">
        <f>VLOOKUP(C42, Customers!A:E, 5, FALSE)</f>
        <v>#N/A</v>
      </c>
      <c r="N42" t="e">
        <f>VLOOKUP(C42, Customers!A:E, 3, FALSE)</f>
        <v>#N/A</v>
      </c>
      <c r="O42" s="93" t="str">
        <f>VLOOKUP(E42, Sales_Reps!A:C, 3, FALSE)</f>
        <v>North</v>
      </c>
      <c r="P42">
        <f>VLOOKUP(D42, Products!A:E, 4, FALSE)</f>
        <v>2549</v>
      </c>
      <c r="Q42">
        <f>IF(COUNTIF($A$2:A42, A42)=2, 1, 0)</f>
        <v>0</v>
      </c>
      <c r="R42">
        <f>IF(ISNA(MATCH(C42, Customers!$A:$A, 0)), 1, 0)</f>
        <v>1</v>
      </c>
      <c r="S42" s="94" t="b">
        <f>VLOOKUP(D42, Products!A:F, 6, FALSE)</f>
        <v>1</v>
      </c>
    </row>
    <row r="43" spans="1:19">
      <c r="A43" s="102" t="s">
        <v>222</v>
      </c>
      <c r="B43" s="2">
        <v>45432</v>
      </c>
      <c r="C43" s="1" t="s">
        <v>223</v>
      </c>
      <c r="D43" s="1" t="s">
        <v>184</v>
      </c>
      <c r="E43" s="1" t="s">
        <v>98</v>
      </c>
      <c r="F43" s="83">
        <v>10</v>
      </c>
      <c r="G43" s="92">
        <v>4880</v>
      </c>
      <c r="H43" s="3">
        <v>12.7</v>
      </c>
      <c r="I43" s="3">
        <v>42602.400000000001</v>
      </c>
      <c r="J43" s="1" t="s">
        <v>87</v>
      </c>
      <c r="K43" s="1" t="s">
        <v>99</v>
      </c>
      <c r="L43" t="str">
        <f>VLOOKUP(D43, Products!A:C, 3, FALSE)</f>
        <v>Beauty</v>
      </c>
      <c r="M43" t="str">
        <f>VLOOKUP(C43, Customers!A:E, 5, FALSE)</f>
        <v>Retail</v>
      </c>
      <c r="N43">
        <f>VLOOKUP(C43, Customers!A:E, 3, FALSE)</f>
        <v>53</v>
      </c>
      <c r="O43" s="93" t="str">
        <f>VLOOKUP(E43, Sales_Reps!A:C, 3, FALSE)</f>
        <v>South</v>
      </c>
      <c r="P43">
        <f>VLOOKUP(D43, Products!A:E, 4, FALSE)</f>
        <v>2768</v>
      </c>
      <c r="Q43">
        <f>IF(COUNTIF($A$2:A43, A43)=2, 1, 0)</f>
        <v>0</v>
      </c>
      <c r="R43">
        <f>IF(ISNA(MATCH(C43, Customers!$A:$A, 0)), 1, 0)</f>
        <v>0</v>
      </c>
      <c r="S43" s="94" t="b">
        <f>VLOOKUP(D43, Products!A:F, 6, FALSE)</f>
        <v>1</v>
      </c>
    </row>
    <row r="44" spans="1:19">
      <c r="A44" s="102" t="s">
        <v>224</v>
      </c>
      <c r="B44" s="2">
        <v>45392</v>
      </c>
      <c r="C44" s="1" t="s">
        <v>225</v>
      </c>
      <c r="D44" s="1" t="s">
        <v>226</v>
      </c>
      <c r="E44" s="1" t="s">
        <v>121</v>
      </c>
      <c r="F44" s="83">
        <v>2</v>
      </c>
      <c r="G44" s="92">
        <v>3730</v>
      </c>
      <c r="H44" s="3">
        <v>25.8</v>
      </c>
      <c r="I44" s="3">
        <v>5535.32</v>
      </c>
      <c r="J44" s="1" t="s">
        <v>87</v>
      </c>
      <c r="K44" s="1" t="s">
        <v>94</v>
      </c>
      <c r="L44" t="str">
        <f>VLOOKUP(D44, Products!A:C, 3, FALSE)</f>
        <v>Home</v>
      </c>
      <c r="M44" t="str">
        <f>VLOOKUP(C44, Customers!A:E, 5, FALSE)</f>
        <v>Retail</v>
      </c>
      <c r="N44">
        <f>VLOOKUP(C44, Customers!A:E, 3, FALSE)</f>
        <v>37</v>
      </c>
      <c r="O44" s="93" t="str">
        <f>VLOOKUP(E44, Sales_Reps!A:C, 3, FALSE)</f>
        <v>East</v>
      </c>
      <c r="P44">
        <f>VLOOKUP(D44, Products!A:E, 4, FALSE)</f>
        <v>2135</v>
      </c>
      <c r="Q44">
        <f>IF(COUNTIF($A$2:A44, A44)=2, 1, 0)</f>
        <v>0</v>
      </c>
      <c r="R44">
        <f>IF(ISNA(MATCH(C44, Customers!$A:$A, 0)), 1, 0)</f>
        <v>0</v>
      </c>
      <c r="S44" s="94" t="b">
        <f>VLOOKUP(D44, Products!A:F, 6, FALSE)</f>
        <v>1</v>
      </c>
    </row>
    <row r="45" spans="1:19">
      <c r="A45" s="102" t="s">
        <v>227</v>
      </c>
      <c r="B45" s="2">
        <v>45396</v>
      </c>
      <c r="C45" s="1" t="s">
        <v>228</v>
      </c>
      <c r="D45" s="1" t="s">
        <v>157</v>
      </c>
      <c r="E45" s="1" t="s">
        <v>229</v>
      </c>
      <c r="F45" s="83">
        <v>4</v>
      </c>
      <c r="G45" s="92">
        <v>3450</v>
      </c>
      <c r="H45" s="3">
        <v>20.7</v>
      </c>
      <c r="I45" s="3">
        <v>10943.4</v>
      </c>
      <c r="J45" s="1" t="s">
        <v>87</v>
      </c>
      <c r="K45" s="1" t="s">
        <v>112</v>
      </c>
      <c r="L45" t="str">
        <f>VLOOKUP(D45, Products!A:C, 3, FALSE)</f>
        <v>Beauty</v>
      </c>
      <c r="M45" t="str">
        <f>VLOOKUP(C45, Customers!A:E, 5, FALSE)</f>
        <v>SMB</v>
      </c>
      <c r="N45">
        <f>VLOOKUP(C45, Customers!A:E, 3, FALSE)</f>
        <v>54</v>
      </c>
      <c r="O45" s="93" t="str">
        <f>VLOOKUP(E45, Sales_Reps!A:C, 3, FALSE)</f>
        <v>West</v>
      </c>
      <c r="P45">
        <f>VLOOKUP(D45, Products!A:E, 4, FALSE)</f>
        <v>2420</v>
      </c>
      <c r="Q45">
        <f>IF(COUNTIF($A$2:A45, A45)=2, 1, 0)</f>
        <v>0</v>
      </c>
      <c r="R45">
        <f>IF(ISNA(MATCH(C45, Customers!$A:$A, 0)), 1, 0)</f>
        <v>0</v>
      </c>
      <c r="S45" s="94" t="b">
        <f>VLOOKUP(D45, Products!A:F, 6, FALSE)</f>
        <v>1</v>
      </c>
    </row>
    <row r="46" spans="1:19">
      <c r="A46" s="102" t="s">
        <v>230</v>
      </c>
      <c r="B46" s="2">
        <v>45373</v>
      </c>
      <c r="C46" s="1" t="s">
        <v>231</v>
      </c>
      <c r="D46" s="1" t="s">
        <v>167</v>
      </c>
      <c r="E46" s="1" t="s">
        <v>121</v>
      </c>
      <c r="F46" s="83">
        <v>2</v>
      </c>
      <c r="G46" s="92">
        <v>2480</v>
      </c>
      <c r="H46" s="3">
        <v>17.3</v>
      </c>
      <c r="I46" s="3">
        <v>4101.92</v>
      </c>
      <c r="J46" s="1" t="s">
        <v>87</v>
      </c>
      <c r="K46" s="1" t="s">
        <v>117</v>
      </c>
      <c r="L46" t="str">
        <f>VLOOKUP(D46, Products!A:C, 3, FALSE)</f>
        <v>Apparel</v>
      </c>
      <c r="M46" t="str">
        <f>VLOOKUP(C46, Customers!A:E, 5, FALSE)</f>
        <v>SMB</v>
      </c>
      <c r="N46">
        <f>VLOOKUP(C46, Customers!A:E, 3, FALSE)</f>
        <v>64</v>
      </c>
      <c r="O46" s="93" t="str">
        <f>VLOOKUP(E46, Sales_Reps!A:C, 3, FALSE)</f>
        <v>East</v>
      </c>
      <c r="P46">
        <f>VLOOKUP(D46, Products!A:E, 4, FALSE)</f>
        <v>1173</v>
      </c>
      <c r="Q46">
        <f>IF(COUNTIF($A$2:A46, A46)=2, 1, 0)</f>
        <v>0</v>
      </c>
      <c r="R46">
        <f>IF(ISNA(MATCH(C46, Customers!$A:$A, 0)), 1, 0)</f>
        <v>0</v>
      </c>
      <c r="S46" s="94" t="b">
        <f>VLOOKUP(D46, Products!A:F, 6, FALSE)</f>
        <v>1</v>
      </c>
    </row>
    <row r="47" spans="1:19">
      <c r="A47" s="102" t="s">
        <v>232</v>
      </c>
      <c r="B47" s="2">
        <v>45312</v>
      </c>
      <c r="C47" s="1" t="s">
        <v>233</v>
      </c>
      <c r="D47" s="1" t="s">
        <v>234</v>
      </c>
      <c r="E47" s="1" t="s">
        <v>188</v>
      </c>
      <c r="F47" s="83">
        <v>9</v>
      </c>
      <c r="G47" s="92">
        <v>3780</v>
      </c>
      <c r="H47" s="3">
        <v>8.6999999999999993</v>
      </c>
      <c r="I47" s="3">
        <v>31060.26</v>
      </c>
      <c r="J47" s="1" t="s">
        <v>93</v>
      </c>
      <c r="K47" s="1" t="s">
        <v>88</v>
      </c>
      <c r="L47" t="str">
        <f>VLOOKUP(D47, Products!A:C, 3, FALSE)</f>
        <v>Grocery</v>
      </c>
      <c r="M47" t="str">
        <f>VLOOKUP(C47, Customers!A:E, 5, FALSE)</f>
        <v>SMB</v>
      </c>
      <c r="N47">
        <f>VLOOKUP(C47, Customers!A:E, 3, FALSE)</f>
        <v>29</v>
      </c>
      <c r="O47" s="93" t="str">
        <f>VLOOKUP(E47, Sales_Reps!A:C, 3, FALSE)</f>
        <v>South</v>
      </c>
      <c r="P47">
        <f>VLOOKUP(D47, Products!A:E, 4, FALSE)</f>
        <v>2436</v>
      </c>
      <c r="Q47">
        <f>IF(COUNTIF($A$2:A47, A47)=2, 1, 0)</f>
        <v>0</v>
      </c>
      <c r="R47">
        <f>IF(ISNA(MATCH(C47, Customers!$A:$A, 0)), 1, 0)</f>
        <v>0</v>
      </c>
      <c r="S47" s="94" t="b">
        <f>VLOOKUP(D47, Products!A:F, 6, FALSE)</f>
        <v>1</v>
      </c>
    </row>
    <row r="48" spans="1:19">
      <c r="A48" s="102" t="s">
        <v>235</v>
      </c>
      <c r="B48" s="2">
        <v>45340</v>
      </c>
      <c r="C48" s="1" t="s">
        <v>236</v>
      </c>
      <c r="D48" s="1" t="s">
        <v>237</v>
      </c>
      <c r="E48" s="1" t="s">
        <v>238</v>
      </c>
      <c r="F48" s="83">
        <v>4</v>
      </c>
      <c r="G48" s="92">
        <v>3640</v>
      </c>
      <c r="H48" s="3">
        <v>20.7</v>
      </c>
      <c r="I48" s="3">
        <v>11546.08</v>
      </c>
      <c r="J48" s="1" t="s">
        <v>87</v>
      </c>
      <c r="K48" s="1" t="s">
        <v>133</v>
      </c>
      <c r="L48" t="str">
        <f>VLOOKUP(D48, Products!A:C, 3, FALSE)</f>
        <v>Apparel</v>
      </c>
      <c r="M48" t="str">
        <f>VLOOKUP(C48, Customers!A:E, 5, FALSE)</f>
        <v>Retail</v>
      </c>
      <c r="N48">
        <f>VLOOKUP(C48, Customers!A:E, 3, FALSE)</f>
        <v>64</v>
      </c>
      <c r="O48" s="93" t="str">
        <f>VLOOKUP(E48, Sales_Reps!A:C, 3, FALSE)</f>
        <v>East</v>
      </c>
      <c r="P48">
        <f>VLOOKUP(D48, Products!A:E, 4, FALSE)</f>
        <v>2611</v>
      </c>
      <c r="Q48">
        <f>IF(COUNTIF($A$2:A48, A48)=2, 1, 0)</f>
        <v>0</v>
      </c>
      <c r="R48">
        <f>IF(ISNA(MATCH(C48, Customers!$A:$A, 0)), 1, 0)</f>
        <v>0</v>
      </c>
      <c r="S48" s="94" t="b">
        <f>VLOOKUP(D48, Products!A:F, 6, FALSE)</f>
        <v>1</v>
      </c>
    </row>
    <row r="49" spans="1:19">
      <c r="A49" s="102" t="s">
        <v>239</v>
      </c>
      <c r="B49" s="2">
        <v>45370</v>
      </c>
      <c r="C49" s="1" t="s">
        <v>240</v>
      </c>
      <c r="D49" s="1" t="s">
        <v>241</v>
      </c>
      <c r="E49" s="1" t="s">
        <v>148</v>
      </c>
      <c r="F49" s="83">
        <v>8</v>
      </c>
      <c r="G49" s="92">
        <v>6080</v>
      </c>
      <c r="H49" s="3">
        <v>24.4</v>
      </c>
      <c r="I49" s="3">
        <v>36771.839999999997</v>
      </c>
      <c r="J49" s="1" t="s">
        <v>87</v>
      </c>
      <c r="K49" s="1" t="s">
        <v>88</v>
      </c>
      <c r="L49" t="str">
        <f>VLOOKUP(D49, Products!A:C, 3, FALSE)</f>
        <v>Beauty</v>
      </c>
      <c r="M49" t="e">
        <f>VLOOKUP(C49, Customers!A:E, 5, FALSE)</f>
        <v>#N/A</v>
      </c>
      <c r="N49" t="e">
        <f>VLOOKUP(C49, Customers!A:E, 3, FALSE)</f>
        <v>#N/A</v>
      </c>
      <c r="O49" s="93" t="str">
        <f>VLOOKUP(E49, Sales_Reps!A:C, 3, FALSE)</f>
        <v>North</v>
      </c>
      <c r="P49">
        <f>VLOOKUP(D49, Products!A:E, 4, FALSE)</f>
        <v>2617</v>
      </c>
      <c r="Q49">
        <f>IF(COUNTIF($A$2:A49, A49)=2, 1, 0)</f>
        <v>0</v>
      </c>
      <c r="R49">
        <f>IF(ISNA(MATCH(C49, Customers!$A:$A, 0)), 1, 0)</f>
        <v>1</v>
      </c>
      <c r="S49" s="94" t="b">
        <f>VLOOKUP(D49, Products!A:F, 6, FALSE)</f>
        <v>1</v>
      </c>
    </row>
    <row r="50" spans="1:19">
      <c r="A50" s="102" t="s">
        <v>242</v>
      </c>
      <c r="B50" s="2">
        <v>45389</v>
      </c>
      <c r="C50" s="1" t="s">
        <v>186</v>
      </c>
      <c r="D50" s="1" t="s">
        <v>127</v>
      </c>
      <c r="E50" s="1" t="s">
        <v>86</v>
      </c>
      <c r="F50" s="83">
        <v>10</v>
      </c>
      <c r="G50" s="92">
        <v>970</v>
      </c>
      <c r="H50" s="3">
        <v>0.6</v>
      </c>
      <c r="I50" s="3">
        <v>9641.7999999999993</v>
      </c>
      <c r="J50" s="1" t="s">
        <v>140</v>
      </c>
      <c r="K50" s="1" t="s">
        <v>94</v>
      </c>
      <c r="L50" t="str">
        <f>VLOOKUP(D50, Products!A:C, 3, FALSE)</f>
        <v>Grocery</v>
      </c>
      <c r="M50" t="str">
        <f>VLOOKUP(C50, Customers!A:E, 5, FALSE)</f>
        <v>SMB</v>
      </c>
      <c r="N50">
        <f>VLOOKUP(C50, Customers!A:E, 3, FALSE)</f>
        <v>52</v>
      </c>
      <c r="O50" s="93" t="str">
        <f>VLOOKUP(E50, Sales_Reps!A:C, 3, FALSE)</f>
        <v>North</v>
      </c>
      <c r="P50">
        <f>VLOOKUP(D50, Products!A:E, 4, FALSE)</f>
        <v>434</v>
      </c>
      <c r="Q50">
        <f>IF(COUNTIF($A$2:A50, A50)=2, 1, 0)</f>
        <v>0</v>
      </c>
      <c r="R50">
        <f>IF(ISNA(MATCH(C50, Customers!$A:$A, 0)), 1, 0)</f>
        <v>0</v>
      </c>
      <c r="S50" s="94" t="b">
        <f>VLOOKUP(D50, Products!A:F, 6, FALSE)</f>
        <v>1</v>
      </c>
    </row>
    <row r="51" spans="1:19">
      <c r="A51" s="102" t="s">
        <v>243</v>
      </c>
      <c r="B51" s="2">
        <v>45565</v>
      </c>
      <c r="C51" s="1" t="s">
        <v>244</v>
      </c>
      <c r="D51" s="1" t="s">
        <v>245</v>
      </c>
      <c r="E51" s="1" t="s">
        <v>128</v>
      </c>
      <c r="F51" s="83">
        <v>1</v>
      </c>
      <c r="G51" s="92">
        <v>2270</v>
      </c>
      <c r="H51" s="3">
        <v>11.5</v>
      </c>
      <c r="I51" s="3">
        <v>2008.95</v>
      </c>
      <c r="J51" s="1" t="s">
        <v>93</v>
      </c>
      <c r="K51" s="1" t="s">
        <v>94</v>
      </c>
      <c r="L51" t="str">
        <f>VLOOKUP(D51, Products!A:C, 3, FALSE)</f>
        <v>Grocery</v>
      </c>
      <c r="M51" t="str">
        <f>VLOOKUP(C51, Customers!A:E, 5, FALSE)</f>
        <v>Corporate</v>
      </c>
      <c r="N51">
        <f>VLOOKUP(C51, Customers!A:E, 3, FALSE)</f>
        <v>52</v>
      </c>
      <c r="O51" s="93" t="str">
        <f>VLOOKUP(E51, Sales_Reps!A:C, 3, FALSE)</f>
        <v>West</v>
      </c>
      <c r="P51">
        <f>VLOOKUP(D51, Products!A:E, 4, FALSE)</f>
        <v>1412</v>
      </c>
      <c r="Q51">
        <f>IF(COUNTIF($A$2:A51, A51)=2, 1, 0)</f>
        <v>0</v>
      </c>
      <c r="R51">
        <f>IF(ISNA(MATCH(C51, Customers!$A:$A, 0)), 1, 0)</f>
        <v>0</v>
      </c>
      <c r="S51" s="94" t="b">
        <f>VLOOKUP(D51, Products!A:F, 6, FALSE)</f>
        <v>1</v>
      </c>
    </row>
    <row r="52" spans="1:19">
      <c r="A52" s="102" t="s">
        <v>246</v>
      </c>
      <c r="B52" s="2">
        <v>45323</v>
      </c>
      <c r="C52" s="1" t="s">
        <v>247</v>
      </c>
      <c r="D52" s="1" t="s">
        <v>248</v>
      </c>
      <c r="E52" s="1" t="s">
        <v>154</v>
      </c>
      <c r="F52" s="83">
        <v>7</v>
      </c>
      <c r="G52" s="92">
        <v>3870</v>
      </c>
      <c r="H52" s="3">
        <v>0.3</v>
      </c>
      <c r="I52" s="3">
        <v>27008.73</v>
      </c>
      <c r="J52" s="1" t="s">
        <v>140</v>
      </c>
      <c r="K52" s="1" t="s">
        <v>117</v>
      </c>
      <c r="L52" t="str">
        <f>VLOOKUP(D52, Products!A:C, 3, FALSE)</f>
        <v>Electronics</v>
      </c>
      <c r="M52" t="str">
        <f>VLOOKUP(C52, Customers!A:E, 5, FALSE)</f>
        <v>Retail</v>
      </c>
      <c r="N52">
        <f>VLOOKUP(C52, Customers!A:E, 3, FALSE)</f>
        <v>34</v>
      </c>
      <c r="O52" s="93" t="str">
        <f>VLOOKUP(E52, Sales_Reps!A:C, 3, FALSE)</f>
        <v>East</v>
      </c>
      <c r="P52">
        <f>VLOOKUP(D52, Products!A:E, 4, FALSE)</f>
        <v>1559</v>
      </c>
      <c r="Q52">
        <f>IF(COUNTIF($A$2:A52, A52)=2, 1, 0)</f>
        <v>0</v>
      </c>
      <c r="R52">
        <f>IF(ISNA(MATCH(C52, Customers!$A:$A, 0)), 1, 0)</f>
        <v>0</v>
      </c>
      <c r="S52" s="94" t="b">
        <f>VLOOKUP(D52, Products!A:F, 6, FALSE)</f>
        <v>1</v>
      </c>
    </row>
    <row r="53" spans="1:19">
      <c r="A53" s="102" t="s">
        <v>249</v>
      </c>
      <c r="B53" s="2">
        <v>45506</v>
      </c>
      <c r="C53" s="1" t="s">
        <v>250</v>
      </c>
      <c r="D53" s="1" t="s">
        <v>184</v>
      </c>
      <c r="E53" s="1" t="s">
        <v>204</v>
      </c>
      <c r="F53" s="83">
        <v>1</v>
      </c>
      <c r="G53" s="92">
        <v>4880</v>
      </c>
      <c r="H53" s="3">
        <v>23.9</v>
      </c>
      <c r="I53" s="3">
        <v>3713.68</v>
      </c>
      <c r="J53" s="1" t="s">
        <v>93</v>
      </c>
      <c r="K53" s="1" t="s">
        <v>117</v>
      </c>
      <c r="L53" t="str">
        <f>VLOOKUP(D53, Products!A:C, 3, FALSE)</f>
        <v>Beauty</v>
      </c>
      <c r="M53" t="str">
        <f>VLOOKUP(C53, Customers!A:E, 5, FALSE)</f>
        <v>SMB</v>
      </c>
      <c r="N53">
        <f>VLOOKUP(C53, Customers!A:E, 3, FALSE)</f>
        <v>34</v>
      </c>
      <c r="O53" s="93" t="str">
        <f>VLOOKUP(E53, Sales_Reps!A:C, 3, FALSE)</f>
        <v>South</v>
      </c>
      <c r="P53">
        <f>VLOOKUP(D53, Products!A:E, 4, FALSE)</f>
        <v>2768</v>
      </c>
      <c r="Q53">
        <f>IF(COUNTIF($A$2:A53, A53)=2, 1, 0)</f>
        <v>0</v>
      </c>
      <c r="R53">
        <f>IF(ISNA(MATCH(C53, Customers!$A:$A, 0)), 1, 0)</f>
        <v>0</v>
      </c>
      <c r="S53" s="94" t="b">
        <f>VLOOKUP(D53, Products!A:F, 6, FALSE)</f>
        <v>1</v>
      </c>
    </row>
    <row r="54" spans="1:19">
      <c r="A54" s="102" t="s">
        <v>251</v>
      </c>
      <c r="B54" s="2">
        <v>45616</v>
      </c>
      <c r="C54" s="1" t="s">
        <v>105</v>
      </c>
      <c r="D54" s="1" t="s">
        <v>234</v>
      </c>
      <c r="E54" s="1" t="s">
        <v>252</v>
      </c>
      <c r="F54" s="83">
        <v>5</v>
      </c>
      <c r="G54" s="92">
        <v>3780</v>
      </c>
      <c r="H54" s="3">
        <v>18.5</v>
      </c>
      <c r="I54" s="3">
        <v>15403.5</v>
      </c>
      <c r="J54" s="1" t="s">
        <v>87</v>
      </c>
      <c r="K54" s="1" t="s">
        <v>94</v>
      </c>
      <c r="L54" t="str">
        <f>VLOOKUP(D54, Products!A:C, 3, FALSE)</f>
        <v>Grocery</v>
      </c>
      <c r="M54" t="str">
        <f>VLOOKUP(C54, Customers!A:E, 5, FALSE)</f>
        <v>Retail</v>
      </c>
      <c r="N54">
        <f>VLOOKUP(C54, Customers!A:E, 3, FALSE)</f>
        <v>36</v>
      </c>
      <c r="O54" s="93" t="str">
        <f>VLOOKUP(E54, Sales_Reps!A:C, 3, FALSE)</f>
        <v>South</v>
      </c>
      <c r="P54">
        <f>VLOOKUP(D54, Products!A:E, 4, FALSE)</f>
        <v>2436</v>
      </c>
      <c r="Q54">
        <f>IF(COUNTIF($A$2:A54, A54)=2, 1, 0)</f>
        <v>0</v>
      </c>
      <c r="R54">
        <f>IF(ISNA(MATCH(C54, Customers!$A:$A, 0)), 1, 0)</f>
        <v>0</v>
      </c>
      <c r="S54" s="94" t="b">
        <f>VLOOKUP(D54, Products!A:F, 6, FALSE)</f>
        <v>1</v>
      </c>
    </row>
    <row r="55" spans="1:19">
      <c r="A55" s="102" t="s">
        <v>253</v>
      </c>
      <c r="B55" s="2">
        <v>45428</v>
      </c>
      <c r="C55" s="1" t="s">
        <v>254</v>
      </c>
      <c r="D55" s="1" t="s">
        <v>143</v>
      </c>
      <c r="E55" s="1" t="s">
        <v>192</v>
      </c>
      <c r="F55" s="83">
        <v>10</v>
      </c>
      <c r="G55" s="92">
        <v>3250</v>
      </c>
      <c r="H55" s="3">
        <v>25.5</v>
      </c>
      <c r="I55" s="3">
        <v>24212.5</v>
      </c>
      <c r="J55" s="1" t="s">
        <v>87</v>
      </c>
      <c r="K55" s="1" t="s">
        <v>94</v>
      </c>
      <c r="L55" t="str">
        <f>VLOOKUP(D55, Products!A:C, 3, FALSE)</f>
        <v>Home</v>
      </c>
      <c r="M55" t="str">
        <f>VLOOKUP(C55, Customers!A:E, 5, FALSE)</f>
        <v>Retail</v>
      </c>
      <c r="N55">
        <f>VLOOKUP(C55, Customers!A:E, 3, FALSE)</f>
        <v>24</v>
      </c>
      <c r="O55" s="93" t="str">
        <f>VLOOKUP(E55, Sales_Reps!A:C, 3, FALSE)</f>
        <v>East</v>
      </c>
      <c r="P55">
        <f>VLOOKUP(D55, Products!A:E, 4, FALSE)</f>
        <v>1556</v>
      </c>
      <c r="Q55">
        <f>IF(COUNTIF($A$2:A55, A55)=2, 1, 0)</f>
        <v>0</v>
      </c>
      <c r="R55">
        <f>IF(ISNA(MATCH(C55, Customers!$A:$A, 0)), 1, 0)</f>
        <v>0</v>
      </c>
      <c r="S55" s="94" t="b">
        <f>VLOOKUP(D55, Products!A:F, 6, FALSE)</f>
        <v>1</v>
      </c>
    </row>
    <row r="56" spans="1:19">
      <c r="A56" s="102" t="s">
        <v>255</v>
      </c>
      <c r="B56" s="2">
        <v>45515</v>
      </c>
      <c r="C56" s="1" t="s">
        <v>256</v>
      </c>
      <c r="D56" s="1" t="s">
        <v>237</v>
      </c>
      <c r="E56" s="1" t="s">
        <v>86</v>
      </c>
      <c r="F56" s="83">
        <v>4</v>
      </c>
      <c r="G56" s="92">
        <v>3640</v>
      </c>
      <c r="H56" s="3">
        <v>9.9</v>
      </c>
      <c r="I56" s="3">
        <v>13118.56</v>
      </c>
      <c r="J56" s="1" t="s">
        <v>144</v>
      </c>
      <c r="K56" s="1" t="s">
        <v>133</v>
      </c>
      <c r="L56" t="str">
        <f>VLOOKUP(D56, Products!A:C, 3, FALSE)</f>
        <v>Apparel</v>
      </c>
      <c r="M56" t="str">
        <f>VLOOKUP(C56, Customers!A:E, 5, FALSE)</f>
        <v>Retail</v>
      </c>
      <c r="N56">
        <f>VLOOKUP(C56, Customers!A:E, 3, FALSE)</f>
        <v>27</v>
      </c>
      <c r="O56" s="93" t="str">
        <f>VLOOKUP(E56, Sales_Reps!A:C, 3, FALSE)</f>
        <v>North</v>
      </c>
      <c r="P56">
        <f>VLOOKUP(D56, Products!A:E, 4, FALSE)</f>
        <v>2611</v>
      </c>
      <c r="Q56">
        <f>IF(COUNTIF($A$2:A56, A56)=2, 1, 0)</f>
        <v>0</v>
      </c>
      <c r="R56">
        <f>IF(ISNA(MATCH(C56, Customers!$A:$A, 0)), 1, 0)</f>
        <v>0</v>
      </c>
      <c r="S56" s="94" t="b">
        <f>VLOOKUP(D56, Products!A:F, 6, FALSE)</f>
        <v>1</v>
      </c>
    </row>
    <row r="57" spans="1:19">
      <c r="A57" s="102" t="s">
        <v>257</v>
      </c>
      <c r="B57" s="2">
        <v>45649</v>
      </c>
      <c r="C57" s="1" t="s">
        <v>258</v>
      </c>
      <c r="D57" s="1" t="s">
        <v>259</v>
      </c>
      <c r="E57" s="1" t="s">
        <v>154</v>
      </c>
      <c r="F57" s="83">
        <v>4</v>
      </c>
      <c r="G57" s="92">
        <v>1540</v>
      </c>
      <c r="H57" s="3">
        <v>28.8</v>
      </c>
      <c r="I57" s="3">
        <v>4385.92</v>
      </c>
      <c r="J57" s="1" t="s">
        <v>87</v>
      </c>
      <c r="K57" s="1" t="s">
        <v>99</v>
      </c>
      <c r="L57" t="str">
        <f>VLOOKUP(D57, Products!A:C, 3, FALSE)</f>
        <v>Beauty</v>
      </c>
      <c r="M57" t="str">
        <f>VLOOKUP(C57, Customers!A:E, 5, FALSE)</f>
        <v>SMB</v>
      </c>
      <c r="N57">
        <f>VLOOKUP(C57, Customers!A:E, 3, FALSE)</f>
        <v>55</v>
      </c>
      <c r="O57" s="93" t="str">
        <f>VLOOKUP(E57, Sales_Reps!A:C, 3, FALSE)</f>
        <v>East</v>
      </c>
      <c r="P57">
        <f>VLOOKUP(D57, Products!A:E, 4, FALSE)</f>
        <v>647</v>
      </c>
      <c r="Q57">
        <f>IF(COUNTIF($A$2:A57, A57)=2, 1, 0)</f>
        <v>0</v>
      </c>
      <c r="R57">
        <f>IF(ISNA(MATCH(C57, Customers!$A:$A, 0)), 1, 0)</f>
        <v>0</v>
      </c>
      <c r="S57" s="94" t="b">
        <f>VLOOKUP(D57, Products!A:F, 6, FALSE)</f>
        <v>0</v>
      </c>
    </row>
    <row r="58" spans="1:19">
      <c r="A58" s="102" t="s">
        <v>260</v>
      </c>
      <c r="B58" s="2">
        <v>45616</v>
      </c>
      <c r="C58" s="1" t="s">
        <v>261</v>
      </c>
      <c r="D58" s="1" t="s">
        <v>164</v>
      </c>
      <c r="E58" s="1" t="s">
        <v>238</v>
      </c>
      <c r="F58" s="83">
        <v>1</v>
      </c>
      <c r="G58" s="92">
        <v>1080</v>
      </c>
      <c r="H58" s="3">
        <v>23</v>
      </c>
      <c r="I58" s="3">
        <v>831.6</v>
      </c>
      <c r="J58" s="1" t="s">
        <v>140</v>
      </c>
      <c r="K58" s="1" t="s">
        <v>99</v>
      </c>
      <c r="L58" t="str">
        <f>VLOOKUP(D58, Products!A:C, 3, FALSE)</f>
        <v>Home</v>
      </c>
      <c r="M58" t="str">
        <f>VLOOKUP(C58, Customers!A:E, 5, FALSE)</f>
        <v>Retail</v>
      </c>
      <c r="N58">
        <f>VLOOKUP(C58, Customers!A:E, 3, FALSE)</f>
        <v>54</v>
      </c>
      <c r="O58" s="93" t="str">
        <f>VLOOKUP(E58, Sales_Reps!A:C, 3, FALSE)</f>
        <v>East</v>
      </c>
      <c r="P58">
        <f>VLOOKUP(D58, Products!A:E, 4, FALSE)</f>
        <v>519</v>
      </c>
      <c r="Q58">
        <f>IF(COUNTIF($A$2:A58, A58)=2, 1, 0)</f>
        <v>0</v>
      </c>
      <c r="R58">
        <f>IF(ISNA(MATCH(C58, Customers!$A:$A, 0)), 1, 0)</f>
        <v>0</v>
      </c>
      <c r="S58" s="94" t="b">
        <f>VLOOKUP(D58, Products!A:F, 6, FALSE)</f>
        <v>1</v>
      </c>
    </row>
    <row r="59" spans="1:19">
      <c r="A59" s="102" t="s">
        <v>262</v>
      </c>
      <c r="B59" s="2">
        <v>45573</v>
      </c>
      <c r="C59" s="1" t="s">
        <v>263</v>
      </c>
      <c r="D59" s="1" t="s">
        <v>264</v>
      </c>
      <c r="E59" s="1" t="s">
        <v>86</v>
      </c>
      <c r="F59" s="83">
        <v>1</v>
      </c>
      <c r="G59" s="92">
        <v>4070</v>
      </c>
      <c r="H59" s="3">
        <v>6.7</v>
      </c>
      <c r="I59" s="3">
        <v>3797.31</v>
      </c>
      <c r="J59" s="1" t="s">
        <v>87</v>
      </c>
      <c r="K59" s="1" t="s">
        <v>133</v>
      </c>
      <c r="L59" t="str">
        <f>VLOOKUP(D59, Products!A:C, 3, FALSE)</f>
        <v>Grocery</v>
      </c>
      <c r="M59" t="str">
        <f>VLOOKUP(C59, Customers!A:E, 5, FALSE)</f>
        <v>Retail</v>
      </c>
      <c r="N59">
        <f>VLOOKUP(C59, Customers!A:E, 3, FALSE)</f>
        <v>53</v>
      </c>
      <c r="O59" s="93" t="str">
        <f>VLOOKUP(E59, Sales_Reps!A:C, 3, FALSE)</f>
        <v>North</v>
      </c>
      <c r="P59">
        <f>VLOOKUP(D59, Products!A:E, 4, FALSE)</f>
        <v>2027</v>
      </c>
      <c r="Q59">
        <f>IF(COUNTIF($A$2:A59, A59)=2, 1, 0)</f>
        <v>0</v>
      </c>
      <c r="R59">
        <f>IF(ISNA(MATCH(C59, Customers!$A:$A, 0)), 1, 0)</f>
        <v>0</v>
      </c>
      <c r="S59" s="94" t="b">
        <f>VLOOKUP(D59, Products!A:F, 6, FALSE)</f>
        <v>1</v>
      </c>
    </row>
    <row r="60" spans="1:19">
      <c r="A60" s="102" t="s">
        <v>265</v>
      </c>
      <c r="B60" s="2">
        <v>45417</v>
      </c>
      <c r="C60" s="1" t="s">
        <v>266</v>
      </c>
      <c r="D60" s="1" t="s">
        <v>267</v>
      </c>
      <c r="E60" s="1" t="s">
        <v>170</v>
      </c>
      <c r="F60" s="83">
        <v>2</v>
      </c>
      <c r="G60" s="92">
        <v>1220</v>
      </c>
      <c r="H60" s="3">
        <v>11.7</v>
      </c>
      <c r="I60" s="3">
        <v>2154.52</v>
      </c>
      <c r="J60" s="1" t="s">
        <v>140</v>
      </c>
      <c r="K60" s="1" t="s">
        <v>99</v>
      </c>
      <c r="L60" t="str">
        <f>VLOOKUP(D60, Products!A:C, 3, FALSE)</f>
        <v>Electronics</v>
      </c>
      <c r="M60" t="str">
        <f>VLOOKUP(C60, Customers!A:E, 5, FALSE)</f>
        <v>Corporate</v>
      </c>
      <c r="N60">
        <f>VLOOKUP(C60, Customers!A:E, 3, FALSE)</f>
        <v>55</v>
      </c>
      <c r="O60" s="93" t="str">
        <f>VLOOKUP(E60, Sales_Reps!A:C, 3, FALSE)</f>
        <v>West</v>
      </c>
      <c r="P60">
        <f>VLOOKUP(D60, Products!A:E, 4, FALSE)</f>
        <v>517</v>
      </c>
      <c r="Q60">
        <f>IF(COUNTIF($A$2:A60, A60)=2, 1, 0)</f>
        <v>0</v>
      </c>
      <c r="R60">
        <f>IF(ISNA(MATCH(C60, Customers!$A:$A, 0)), 1, 0)</f>
        <v>0</v>
      </c>
      <c r="S60" s="94" t="b">
        <f>VLOOKUP(D60, Products!A:F, 6, FALSE)</f>
        <v>1</v>
      </c>
    </row>
    <row r="61" spans="1:19">
      <c r="A61" s="102" t="s">
        <v>268</v>
      </c>
      <c r="B61" s="2">
        <v>45425</v>
      </c>
      <c r="C61" s="1" t="s">
        <v>269</v>
      </c>
      <c r="D61" s="1" t="s">
        <v>270</v>
      </c>
      <c r="E61" s="1" t="s">
        <v>229</v>
      </c>
      <c r="F61" s="83">
        <v>4</v>
      </c>
      <c r="G61" s="92">
        <v>4610</v>
      </c>
      <c r="H61" s="3">
        <v>26.9</v>
      </c>
      <c r="I61" s="3">
        <v>13479.64</v>
      </c>
      <c r="J61" s="1" t="s">
        <v>93</v>
      </c>
      <c r="K61" s="1" t="s">
        <v>112</v>
      </c>
      <c r="L61" t="str">
        <f>VLOOKUP(D61, Products!A:C, 3, FALSE)</f>
        <v>Home</v>
      </c>
      <c r="M61" t="str">
        <f>VLOOKUP(C61, Customers!A:E, 5, FALSE)</f>
        <v>Retail</v>
      </c>
      <c r="N61">
        <f>VLOOKUP(C61, Customers!A:E, 3, FALSE)</f>
        <v>40</v>
      </c>
      <c r="O61" s="93" t="str">
        <f>VLOOKUP(E61, Sales_Reps!A:C, 3, FALSE)</f>
        <v>West</v>
      </c>
      <c r="P61">
        <f>VLOOKUP(D61, Products!A:E, 4, FALSE)</f>
        <v>1850</v>
      </c>
      <c r="Q61">
        <f>IF(COUNTIF($A$2:A61, A61)=2, 1, 0)</f>
        <v>0</v>
      </c>
      <c r="R61">
        <f>IF(ISNA(MATCH(C61, Customers!$A:$A, 0)), 1, 0)</f>
        <v>0</v>
      </c>
      <c r="S61" s="94" t="b">
        <f>VLOOKUP(D61, Products!A:F, 6, FALSE)</f>
        <v>1</v>
      </c>
    </row>
    <row r="62" spans="1:19">
      <c r="A62" s="102" t="s">
        <v>271</v>
      </c>
      <c r="B62" s="2">
        <v>45589</v>
      </c>
      <c r="C62" s="1" t="s">
        <v>272</v>
      </c>
      <c r="D62" s="1" t="s">
        <v>164</v>
      </c>
      <c r="E62" s="1" t="s">
        <v>273</v>
      </c>
      <c r="F62" s="83">
        <v>8</v>
      </c>
      <c r="G62" s="92">
        <v>1080</v>
      </c>
      <c r="H62" s="3">
        <v>28.4</v>
      </c>
      <c r="I62" s="3">
        <v>6186.24</v>
      </c>
      <c r="J62" s="1" t="s">
        <v>87</v>
      </c>
      <c r="K62" s="1" t="s">
        <v>94</v>
      </c>
      <c r="L62" t="str">
        <f>VLOOKUP(D62, Products!A:C, 3, FALSE)</f>
        <v>Home</v>
      </c>
      <c r="M62" t="str">
        <f>VLOOKUP(C62, Customers!A:E, 5, FALSE)</f>
        <v>SMB</v>
      </c>
      <c r="N62">
        <f>VLOOKUP(C62, Customers!A:E, 3, FALSE)</f>
        <v>55</v>
      </c>
      <c r="O62" s="93" t="str">
        <f>VLOOKUP(E62, Sales_Reps!A:C, 3, FALSE)</f>
        <v>South</v>
      </c>
      <c r="P62">
        <f>VLOOKUP(D62, Products!A:E, 4, FALSE)</f>
        <v>519</v>
      </c>
      <c r="Q62">
        <f>IF(COUNTIF($A$2:A62, A62)=2, 1, 0)</f>
        <v>0</v>
      </c>
      <c r="R62">
        <f>IF(ISNA(MATCH(C62, Customers!$A:$A, 0)), 1, 0)</f>
        <v>0</v>
      </c>
      <c r="S62" s="94" t="b">
        <f>VLOOKUP(D62, Products!A:F, 6, FALSE)</f>
        <v>1</v>
      </c>
    </row>
    <row r="63" spans="1:19">
      <c r="A63" s="102" t="s">
        <v>274</v>
      </c>
      <c r="B63" s="2">
        <v>45488</v>
      </c>
      <c r="C63" s="1" t="s">
        <v>275</v>
      </c>
      <c r="D63" s="1" t="s">
        <v>276</v>
      </c>
      <c r="E63" s="1" t="s">
        <v>103</v>
      </c>
      <c r="F63" s="83">
        <v>10</v>
      </c>
      <c r="G63" s="92">
        <v>3020</v>
      </c>
      <c r="H63" s="3">
        <v>25.4</v>
      </c>
      <c r="I63" s="3">
        <v>22529.200000000001</v>
      </c>
      <c r="J63" s="1" t="s">
        <v>87</v>
      </c>
      <c r="K63" s="1" t="s">
        <v>88</v>
      </c>
      <c r="L63" t="str">
        <f>VLOOKUP(D63, Products!A:C, 3, FALSE)</f>
        <v>Beauty</v>
      </c>
      <c r="M63" t="str">
        <f>VLOOKUP(C63, Customers!A:E, 5, FALSE)</f>
        <v>Retail</v>
      </c>
      <c r="N63">
        <f>VLOOKUP(C63, Customers!A:E, 3, FALSE)</f>
        <v>44</v>
      </c>
      <c r="O63" s="93" t="str">
        <f>VLOOKUP(E63, Sales_Reps!A:C, 3, FALSE)</f>
        <v>North</v>
      </c>
      <c r="P63">
        <f>VLOOKUP(D63, Products!A:E, 4, FALSE)</f>
        <v>1626</v>
      </c>
      <c r="Q63">
        <f>IF(COUNTIF($A$2:A63, A63)=2, 1, 0)</f>
        <v>0</v>
      </c>
      <c r="R63">
        <f>IF(ISNA(MATCH(C63, Customers!$A:$A, 0)), 1, 0)</f>
        <v>0</v>
      </c>
      <c r="S63" s="94" t="b">
        <f>VLOOKUP(D63, Products!A:F, 6, FALSE)</f>
        <v>1</v>
      </c>
    </row>
    <row r="64" spans="1:19">
      <c r="A64" s="102" t="s">
        <v>277</v>
      </c>
      <c r="B64" s="2">
        <v>45465</v>
      </c>
      <c r="C64" s="1" t="s">
        <v>278</v>
      </c>
      <c r="D64" s="1" t="s">
        <v>279</v>
      </c>
      <c r="E64" s="1" t="s">
        <v>238</v>
      </c>
      <c r="F64" s="83">
        <v>7</v>
      </c>
      <c r="G64" s="92">
        <v>2660</v>
      </c>
      <c r="H64" s="3">
        <v>5.3</v>
      </c>
      <c r="I64" s="3">
        <v>17633.14</v>
      </c>
      <c r="J64" s="1" t="s">
        <v>87</v>
      </c>
      <c r="K64" s="1" t="s">
        <v>133</v>
      </c>
      <c r="L64" t="str">
        <f>VLOOKUP(D64, Products!A:C, 3, FALSE)</f>
        <v>Electronics</v>
      </c>
      <c r="M64" t="str">
        <f>VLOOKUP(C64, Customers!A:E, 5, FALSE)</f>
        <v>Corporate</v>
      </c>
      <c r="N64">
        <f>VLOOKUP(C64, Customers!A:E, 3, FALSE)</f>
        <v>29</v>
      </c>
      <c r="O64" s="93" t="str">
        <f>VLOOKUP(E64, Sales_Reps!A:C, 3, FALSE)</f>
        <v>East</v>
      </c>
      <c r="P64">
        <f>VLOOKUP(D64, Products!A:E, 4, FALSE)</f>
        <v>1259</v>
      </c>
      <c r="Q64">
        <f>IF(COUNTIF($A$2:A64, A64)=2, 1, 0)</f>
        <v>0</v>
      </c>
      <c r="R64">
        <f>IF(ISNA(MATCH(C64, Customers!$A:$A, 0)), 1, 0)</f>
        <v>0</v>
      </c>
      <c r="S64" s="94" t="b">
        <f>VLOOKUP(D64, Products!A:F, 6, FALSE)</f>
        <v>0</v>
      </c>
    </row>
    <row r="65" spans="1:19">
      <c r="A65" s="102" t="s">
        <v>280</v>
      </c>
      <c r="B65" s="2">
        <v>45599</v>
      </c>
      <c r="C65" s="1" t="s">
        <v>281</v>
      </c>
      <c r="D65" s="1" t="s">
        <v>282</v>
      </c>
      <c r="E65" s="1" t="s">
        <v>148</v>
      </c>
      <c r="F65" s="83">
        <v>9</v>
      </c>
      <c r="G65" s="92">
        <v>300</v>
      </c>
      <c r="H65" s="3">
        <v>25.3</v>
      </c>
      <c r="I65" s="3">
        <v>2016.9</v>
      </c>
      <c r="J65" s="1" t="s">
        <v>87</v>
      </c>
      <c r="K65" s="1" t="s">
        <v>88</v>
      </c>
      <c r="L65" t="str">
        <f>VLOOKUP(D65, Products!A:C, 3, FALSE)</f>
        <v>Electronics</v>
      </c>
      <c r="M65" t="str">
        <f>VLOOKUP(C65, Customers!A:E, 5, FALSE)</f>
        <v>Retail</v>
      </c>
      <c r="N65">
        <f>VLOOKUP(C65, Customers!A:E, 3, FALSE)</f>
        <v>25</v>
      </c>
      <c r="O65" s="93" t="str">
        <f>VLOOKUP(E65, Sales_Reps!A:C, 3, FALSE)</f>
        <v>North</v>
      </c>
      <c r="P65">
        <f>VLOOKUP(D65, Products!A:E, 4, FALSE)</f>
        <v>128</v>
      </c>
      <c r="Q65">
        <f>IF(COUNTIF($A$2:A65, A65)=2, 1, 0)</f>
        <v>0</v>
      </c>
      <c r="R65">
        <f>IF(ISNA(MATCH(C65, Customers!$A:$A, 0)), 1, 0)</f>
        <v>0</v>
      </c>
      <c r="S65" s="94" t="b">
        <f>VLOOKUP(D65, Products!A:F, 6, FALSE)</f>
        <v>1</v>
      </c>
    </row>
    <row r="66" spans="1:19">
      <c r="A66" s="102" t="s">
        <v>283</v>
      </c>
      <c r="B66" s="2">
        <v>45317</v>
      </c>
      <c r="C66" s="1" t="s">
        <v>284</v>
      </c>
      <c r="D66" s="1" t="s">
        <v>135</v>
      </c>
      <c r="E66" s="1" t="s">
        <v>285</v>
      </c>
      <c r="F66" s="83">
        <v>10</v>
      </c>
      <c r="G66" s="92">
        <v>2640</v>
      </c>
      <c r="H66" s="3">
        <v>18.7</v>
      </c>
      <c r="I66" s="3">
        <v>21463.200000000001</v>
      </c>
      <c r="J66" s="1" t="s">
        <v>140</v>
      </c>
      <c r="K66" s="1" t="s">
        <v>94</v>
      </c>
      <c r="L66" t="str">
        <f>VLOOKUP(D66, Products!A:C, 3, FALSE)</f>
        <v>Electronics</v>
      </c>
      <c r="M66" t="str">
        <f>VLOOKUP(C66, Customers!A:E, 5, FALSE)</f>
        <v>Retail</v>
      </c>
      <c r="N66">
        <f>VLOOKUP(C66, Customers!A:E, 3, FALSE)</f>
        <v>28</v>
      </c>
      <c r="O66" s="93" t="str">
        <f>VLOOKUP(E66, Sales_Reps!A:C, 3, FALSE)</f>
        <v>East</v>
      </c>
      <c r="P66">
        <f>VLOOKUP(D66, Products!A:E, 4, FALSE)</f>
        <v>1149</v>
      </c>
      <c r="Q66">
        <f>IF(COUNTIF($A$2:A66, A66)=2, 1, 0)</f>
        <v>0</v>
      </c>
      <c r="R66">
        <f>IF(ISNA(MATCH(C66, Customers!$A:$A, 0)), 1, 0)</f>
        <v>0</v>
      </c>
      <c r="S66" s="94" t="b">
        <f>VLOOKUP(D66, Products!A:F, 6, FALSE)</f>
        <v>1</v>
      </c>
    </row>
    <row r="67" spans="1:19">
      <c r="A67" s="102" t="s">
        <v>286</v>
      </c>
      <c r="B67" s="2">
        <v>45462</v>
      </c>
      <c r="C67" s="1" t="s">
        <v>219</v>
      </c>
      <c r="D67" s="1" t="s">
        <v>91</v>
      </c>
      <c r="E67" s="1" t="s">
        <v>192</v>
      </c>
      <c r="F67" s="83">
        <v>8</v>
      </c>
      <c r="G67" s="92">
        <v>820</v>
      </c>
      <c r="H67" s="3">
        <v>24</v>
      </c>
      <c r="I67" s="3">
        <v>4985.6000000000004</v>
      </c>
      <c r="J67" s="1" t="s">
        <v>87</v>
      </c>
      <c r="K67" s="1" t="s">
        <v>99</v>
      </c>
      <c r="L67" t="str">
        <f>VLOOKUP(D67, Products!A:C, 3, FALSE)</f>
        <v>Apparel</v>
      </c>
      <c r="M67" t="str">
        <f>VLOOKUP(C67, Customers!A:E, 5, FALSE)</f>
        <v>SMB</v>
      </c>
      <c r="N67">
        <f>VLOOKUP(C67, Customers!A:E, 3, FALSE)</f>
        <v>50</v>
      </c>
      <c r="O67" s="93" t="str">
        <f>VLOOKUP(E67, Sales_Reps!A:C, 3, FALSE)</f>
        <v>East</v>
      </c>
      <c r="P67">
        <f>VLOOKUP(D67, Products!A:E, 4, FALSE)</f>
        <v>391</v>
      </c>
      <c r="Q67">
        <f>IF(COUNTIF($A$2:A67, A67)=2, 1, 0)</f>
        <v>0</v>
      </c>
      <c r="R67">
        <f>IF(ISNA(MATCH(C67, Customers!$A:$A, 0)), 1, 0)</f>
        <v>0</v>
      </c>
      <c r="S67" s="94" t="b">
        <f>VLOOKUP(D67, Products!A:F, 6, FALSE)</f>
        <v>1</v>
      </c>
    </row>
    <row r="68" spans="1:19">
      <c r="A68" s="102" t="s">
        <v>287</v>
      </c>
      <c r="B68" s="2">
        <v>45499</v>
      </c>
      <c r="C68" s="1" t="s">
        <v>90</v>
      </c>
      <c r="D68" s="1" t="s">
        <v>200</v>
      </c>
      <c r="E68" s="1" t="s">
        <v>128</v>
      </c>
      <c r="F68" s="83">
        <v>1</v>
      </c>
      <c r="G68" s="92">
        <v>2760</v>
      </c>
      <c r="H68" s="3">
        <v>4.8</v>
      </c>
      <c r="I68" s="3">
        <v>2627.52</v>
      </c>
      <c r="J68" s="1" t="s">
        <v>87</v>
      </c>
      <c r="K68" s="1" t="s">
        <v>94</v>
      </c>
      <c r="L68" t="str">
        <f>VLOOKUP(D68, Products!A:C, 3, FALSE)</f>
        <v>Grocery</v>
      </c>
      <c r="M68" t="str">
        <f>VLOOKUP(C68, Customers!A:E, 5, FALSE)</f>
        <v>Retail</v>
      </c>
      <c r="N68">
        <f>VLOOKUP(C68, Customers!A:E, 3, FALSE)</f>
        <v>39</v>
      </c>
      <c r="O68" s="93" t="str">
        <f>VLOOKUP(E68, Sales_Reps!A:C, 3, FALSE)</f>
        <v>West</v>
      </c>
      <c r="P68">
        <f>VLOOKUP(D68, Products!A:E, 4, FALSE)</f>
        <v>1435</v>
      </c>
      <c r="Q68">
        <f>IF(COUNTIF($A$2:A68, A68)=2, 1, 0)</f>
        <v>0</v>
      </c>
      <c r="R68">
        <f>IF(ISNA(MATCH(C68, Customers!$A:$A, 0)), 1, 0)</f>
        <v>0</v>
      </c>
      <c r="S68" s="94" t="b">
        <f>VLOOKUP(D68, Products!A:F, 6, FALSE)</f>
        <v>1</v>
      </c>
    </row>
    <row r="69" spans="1:19">
      <c r="A69" s="102" t="s">
        <v>288</v>
      </c>
      <c r="B69" s="2">
        <v>45328</v>
      </c>
      <c r="C69" s="1" t="s">
        <v>289</v>
      </c>
      <c r="D69" s="1" t="s">
        <v>85</v>
      </c>
      <c r="E69" s="1" t="s">
        <v>238</v>
      </c>
      <c r="F69" s="83">
        <v>2</v>
      </c>
      <c r="G69" s="92">
        <v>3620</v>
      </c>
      <c r="H69" s="3">
        <v>19.100000000000001</v>
      </c>
      <c r="I69" s="3">
        <v>5857.16</v>
      </c>
      <c r="J69" s="1" t="s">
        <v>87</v>
      </c>
      <c r="K69" s="1" t="s">
        <v>94</v>
      </c>
      <c r="L69" t="str">
        <f>VLOOKUP(D69, Products!A:C, 3, FALSE)</f>
        <v>Apparel</v>
      </c>
      <c r="M69" t="str">
        <f>VLOOKUP(C69, Customers!A:E, 5, FALSE)</f>
        <v>Retail</v>
      </c>
      <c r="N69">
        <f>VLOOKUP(C69, Customers!A:E, 3, FALSE)</f>
        <v>38</v>
      </c>
      <c r="O69" s="93" t="str">
        <f>VLOOKUP(E69, Sales_Reps!A:C, 3, FALSE)</f>
        <v>East</v>
      </c>
      <c r="P69">
        <f>VLOOKUP(D69, Products!A:E, 4, FALSE)</f>
        <v>2509</v>
      </c>
      <c r="Q69">
        <f>IF(COUNTIF($A$2:A69, A69)=2, 1, 0)</f>
        <v>0</v>
      </c>
      <c r="R69">
        <f>IF(ISNA(MATCH(C69, Customers!$A:$A, 0)), 1, 0)</f>
        <v>0</v>
      </c>
      <c r="S69" s="94" t="b">
        <f>VLOOKUP(D69, Products!A:F, 6, FALSE)</f>
        <v>1</v>
      </c>
    </row>
    <row r="70" spans="1:19">
      <c r="A70" s="102" t="s">
        <v>290</v>
      </c>
      <c r="B70" s="2">
        <v>45459</v>
      </c>
      <c r="C70" s="1" t="s">
        <v>291</v>
      </c>
      <c r="D70" s="1" t="s">
        <v>292</v>
      </c>
      <c r="E70" s="1" t="s">
        <v>111</v>
      </c>
      <c r="F70" s="83">
        <v>1</v>
      </c>
      <c r="G70" s="92">
        <v>620</v>
      </c>
      <c r="H70" s="3">
        <v>1</v>
      </c>
      <c r="I70" s="3">
        <v>613.79999999999995</v>
      </c>
      <c r="J70" s="1" t="s">
        <v>87</v>
      </c>
      <c r="K70" s="1" t="s">
        <v>99</v>
      </c>
      <c r="L70" t="str">
        <f>VLOOKUP(D70, Products!A:C, 3, FALSE)</f>
        <v>Apparel</v>
      </c>
      <c r="M70" t="str">
        <f>VLOOKUP(C70, Customers!A:E, 5, FALSE)</f>
        <v>Retail</v>
      </c>
      <c r="N70">
        <f>VLOOKUP(C70, Customers!A:E, 3, FALSE)</f>
        <v>35</v>
      </c>
      <c r="O70" s="93" t="str">
        <f>VLOOKUP(E70, Sales_Reps!A:C, 3, FALSE)</f>
        <v>West</v>
      </c>
      <c r="P70">
        <f>VLOOKUP(D70, Products!A:E, 4, FALSE)</f>
        <v>396</v>
      </c>
      <c r="Q70">
        <f>IF(COUNTIF($A$2:A70, A70)=2, 1, 0)</f>
        <v>0</v>
      </c>
      <c r="R70">
        <f>IF(ISNA(MATCH(C70, Customers!$A:$A, 0)), 1, 0)</f>
        <v>0</v>
      </c>
      <c r="S70" s="94" t="b">
        <f>VLOOKUP(D70, Products!A:F, 6, FALSE)</f>
        <v>1</v>
      </c>
    </row>
    <row r="71" spans="1:19">
      <c r="A71" s="102" t="s">
        <v>293</v>
      </c>
      <c r="B71" s="2">
        <v>45398</v>
      </c>
      <c r="C71" s="1" t="s">
        <v>294</v>
      </c>
      <c r="D71" s="1" t="s">
        <v>295</v>
      </c>
      <c r="E71" s="1" t="s">
        <v>170</v>
      </c>
      <c r="F71" s="83">
        <v>1</v>
      </c>
      <c r="G71" s="92">
        <v>2030</v>
      </c>
      <c r="H71" s="3">
        <v>3.3</v>
      </c>
      <c r="I71" s="3">
        <v>1963.01</v>
      </c>
      <c r="J71" s="1" t="s">
        <v>87</v>
      </c>
      <c r="K71" s="1" t="s">
        <v>133</v>
      </c>
      <c r="L71" t="str">
        <f>VLOOKUP(D71, Products!A:C, 3, FALSE)</f>
        <v>Home</v>
      </c>
      <c r="M71" t="str">
        <f>VLOOKUP(C71, Customers!A:E, 5, FALSE)</f>
        <v>SMB</v>
      </c>
      <c r="N71">
        <f>VLOOKUP(C71, Customers!A:E, 3, FALSE)</f>
        <v>43</v>
      </c>
      <c r="O71" s="93" t="str">
        <f>VLOOKUP(E71, Sales_Reps!A:C, 3, FALSE)</f>
        <v>West</v>
      </c>
      <c r="P71">
        <f>VLOOKUP(D71, Products!A:E, 4, FALSE)</f>
        <v>1143</v>
      </c>
      <c r="Q71">
        <f>IF(COUNTIF($A$2:A71, A71)=2, 1, 0)</f>
        <v>0</v>
      </c>
      <c r="R71">
        <f>IF(ISNA(MATCH(C71, Customers!$A:$A, 0)), 1, 0)</f>
        <v>0</v>
      </c>
      <c r="S71" s="94" t="b">
        <f>VLOOKUP(D71, Products!A:F, 6, FALSE)</f>
        <v>1</v>
      </c>
    </row>
    <row r="72" spans="1:19">
      <c r="A72" s="102" t="s">
        <v>296</v>
      </c>
      <c r="B72" s="2">
        <v>45470</v>
      </c>
      <c r="C72" s="1" t="s">
        <v>105</v>
      </c>
      <c r="D72" s="1" t="s">
        <v>106</v>
      </c>
      <c r="E72" s="1" t="s">
        <v>297</v>
      </c>
      <c r="F72" s="83">
        <v>10</v>
      </c>
      <c r="G72" s="92">
        <v>3160</v>
      </c>
      <c r="H72" s="3">
        <v>15.8</v>
      </c>
      <c r="I72" s="3">
        <v>26607.200000000001</v>
      </c>
      <c r="J72" s="1" t="s">
        <v>87</v>
      </c>
      <c r="K72" s="1" t="s">
        <v>94</v>
      </c>
      <c r="L72" t="str">
        <f>VLOOKUP(D72, Products!A:C, 3, FALSE)</f>
        <v>Apparel</v>
      </c>
      <c r="M72" t="str">
        <f>VLOOKUP(C72, Customers!A:E, 5, FALSE)</f>
        <v>Retail</v>
      </c>
      <c r="N72">
        <f>VLOOKUP(C72, Customers!A:E, 3, FALSE)</f>
        <v>36</v>
      </c>
      <c r="O72" s="93" t="str">
        <f>VLOOKUP(E72, Sales_Reps!A:C, 3, FALSE)</f>
        <v>North</v>
      </c>
      <c r="P72">
        <f>VLOOKUP(D72, Products!A:E, 4, FALSE)</f>
        <v>1886</v>
      </c>
      <c r="Q72">
        <f>IF(COUNTIF($A$2:A72, A72)=2, 1, 0)</f>
        <v>0</v>
      </c>
      <c r="R72">
        <f>IF(ISNA(MATCH(C72, Customers!$A:$A, 0)), 1, 0)</f>
        <v>0</v>
      </c>
      <c r="S72" s="94" t="b">
        <f>VLOOKUP(D72, Products!A:F, 6, FALSE)</f>
        <v>1</v>
      </c>
    </row>
    <row r="73" spans="1:19">
      <c r="A73" s="102" t="s">
        <v>298</v>
      </c>
      <c r="B73" s="2">
        <v>45346</v>
      </c>
      <c r="C73" s="1" t="s">
        <v>299</v>
      </c>
      <c r="D73" s="1" t="s">
        <v>127</v>
      </c>
      <c r="E73" s="1" t="s">
        <v>215</v>
      </c>
      <c r="F73" s="83">
        <v>5</v>
      </c>
      <c r="G73" s="92">
        <v>970</v>
      </c>
      <c r="H73" s="3">
        <v>12.2</v>
      </c>
      <c r="I73" s="3">
        <v>4258.3</v>
      </c>
      <c r="J73" s="1" t="s">
        <v>87</v>
      </c>
      <c r="K73" s="1" t="s">
        <v>133</v>
      </c>
      <c r="L73" t="str">
        <f>VLOOKUP(D73, Products!A:C, 3, FALSE)</f>
        <v>Grocery</v>
      </c>
      <c r="M73" t="str">
        <f>VLOOKUP(C73, Customers!A:E, 5, FALSE)</f>
        <v>Retail</v>
      </c>
      <c r="N73">
        <f>VLOOKUP(C73, Customers!A:E, 3, FALSE)</f>
        <v>29</v>
      </c>
      <c r="O73" s="93" t="str">
        <f>VLOOKUP(E73, Sales_Reps!A:C, 3, FALSE)</f>
        <v>North</v>
      </c>
      <c r="P73">
        <f>VLOOKUP(D73, Products!A:E, 4, FALSE)</f>
        <v>434</v>
      </c>
      <c r="Q73">
        <f>IF(COUNTIF($A$2:A73, A73)=2, 1, 0)</f>
        <v>0</v>
      </c>
      <c r="R73">
        <f>IF(ISNA(MATCH(C73, Customers!$A:$A, 0)), 1, 0)</f>
        <v>0</v>
      </c>
      <c r="S73" s="94" t="b">
        <f>VLOOKUP(D73, Products!A:F, 6, FALSE)</f>
        <v>1</v>
      </c>
    </row>
    <row r="74" spans="1:19">
      <c r="A74" s="102" t="s">
        <v>300</v>
      </c>
      <c r="B74" s="2">
        <v>45483</v>
      </c>
      <c r="C74" s="1" t="s">
        <v>301</v>
      </c>
      <c r="D74" s="1" t="s">
        <v>179</v>
      </c>
      <c r="E74" s="1" t="s">
        <v>148</v>
      </c>
      <c r="F74" s="83">
        <v>9</v>
      </c>
      <c r="G74" s="92">
        <v>3350</v>
      </c>
      <c r="H74" s="3">
        <v>25.8</v>
      </c>
      <c r="I74" s="3">
        <v>22371.3</v>
      </c>
      <c r="J74" s="1" t="s">
        <v>93</v>
      </c>
      <c r="K74" s="1" t="s">
        <v>94</v>
      </c>
      <c r="L74" t="str">
        <f>VLOOKUP(D74, Products!A:C, 3, FALSE)</f>
        <v>Beauty</v>
      </c>
      <c r="M74" t="str">
        <f>VLOOKUP(C74, Customers!A:E, 5, FALSE)</f>
        <v>Retail</v>
      </c>
      <c r="N74">
        <f>VLOOKUP(C74, Customers!A:E, 3, FALSE)</f>
        <v>41</v>
      </c>
      <c r="O74" s="93" t="str">
        <f>VLOOKUP(E74, Sales_Reps!A:C, 3, FALSE)</f>
        <v>North</v>
      </c>
      <c r="P74">
        <f>VLOOKUP(D74, Products!A:E, 4, FALSE)</f>
        <v>1728</v>
      </c>
      <c r="Q74">
        <f>IF(COUNTIF($A$2:A74, A74)=2, 1, 0)</f>
        <v>0</v>
      </c>
      <c r="R74">
        <f>IF(ISNA(MATCH(C74, Customers!$A:$A, 0)), 1, 0)</f>
        <v>0</v>
      </c>
      <c r="S74" s="94" t="b">
        <f>VLOOKUP(D74, Products!A:F, 6, FALSE)</f>
        <v>1</v>
      </c>
    </row>
    <row r="75" spans="1:19">
      <c r="A75" s="102" t="s">
        <v>302</v>
      </c>
      <c r="B75" s="2">
        <v>45585</v>
      </c>
      <c r="C75" s="1" t="s">
        <v>258</v>
      </c>
      <c r="D75" s="1" t="s">
        <v>110</v>
      </c>
      <c r="E75" s="1" t="s">
        <v>303</v>
      </c>
      <c r="F75" s="83">
        <v>1</v>
      </c>
      <c r="G75" s="92">
        <v>370</v>
      </c>
      <c r="H75" s="3">
        <v>28.9</v>
      </c>
      <c r="I75" s="3">
        <v>263.07</v>
      </c>
      <c r="J75" s="1" t="s">
        <v>87</v>
      </c>
      <c r="K75" s="1" t="s">
        <v>99</v>
      </c>
      <c r="L75" t="str">
        <f>VLOOKUP(D75, Products!A:C, 3, FALSE)</f>
        <v>Home</v>
      </c>
      <c r="M75" t="str">
        <f>VLOOKUP(C75, Customers!A:E, 5, FALSE)</f>
        <v>SMB</v>
      </c>
      <c r="N75">
        <f>VLOOKUP(C75, Customers!A:E, 3, FALSE)</f>
        <v>55</v>
      </c>
      <c r="O75" s="93" t="str">
        <f>VLOOKUP(E75, Sales_Reps!A:C, 3, FALSE)</f>
        <v>East</v>
      </c>
      <c r="P75">
        <f>VLOOKUP(D75, Products!A:E, 4, FALSE)</f>
        <v>288</v>
      </c>
      <c r="Q75">
        <f>IF(COUNTIF($A$2:A75, A75)=2, 1, 0)</f>
        <v>0</v>
      </c>
      <c r="R75">
        <f>IF(ISNA(MATCH(C75, Customers!$A:$A, 0)), 1, 0)</f>
        <v>0</v>
      </c>
      <c r="S75" s="94" t="b">
        <f>VLOOKUP(D75, Products!A:F, 6, FALSE)</f>
        <v>1</v>
      </c>
    </row>
    <row r="76" spans="1:19">
      <c r="A76" s="102" t="s">
        <v>304</v>
      </c>
      <c r="B76" s="2">
        <v>45500</v>
      </c>
      <c r="C76" s="1" t="s">
        <v>305</v>
      </c>
      <c r="D76" s="1" t="s">
        <v>127</v>
      </c>
      <c r="E76" s="1" t="s">
        <v>132</v>
      </c>
      <c r="F76" s="83">
        <v>3</v>
      </c>
      <c r="G76" s="92">
        <v>970</v>
      </c>
      <c r="H76" s="3">
        <v>4.3</v>
      </c>
      <c r="I76" s="3">
        <v>2784.87</v>
      </c>
      <c r="J76" s="1" t="s">
        <v>140</v>
      </c>
      <c r="K76" s="1" t="s">
        <v>133</v>
      </c>
      <c r="L76" t="str">
        <f>VLOOKUP(D76, Products!A:C, 3, FALSE)</f>
        <v>Grocery</v>
      </c>
      <c r="M76" t="str">
        <f>VLOOKUP(C76, Customers!A:E, 5, FALSE)</f>
        <v>Corporate</v>
      </c>
      <c r="N76">
        <f>VLOOKUP(C76, Customers!A:E, 3, FALSE)</f>
        <v>46</v>
      </c>
      <c r="O76" s="93" t="str">
        <f>VLOOKUP(E76, Sales_Reps!A:C, 3, FALSE)</f>
        <v>South</v>
      </c>
      <c r="P76">
        <f>VLOOKUP(D76, Products!A:E, 4, FALSE)</f>
        <v>434</v>
      </c>
      <c r="Q76">
        <f>IF(COUNTIF($A$2:A76, A76)=2, 1, 0)</f>
        <v>0</v>
      </c>
      <c r="R76">
        <f>IF(ISNA(MATCH(C76, Customers!$A:$A, 0)), 1, 0)</f>
        <v>0</v>
      </c>
      <c r="S76" s="94" t="b">
        <f>VLOOKUP(D76, Products!A:F, 6, FALSE)</f>
        <v>1</v>
      </c>
    </row>
    <row r="77" spans="1:19">
      <c r="A77" s="102" t="s">
        <v>306</v>
      </c>
      <c r="B77" s="2">
        <v>45375</v>
      </c>
      <c r="C77" s="1" t="s">
        <v>142</v>
      </c>
      <c r="D77" s="1" t="s">
        <v>200</v>
      </c>
      <c r="E77" s="1" t="s">
        <v>285</v>
      </c>
      <c r="F77" s="83">
        <v>6</v>
      </c>
      <c r="G77" s="92">
        <v>2760</v>
      </c>
      <c r="H77" s="3">
        <v>19.899999999999999</v>
      </c>
      <c r="I77" s="3">
        <v>13264.56</v>
      </c>
      <c r="J77" s="1" t="s">
        <v>93</v>
      </c>
      <c r="K77" s="1" t="s">
        <v>88</v>
      </c>
      <c r="L77" t="str">
        <f>VLOOKUP(D77, Products!A:C, 3, FALSE)</f>
        <v>Grocery</v>
      </c>
      <c r="M77" t="str">
        <f>VLOOKUP(C77, Customers!A:E, 5, FALSE)</f>
        <v>SMB</v>
      </c>
      <c r="N77">
        <f>VLOOKUP(C77, Customers!A:E, 3, FALSE)</f>
        <v>39</v>
      </c>
      <c r="O77" s="93" t="str">
        <f>VLOOKUP(E77, Sales_Reps!A:C, 3, FALSE)</f>
        <v>East</v>
      </c>
      <c r="P77">
        <f>VLOOKUP(D77, Products!A:E, 4, FALSE)</f>
        <v>1435</v>
      </c>
      <c r="Q77">
        <f>IF(COUNTIF($A$2:A77, A77)=2, 1, 0)</f>
        <v>0</v>
      </c>
      <c r="R77">
        <f>IF(ISNA(MATCH(C77, Customers!$A:$A, 0)), 1, 0)</f>
        <v>0</v>
      </c>
      <c r="S77" s="94" t="b">
        <f>VLOOKUP(D77, Products!A:F, 6, FALSE)</f>
        <v>1</v>
      </c>
    </row>
    <row r="78" spans="1:19">
      <c r="A78" s="102" t="s">
        <v>307</v>
      </c>
      <c r="B78" s="2">
        <v>45443</v>
      </c>
      <c r="C78" s="1" t="s">
        <v>308</v>
      </c>
      <c r="D78" s="1" t="s">
        <v>200</v>
      </c>
      <c r="E78" s="1" t="s">
        <v>121</v>
      </c>
      <c r="F78" s="83">
        <v>7</v>
      </c>
      <c r="G78" s="92">
        <v>2760</v>
      </c>
      <c r="H78" s="3">
        <v>25.2</v>
      </c>
      <c r="I78" s="3">
        <v>14451.36</v>
      </c>
      <c r="J78" s="1" t="s">
        <v>87</v>
      </c>
      <c r="K78" s="1" t="s">
        <v>88</v>
      </c>
      <c r="L78" t="str">
        <f>VLOOKUP(D78, Products!A:C, 3, FALSE)</f>
        <v>Grocery</v>
      </c>
      <c r="M78" t="str">
        <f>VLOOKUP(C78, Customers!A:E, 5, FALSE)</f>
        <v>SMB</v>
      </c>
      <c r="N78">
        <f>VLOOKUP(C78, Customers!A:E, 3, FALSE)</f>
        <v>54</v>
      </c>
      <c r="O78" s="93" t="str">
        <f>VLOOKUP(E78, Sales_Reps!A:C, 3, FALSE)</f>
        <v>East</v>
      </c>
      <c r="P78">
        <f>VLOOKUP(D78, Products!A:E, 4, FALSE)</f>
        <v>1435</v>
      </c>
      <c r="Q78">
        <f>IF(COUNTIF($A$2:A78, A78)=2, 1, 0)</f>
        <v>0</v>
      </c>
      <c r="R78">
        <f>IF(ISNA(MATCH(C78, Customers!$A:$A, 0)), 1, 0)</f>
        <v>0</v>
      </c>
      <c r="S78" s="94" t="b">
        <f>VLOOKUP(D78, Products!A:F, 6, FALSE)</f>
        <v>1</v>
      </c>
    </row>
    <row r="79" spans="1:19">
      <c r="A79" s="102" t="s">
        <v>309</v>
      </c>
      <c r="B79" s="2">
        <v>45390</v>
      </c>
      <c r="C79" s="1" t="s">
        <v>310</v>
      </c>
      <c r="D79" s="1" t="s">
        <v>267</v>
      </c>
      <c r="E79" s="1" t="s">
        <v>285</v>
      </c>
      <c r="F79" s="83">
        <v>4</v>
      </c>
      <c r="G79" s="92">
        <v>1220</v>
      </c>
      <c r="H79" s="3">
        <v>8.4</v>
      </c>
      <c r="I79" s="3">
        <v>4470.08</v>
      </c>
      <c r="J79" s="1" t="s">
        <v>87</v>
      </c>
      <c r="K79" s="1" t="s">
        <v>117</v>
      </c>
      <c r="L79" t="str">
        <f>VLOOKUP(D79, Products!A:C, 3, FALSE)</f>
        <v>Electronics</v>
      </c>
      <c r="M79" t="str">
        <f>VLOOKUP(C79, Customers!A:E, 5, FALSE)</f>
        <v>Retail</v>
      </c>
      <c r="N79">
        <f>VLOOKUP(C79, Customers!A:E, 3, FALSE)</f>
        <v>42</v>
      </c>
      <c r="O79" s="93" t="str">
        <f>VLOOKUP(E79, Sales_Reps!A:C, 3, FALSE)</f>
        <v>East</v>
      </c>
      <c r="P79">
        <f>VLOOKUP(D79, Products!A:E, 4, FALSE)</f>
        <v>517</v>
      </c>
      <c r="Q79">
        <f>IF(COUNTIF($A$2:A79, A79)=2, 1, 0)</f>
        <v>0</v>
      </c>
      <c r="R79">
        <f>IF(ISNA(MATCH(C79, Customers!$A:$A, 0)), 1, 0)</f>
        <v>0</v>
      </c>
      <c r="S79" s="94" t="b">
        <f>VLOOKUP(D79, Products!A:F, 6, FALSE)</f>
        <v>1</v>
      </c>
    </row>
    <row r="80" spans="1:19">
      <c r="A80" s="102" t="s">
        <v>311</v>
      </c>
      <c r="B80" s="2">
        <v>45615</v>
      </c>
      <c r="C80" s="1" t="s">
        <v>312</v>
      </c>
      <c r="D80" s="1" t="s">
        <v>138</v>
      </c>
      <c r="E80" s="1" t="s">
        <v>128</v>
      </c>
      <c r="F80" s="83">
        <v>2</v>
      </c>
      <c r="G80" s="92">
        <v>2600</v>
      </c>
      <c r="H80" s="3">
        <v>1.9</v>
      </c>
      <c r="I80" s="3">
        <v>5101.2</v>
      </c>
      <c r="J80" s="1" t="s">
        <v>93</v>
      </c>
      <c r="K80" s="1" t="s">
        <v>133</v>
      </c>
      <c r="L80" t="str">
        <f>VLOOKUP(D80, Products!A:C, 3, FALSE)</f>
        <v>Electronics</v>
      </c>
      <c r="M80" t="str">
        <f>VLOOKUP(C80, Customers!A:E, 5, FALSE)</f>
        <v>Retail</v>
      </c>
      <c r="N80">
        <f>VLOOKUP(C80, Customers!A:E, 3, FALSE)</f>
        <v>46</v>
      </c>
      <c r="O80" s="93" t="str">
        <f>VLOOKUP(E80, Sales_Reps!A:C, 3, FALSE)</f>
        <v>West</v>
      </c>
      <c r="P80">
        <f>VLOOKUP(D80, Products!A:E, 4, FALSE)</f>
        <v>1052</v>
      </c>
      <c r="Q80">
        <f>IF(COUNTIF($A$2:A80, A80)=2, 1, 0)</f>
        <v>0</v>
      </c>
      <c r="R80">
        <f>IF(ISNA(MATCH(C80, Customers!$A:$A, 0)), 1, 0)</f>
        <v>0</v>
      </c>
      <c r="S80" s="94" t="b">
        <f>VLOOKUP(D80, Products!A:F, 6, FALSE)</f>
        <v>1</v>
      </c>
    </row>
    <row r="81" spans="1:19">
      <c r="A81" s="102" t="s">
        <v>313</v>
      </c>
      <c r="B81" s="2">
        <v>45498</v>
      </c>
      <c r="C81" s="1" t="s">
        <v>314</v>
      </c>
      <c r="D81" s="1" t="s">
        <v>264</v>
      </c>
      <c r="E81" s="1" t="s">
        <v>170</v>
      </c>
      <c r="F81" s="83">
        <v>9</v>
      </c>
      <c r="G81" s="92">
        <v>4070</v>
      </c>
      <c r="H81" s="3">
        <v>28.8</v>
      </c>
      <c r="I81" s="3">
        <v>26080.560000000001</v>
      </c>
      <c r="J81" s="1" t="s">
        <v>87</v>
      </c>
      <c r="K81" s="1" t="s">
        <v>88</v>
      </c>
      <c r="L81" t="str">
        <f>VLOOKUP(D81, Products!A:C, 3, FALSE)</f>
        <v>Grocery</v>
      </c>
      <c r="M81" t="str">
        <f>VLOOKUP(C81, Customers!A:E, 5, FALSE)</f>
        <v>Corporate</v>
      </c>
      <c r="N81">
        <f>VLOOKUP(C81, Customers!A:E, 3, FALSE)</f>
        <v>33</v>
      </c>
      <c r="O81" s="93" t="str">
        <f>VLOOKUP(E81, Sales_Reps!A:C, 3, FALSE)</f>
        <v>West</v>
      </c>
      <c r="P81">
        <f>VLOOKUP(D81, Products!A:E, 4, FALSE)</f>
        <v>2027</v>
      </c>
      <c r="Q81">
        <f>IF(COUNTIF($A$2:A81, A81)=2, 1, 0)</f>
        <v>0</v>
      </c>
      <c r="R81">
        <f>IF(ISNA(MATCH(C81, Customers!$A:$A, 0)), 1, 0)</f>
        <v>0</v>
      </c>
      <c r="S81" s="94" t="b">
        <f>VLOOKUP(D81, Products!A:F, 6, FALSE)</f>
        <v>1</v>
      </c>
    </row>
    <row r="82" spans="1:19">
      <c r="A82" s="102" t="s">
        <v>315</v>
      </c>
      <c r="B82" s="2">
        <v>45515</v>
      </c>
      <c r="C82" s="1" t="s">
        <v>316</v>
      </c>
      <c r="D82" s="1" t="s">
        <v>131</v>
      </c>
      <c r="E82" s="1" t="s">
        <v>92</v>
      </c>
      <c r="F82" s="83">
        <v>2</v>
      </c>
      <c r="G82" s="92">
        <v>2270</v>
      </c>
      <c r="H82" s="3">
        <v>18</v>
      </c>
      <c r="I82" s="3">
        <v>3722.8</v>
      </c>
      <c r="J82" s="1" t="s">
        <v>144</v>
      </c>
      <c r="K82" s="1" t="s">
        <v>88</v>
      </c>
      <c r="L82" t="str">
        <f>VLOOKUP(D82, Products!A:C, 3, FALSE)</f>
        <v>Grocery</v>
      </c>
      <c r="M82" t="str">
        <f>VLOOKUP(C82, Customers!A:E, 5, FALSE)</f>
        <v>SMB</v>
      </c>
      <c r="N82">
        <f>VLOOKUP(C82, Customers!A:E, 3, FALSE)</f>
        <v>60</v>
      </c>
      <c r="O82" s="93" t="str">
        <f>VLOOKUP(E82, Sales_Reps!A:C, 3, FALSE)</f>
        <v>North</v>
      </c>
      <c r="P82">
        <f>VLOOKUP(D82, Products!A:E, 4, FALSE)</f>
        <v>1203</v>
      </c>
      <c r="Q82">
        <f>IF(COUNTIF($A$2:A82, A82)=2, 1, 0)</f>
        <v>0</v>
      </c>
      <c r="R82">
        <f>IF(ISNA(MATCH(C82, Customers!$A:$A, 0)), 1, 0)</f>
        <v>0</v>
      </c>
      <c r="S82" s="94" t="b">
        <f>VLOOKUP(D82, Products!A:F, 6, FALSE)</f>
        <v>1</v>
      </c>
    </row>
    <row r="83" spans="1:19">
      <c r="A83" s="102" t="s">
        <v>317</v>
      </c>
      <c r="B83" s="2">
        <v>45528</v>
      </c>
      <c r="C83" s="1" t="s">
        <v>318</v>
      </c>
      <c r="D83" s="1" t="s">
        <v>106</v>
      </c>
      <c r="E83" s="1" t="s">
        <v>238</v>
      </c>
      <c r="F83" s="83">
        <v>2</v>
      </c>
      <c r="G83" s="92">
        <v>3160</v>
      </c>
      <c r="H83" s="3">
        <v>18.3</v>
      </c>
      <c r="I83" s="3">
        <v>5163.4399999999996</v>
      </c>
      <c r="J83" s="1" t="s">
        <v>87</v>
      </c>
      <c r="K83" s="1" t="s">
        <v>94</v>
      </c>
      <c r="L83" t="str">
        <f>VLOOKUP(D83, Products!A:C, 3, FALSE)</f>
        <v>Apparel</v>
      </c>
      <c r="M83" t="str">
        <f>VLOOKUP(C83, Customers!A:E, 5, FALSE)</f>
        <v>SMB</v>
      </c>
      <c r="N83">
        <f>VLOOKUP(C83, Customers!A:E, 3, FALSE)</f>
        <v>57</v>
      </c>
      <c r="O83" s="93" t="str">
        <f>VLOOKUP(E83, Sales_Reps!A:C, 3, FALSE)</f>
        <v>East</v>
      </c>
      <c r="P83">
        <f>VLOOKUP(D83, Products!A:E, 4, FALSE)</f>
        <v>1886</v>
      </c>
      <c r="Q83">
        <f>IF(COUNTIF($A$2:A83, A83)=2, 1, 0)</f>
        <v>0</v>
      </c>
      <c r="R83">
        <f>IF(ISNA(MATCH(C83, Customers!$A:$A, 0)), 1, 0)</f>
        <v>0</v>
      </c>
      <c r="S83" s="94" t="b">
        <f>VLOOKUP(D83, Products!A:F, 6, FALSE)</f>
        <v>1</v>
      </c>
    </row>
    <row r="84" spans="1:19">
      <c r="A84" s="102" t="s">
        <v>319</v>
      </c>
      <c r="B84" s="2">
        <v>45402</v>
      </c>
      <c r="C84" s="1" t="s">
        <v>320</v>
      </c>
      <c r="D84" s="1" t="s">
        <v>167</v>
      </c>
      <c r="E84" s="1" t="s">
        <v>86</v>
      </c>
      <c r="F84" s="83">
        <v>4</v>
      </c>
      <c r="G84" s="92">
        <v>2480</v>
      </c>
      <c r="H84" s="3">
        <v>1.1000000000000001</v>
      </c>
      <c r="I84" s="3">
        <v>9810.8799999999992</v>
      </c>
      <c r="J84" s="1" t="s">
        <v>93</v>
      </c>
      <c r="K84" s="1" t="s">
        <v>133</v>
      </c>
      <c r="L84" t="str">
        <f>VLOOKUP(D84, Products!A:C, 3, FALSE)</f>
        <v>Apparel</v>
      </c>
      <c r="M84" t="str">
        <f>VLOOKUP(C84, Customers!A:E, 5, FALSE)</f>
        <v>SMB</v>
      </c>
      <c r="N84">
        <f>VLOOKUP(C84, Customers!A:E, 3, FALSE)</f>
        <v>36</v>
      </c>
      <c r="O84" s="93" t="str">
        <f>VLOOKUP(E84, Sales_Reps!A:C, 3, FALSE)</f>
        <v>North</v>
      </c>
      <c r="P84">
        <f>VLOOKUP(D84, Products!A:E, 4, FALSE)</f>
        <v>1173</v>
      </c>
      <c r="Q84">
        <f>IF(COUNTIF($A$2:A84, A84)=2, 1, 0)</f>
        <v>0</v>
      </c>
      <c r="R84">
        <f>IF(ISNA(MATCH(C84, Customers!$A:$A, 0)), 1, 0)</f>
        <v>0</v>
      </c>
      <c r="S84" s="94" t="b">
        <f>VLOOKUP(D84, Products!A:F, 6, FALSE)</f>
        <v>1</v>
      </c>
    </row>
    <row r="85" spans="1:19">
      <c r="A85" s="102" t="s">
        <v>321</v>
      </c>
      <c r="B85" s="2">
        <v>45547</v>
      </c>
      <c r="C85" s="1" t="s">
        <v>322</v>
      </c>
      <c r="D85" s="1" t="s">
        <v>279</v>
      </c>
      <c r="E85" s="1" t="s">
        <v>201</v>
      </c>
      <c r="F85" s="83">
        <v>1</v>
      </c>
      <c r="G85" s="92">
        <v>2660</v>
      </c>
      <c r="H85" s="3">
        <v>21</v>
      </c>
      <c r="I85" s="3">
        <v>2101.4</v>
      </c>
      <c r="J85" s="1" t="s">
        <v>87</v>
      </c>
      <c r="K85" s="1" t="s">
        <v>99</v>
      </c>
      <c r="L85" t="str">
        <f>VLOOKUP(D85, Products!A:C, 3, FALSE)</f>
        <v>Electronics</v>
      </c>
      <c r="M85" t="str">
        <f>VLOOKUP(C85, Customers!A:E, 5, FALSE)</f>
        <v>Retail</v>
      </c>
      <c r="N85">
        <f>VLOOKUP(C85, Customers!A:E, 3, FALSE)</f>
        <v>31</v>
      </c>
      <c r="O85" s="93" t="str">
        <f>VLOOKUP(E85, Sales_Reps!A:C, 3, FALSE)</f>
        <v>West</v>
      </c>
      <c r="P85">
        <f>VLOOKUP(D85, Products!A:E, 4, FALSE)</f>
        <v>1259</v>
      </c>
      <c r="Q85">
        <f>IF(COUNTIF($A$2:A85, A85)=2, 1, 0)</f>
        <v>0</v>
      </c>
      <c r="R85">
        <f>IF(ISNA(MATCH(C85, Customers!$A:$A, 0)), 1, 0)</f>
        <v>0</v>
      </c>
      <c r="S85" s="94" t="b">
        <f>VLOOKUP(D85, Products!A:F, 6, FALSE)</f>
        <v>0</v>
      </c>
    </row>
    <row r="86" spans="1:19">
      <c r="A86" s="102" t="s">
        <v>323</v>
      </c>
      <c r="B86" s="2">
        <v>45424</v>
      </c>
      <c r="C86" s="1" t="s">
        <v>324</v>
      </c>
      <c r="D86" s="1" t="s">
        <v>276</v>
      </c>
      <c r="E86" s="1" t="s">
        <v>325</v>
      </c>
      <c r="F86" s="83">
        <v>5</v>
      </c>
      <c r="G86" s="92">
        <v>3020</v>
      </c>
      <c r="H86" s="3">
        <v>22.2</v>
      </c>
      <c r="I86" s="3">
        <v>11747.8</v>
      </c>
      <c r="J86" s="1" t="s">
        <v>87</v>
      </c>
      <c r="K86" s="1" t="s">
        <v>133</v>
      </c>
      <c r="L86" t="str">
        <f>VLOOKUP(D86, Products!A:C, 3, FALSE)</f>
        <v>Beauty</v>
      </c>
      <c r="M86" t="str">
        <f>VLOOKUP(C86, Customers!A:E, 5, FALSE)</f>
        <v>Retail</v>
      </c>
      <c r="N86">
        <f>VLOOKUP(C86, Customers!A:E, 3, FALSE)</f>
        <v>28</v>
      </c>
      <c r="O86" s="93" t="str">
        <f>VLOOKUP(E86, Sales_Reps!A:C, 3, FALSE)</f>
        <v>South</v>
      </c>
      <c r="P86">
        <f>VLOOKUP(D86, Products!A:E, 4, FALSE)</f>
        <v>1626</v>
      </c>
      <c r="Q86">
        <f>IF(COUNTIF($A$2:A86, A86)=2, 1, 0)</f>
        <v>0</v>
      </c>
      <c r="R86">
        <f>IF(ISNA(MATCH(C86, Customers!$A:$A, 0)), 1, 0)</f>
        <v>0</v>
      </c>
      <c r="S86" s="94" t="b">
        <f>VLOOKUP(D86, Products!A:F, 6, FALSE)</f>
        <v>1</v>
      </c>
    </row>
    <row r="87" spans="1:19">
      <c r="A87" s="102" t="s">
        <v>326</v>
      </c>
      <c r="B87" s="2">
        <v>45461</v>
      </c>
      <c r="C87" s="1" t="s">
        <v>194</v>
      </c>
      <c r="D87" s="1" t="s">
        <v>292</v>
      </c>
      <c r="E87" s="1" t="s">
        <v>170</v>
      </c>
      <c r="F87" s="83">
        <v>9</v>
      </c>
      <c r="G87" s="92">
        <v>620</v>
      </c>
      <c r="H87" s="3">
        <v>23.3</v>
      </c>
      <c r="I87" s="3">
        <v>4279.8599999999997</v>
      </c>
      <c r="J87" s="1" t="s">
        <v>87</v>
      </c>
      <c r="K87" s="1" t="s">
        <v>88</v>
      </c>
      <c r="L87" t="str">
        <f>VLOOKUP(D87, Products!A:C, 3, FALSE)</f>
        <v>Apparel</v>
      </c>
      <c r="M87" t="str">
        <f>VLOOKUP(C87, Customers!A:E, 5, FALSE)</f>
        <v>SMB</v>
      </c>
      <c r="N87">
        <f>VLOOKUP(C87, Customers!A:E, 3, FALSE)</f>
        <v>44</v>
      </c>
      <c r="O87" s="93" t="str">
        <f>VLOOKUP(E87, Sales_Reps!A:C, 3, FALSE)</f>
        <v>West</v>
      </c>
      <c r="P87">
        <f>VLOOKUP(D87, Products!A:E, 4, FALSE)</f>
        <v>396</v>
      </c>
      <c r="Q87">
        <f>IF(COUNTIF($A$2:A87, A87)=2, 1, 0)</f>
        <v>0</v>
      </c>
      <c r="R87">
        <f>IF(ISNA(MATCH(C87, Customers!$A:$A, 0)), 1, 0)</f>
        <v>0</v>
      </c>
      <c r="S87" s="94" t="b">
        <f>VLOOKUP(D87, Products!A:F, 6, FALSE)</f>
        <v>1</v>
      </c>
    </row>
    <row r="88" spans="1:19">
      <c r="A88" s="102" t="s">
        <v>327</v>
      </c>
      <c r="B88" s="2">
        <v>45600</v>
      </c>
      <c r="C88" s="1" t="s">
        <v>328</v>
      </c>
      <c r="D88" s="1" t="s">
        <v>97</v>
      </c>
      <c r="E88" s="1" t="s">
        <v>201</v>
      </c>
      <c r="F88" s="83">
        <v>2</v>
      </c>
      <c r="G88" s="92">
        <v>470</v>
      </c>
      <c r="H88" s="3">
        <v>5.4</v>
      </c>
      <c r="I88" s="3">
        <v>889.24</v>
      </c>
      <c r="J88" s="1" t="s">
        <v>87</v>
      </c>
      <c r="K88" s="1" t="s">
        <v>94</v>
      </c>
      <c r="L88" t="str">
        <f>VLOOKUP(D88, Products!A:C, 3, FALSE)</f>
        <v>Sports</v>
      </c>
      <c r="M88" t="str">
        <f>VLOOKUP(C88, Customers!A:E, 5, FALSE)</f>
        <v>Retail</v>
      </c>
      <c r="N88">
        <f>VLOOKUP(C88, Customers!A:E, 3, FALSE)</f>
        <v>28</v>
      </c>
      <c r="O88" s="93" t="str">
        <f>VLOOKUP(E88, Sales_Reps!A:C, 3, FALSE)</f>
        <v>West</v>
      </c>
      <c r="P88">
        <f>VLOOKUP(D88, Products!A:E, 4, FALSE)</f>
        <v>302</v>
      </c>
      <c r="Q88">
        <f>IF(COUNTIF($A$2:A88, A88)=2, 1, 0)</f>
        <v>0</v>
      </c>
      <c r="R88">
        <f>IF(ISNA(MATCH(C88, Customers!$A:$A, 0)), 1, 0)</f>
        <v>0</v>
      </c>
      <c r="S88" s="94" t="b">
        <f>VLOOKUP(D88, Products!A:F, 6, FALSE)</f>
        <v>0</v>
      </c>
    </row>
    <row r="89" spans="1:19">
      <c r="A89" s="102" t="s">
        <v>329</v>
      </c>
      <c r="B89" s="2">
        <v>45587</v>
      </c>
      <c r="C89" s="1" t="s">
        <v>172</v>
      </c>
      <c r="D89" s="1" t="s">
        <v>120</v>
      </c>
      <c r="E89" s="1" t="s">
        <v>132</v>
      </c>
      <c r="F89" s="83">
        <v>3</v>
      </c>
      <c r="G89" s="92">
        <v>1430</v>
      </c>
      <c r="H89" s="3">
        <v>6.5</v>
      </c>
      <c r="I89" s="3">
        <v>4011.15</v>
      </c>
      <c r="J89" s="1" t="s">
        <v>87</v>
      </c>
      <c r="K89" s="1" t="s">
        <v>88</v>
      </c>
      <c r="L89" t="str">
        <f>VLOOKUP(D89, Products!A:C, 3, FALSE)</f>
        <v>Electronics</v>
      </c>
      <c r="M89" t="str">
        <f>VLOOKUP(C89, Customers!A:E, 5, FALSE)</f>
        <v>Retail</v>
      </c>
      <c r="N89">
        <f>VLOOKUP(C89, Customers!A:E, 3, FALSE)</f>
        <v>50</v>
      </c>
      <c r="O89" s="93" t="str">
        <f>VLOOKUP(E89, Sales_Reps!A:C, 3, FALSE)</f>
        <v>South</v>
      </c>
      <c r="P89">
        <f>VLOOKUP(D89, Products!A:E, 4, FALSE)</f>
        <v>861</v>
      </c>
      <c r="Q89">
        <f>IF(COUNTIF($A$2:A89, A89)=2, 1, 0)</f>
        <v>0</v>
      </c>
      <c r="R89">
        <f>IF(ISNA(MATCH(C89, Customers!$A:$A, 0)), 1, 0)</f>
        <v>0</v>
      </c>
      <c r="S89" s="94" t="b">
        <f>VLOOKUP(D89, Products!A:F, 6, FALSE)</f>
        <v>1</v>
      </c>
    </row>
    <row r="90" spans="1:19">
      <c r="A90" s="102" t="s">
        <v>330</v>
      </c>
      <c r="B90" s="2">
        <v>45518</v>
      </c>
      <c r="C90" s="1" t="s">
        <v>331</v>
      </c>
      <c r="D90" s="1" t="s">
        <v>292</v>
      </c>
      <c r="E90" s="1" t="s">
        <v>139</v>
      </c>
      <c r="F90" s="83">
        <v>6</v>
      </c>
      <c r="G90" s="92">
        <v>620</v>
      </c>
      <c r="H90" s="3">
        <v>2.6</v>
      </c>
      <c r="I90" s="3">
        <v>3623.28</v>
      </c>
      <c r="J90" s="1" t="s">
        <v>87</v>
      </c>
      <c r="K90" s="1" t="s">
        <v>117</v>
      </c>
      <c r="L90" t="str">
        <f>VLOOKUP(D90, Products!A:C, 3, FALSE)</f>
        <v>Apparel</v>
      </c>
      <c r="M90" t="str">
        <f>VLOOKUP(C90, Customers!A:E, 5, FALSE)</f>
        <v>Corporate</v>
      </c>
      <c r="N90">
        <f>VLOOKUP(C90, Customers!A:E, 3, FALSE)</f>
        <v>59</v>
      </c>
      <c r="O90" s="93" t="str">
        <f>VLOOKUP(E90, Sales_Reps!A:C, 3, FALSE)</f>
        <v>North</v>
      </c>
      <c r="P90">
        <f>VLOOKUP(D90, Products!A:E, 4, FALSE)</f>
        <v>396</v>
      </c>
      <c r="Q90">
        <f>IF(COUNTIF($A$2:A90, A90)=2, 1, 0)</f>
        <v>0</v>
      </c>
      <c r="R90">
        <f>IF(ISNA(MATCH(C90, Customers!$A:$A, 0)), 1, 0)</f>
        <v>0</v>
      </c>
      <c r="S90" s="94" t="b">
        <f>VLOOKUP(D90, Products!A:F, 6, FALSE)</f>
        <v>1</v>
      </c>
    </row>
    <row r="91" spans="1:19">
      <c r="A91" s="102" t="s">
        <v>332</v>
      </c>
      <c r="B91" s="2">
        <v>45533</v>
      </c>
      <c r="C91" s="1" t="s">
        <v>333</v>
      </c>
      <c r="D91" s="1" t="s">
        <v>187</v>
      </c>
      <c r="E91" s="1" t="s">
        <v>325</v>
      </c>
      <c r="F91" s="83">
        <v>4</v>
      </c>
      <c r="G91" s="92">
        <v>3570</v>
      </c>
      <c r="H91" s="3">
        <v>4.5</v>
      </c>
      <c r="I91" s="3">
        <v>13637.4</v>
      </c>
      <c r="J91" s="1" t="s">
        <v>93</v>
      </c>
      <c r="K91" s="1" t="s">
        <v>133</v>
      </c>
      <c r="L91" t="str">
        <f>VLOOKUP(D91, Products!A:C, 3, FALSE)</f>
        <v>Electronics</v>
      </c>
      <c r="M91" t="str">
        <f>VLOOKUP(C91, Customers!A:E, 5, FALSE)</f>
        <v>SMB</v>
      </c>
      <c r="N91">
        <f>VLOOKUP(C91, Customers!A:E, 3, FALSE)</f>
        <v>65</v>
      </c>
      <c r="O91" s="93" t="str">
        <f>VLOOKUP(E91, Sales_Reps!A:C, 3, FALSE)</f>
        <v>South</v>
      </c>
      <c r="P91">
        <f>VLOOKUP(D91, Products!A:E, 4, FALSE)</f>
        <v>1665</v>
      </c>
      <c r="Q91">
        <f>IF(COUNTIF($A$2:A91, A91)=2, 1, 0)</f>
        <v>0</v>
      </c>
      <c r="R91">
        <f>IF(ISNA(MATCH(C91, Customers!$A:$A, 0)), 1, 0)</f>
        <v>0</v>
      </c>
      <c r="S91" s="94" t="b">
        <f>VLOOKUP(D91, Products!A:F, 6, FALSE)</f>
        <v>1</v>
      </c>
    </row>
    <row r="92" spans="1:19">
      <c r="A92" s="102" t="s">
        <v>334</v>
      </c>
      <c r="B92" s="2">
        <v>45622</v>
      </c>
      <c r="C92" s="1" t="s">
        <v>305</v>
      </c>
      <c r="D92" s="1" t="s">
        <v>245</v>
      </c>
      <c r="E92" s="1" t="s">
        <v>132</v>
      </c>
      <c r="F92" s="83">
        <v>6</v>
      </c>
      <c r="G92" s="92">
        <v>2270</v>
      </c>
      <c r="H92" s="3">
        <v>2</v>
      </c>
      <c r="I92" s="3">
        <v>13347.6</v>
      </c>
      <c r="J92" s="1" t="s">
        <v>87</v>
      </c>
      <c r="K92" s="1" t="s">
        <v>133</v>
      </c>
      <c r="L92" t="str">
        <f>VLOOKUP(D92, Products!A:C, 3, FALSE)</f>
        <v>Grocery</v>
      </c>
      <c r="M92" t="str">
        <f>VLOOKUP(C92, Customers!A:E, 5, FALSE)</f>
        <v>Corporate</v>
      </c>
      <c r="N92">
        <f>VLOOKUP(C92, Customers!A:E, 3, FALSE)</f>
        <v>46</v>
      </c>
      <c r="O92" s="93" t="str">
        <f>VLOOKUP(E92, Sales_Reps!A:C, 3, FALSE)</f>
        <v>South</v>
      </c>
      <c r="P92">
        <f>VLOOKUP(D92, Products!A:E, 4, FALSE)</f>
        <v>1412</v>
      </c>
      <c r="Q92">
        <f>IF(COUNTIF($A$2:A92, A92)=2, 1, 0)</f>
        <v>0</v>
      </c>
      <c r="R92">
        <f>IF(ISNA(MATCH(C92, Customers!$A:$A, 0)), 1, 0)</f>
        <v>0</v>
      </c>
      <c r="S92" s="94" t="b">
        <f>VLOOKUP(D92, Products!A:F, 6, FALSE)</f>
        <v>1</v>
      </c>
    </row>
    <row r="93" spans="1:19">
      <c r="A93" s="102" t="s">
        <v>335</v>
      </c>
      <c r="B93" s="2">
        <v>45328</v>
      </c>
      <c r="C93" s="1" t="s">
        <v>336</v>
      </c>
      <c r="D93" s="1" t="s">
        <v>173</v>
      </c>
      <c r="E93" s="1" t="s">
        <v>98</v>
      </c>
      <c r="F93" s="83">
        <v>7</v>
      </c>
      <c r="G93" s="92">
        <v>2720</v>
      </c>
      <c r="H93" s="3">
        <v>15.4</v>
      </c>
      <c r="I93" s="3">
        <v>16107.84</v>
      </c>
      <c r="J93" s="1" t="s">
        <v>87</v>
      </c>
      <c r="K93" s="1" t="s">
        <v>112</v>
      </c>
      <c r="L93" t="str">
        <f>VLOOKUP(D93, Products!A:C, 3, FALSE)</f>
        <v>Apparel</v>
      </c>
      <c r="M93" t="str">
        <f>VLOOKUP(C93, Customers!A:E, 5, FALSE)</f>
        <v>Retail</v>
      </c>
      <c r="N93">
        <f>VLOOKUP(C93, Customers!A:E, 3, FALSE)</f>
        <v>49</v>
      </c>
      <c r="O93" s="93" t="str">
        <f>VLOOKUP(E93, Sales_Reps!A:C, 3, FALSE)</f>
        <v>South</v>
      </c>
      <c r="P93">
        <f>VLOOKUP(D93, Products!A:E, 4, FALSE)</f>
        <v>1962</v>
      </c>
      <c r="Q93">
        <f>IF(COUNTIF($A$2:A93, A93)=2, 1, 0)</f>
        <v>0</v>
      </c>
      <c r="R93">
        <f>IF(ISNA(MATCH(C93, Customers!$A:$A, 0)), 1, 0)</f>
        <v>0</v>
      </c>
      <c r="S93" s="94" t="b">
        <f>VLOOKUP(D93, Products!A:F, 6, FALSE)</f>
        <v>1</v>
      </c>
    </row>
    <row r="94" spans="1:19">
      <c r="A94" s="102" t="s">
        <v>337</v>
      </c>
      <c r="B94" s="2">
        <v>45380</v>
      </c>
      <c r="C94" s="1" t="s">
        <v>289</v>
      </c>
      <c r="D94" s="1" t="s">
        <v>338</v>
      </c>
      <c r="E94" s="1" t="s">
        <v>215</v>
      </c>
      <c r="F94" s="83">
        <v>9</v>
      </c>
      <c r="G94" s="92">
        <v>2210</v>
      </c>
      <c r="H94" s="3">
        <v>12.4</v>
      </c>
      <c r="I94" s="3">
        <v>17423.64</v>
      </c>
      <c r="J94" s="1" t="s">
        <v>87</v>
      </c>
      <c r="K94" s="1" t="s">
        <v>94</v>
      </c>
      <c r="L94" t="str">
        <f>VLOOKUP(D94, Products!A:C, 3, FALSE)</f>
        <v>Grocery</v>
      </c>
      <c r="M94" t="str">
        <f>VLOOKUP(C94, Customers!A:E, 5, FALSE)</f>
        <v>Retail</v>
      </c>
      <c r="N94">
        <f>VLOOKUP(C94, Customers!A:E, 3, FALSE)</f>
        <v>38</v>
      </c>
      <c r="O94" s="93" t="str">
        <f>VLOOKUP(E94, Sales_Reps!A:C, 3, FALSE)</f>
        <v>North</v>
      </c>
      <c r="P94">
        <f>VLOOKUP(D94, Products!A:E, 4, FALSE)</f>
        <v>1010</v>
      </c>
      <c r="Q94">
        <f>IF(COUNTIF($A$2:A94, A94)=2, 1, 0)</f>
        <v>0</v>
      </c>
      <c r="R94">
        <f>IF(ISNA(MATCH(C94, Customers!$A:$A, 0)), 1, 0)</f>
        <v>0</v>
      </c>
      <c r="S94" s="94" t="b">
        <f>VLOOKUP(D94, Products!A:F, 6, FALSE)</f>
        <v>1</v>
      </c>
    </row>
    <row r="95" spans="1:19">
      <c r="A95" s="102" t="s">
        <v>339</v>
      </c>
      <c r="B95" s="2">
        <v>45648</v>
      </c>
      <c r="C95" s="1" t="s">
        <v>340</v>
      </c>
      <c r="D95" s="1" t="s">
        <v>147</v>
      </c>
      <c r="E95" s="1" t="s">
        <v>201</v>
      </c>
      <c r="F95" s="83">
        <v>6</v>
      </c>
      <c r="G95" s="92">
        <v>190</v>
      </c>
      <c r="H95" s="3">
        <v>19.2</v>
      </c>
      <c r="I95" s="3">
        <v>921.12</v>
      </c>
      <c r="J95" s="1" t="s">
        <v>87</v>
      </c>
      <c r="K95" s="1" t="s">
        <v>88</v>
      </c>
      <c r="L95" t="str">
        <f>VLOOKUP(D95, Products!A:C, 3, FALSE)</f>
        <v>Sports</v>
      </c>
      <c r="M95" t="str">
        <f>VLOOKUP(C95, Customers!A:E, 5, FALSE)</f>
        <v>Retail</v>
      </c>
      <c r="N95">
        <f>VLOOKUP(C95, Customers!A:E, 3, FALSE)</f>
        <v>25</v>
      </c>
      <c r="O95" s="93" t="str">
        <f>VLOOKUP(E95, Sales_Reps!A:C, 3, FALSE)</f>
        <v>West</v>
      </c>
      <c r="P95">
        <f>VLOOKUP(D95, Products!A:E, 4, FALSE)</f>
        <v>147</v>
      </c>
      <c r="Q95">
        <f>IF(COUNTIF($A$2:A95, A95)=2, 1, 0)</f>
        <v>0</v>
      </c>
      <c r="R95">
        <f>IF(ISNA(MATCH(C95, Customers!$A:$A, 0)), 1, 0)</f>
        <v>0</v>
      </c>
      <c r="S95" s="94" t="b">
        <f>VLOOKUP(D95, Products!A:F, 6, FALSE)</f>
        <v>1</v>
      </c>
    </row>
    <row r="96" spans="1:19">
      <c r="A96" s="102" t="s">
        <v>341</v>
      </c>
      <c r="B96" s="2">
        <v>45607</v>
      </c>
      <c r="C96" s="1" t="s">
        <v>342</v>
      </c>
      <c r="D96" s="1" t="s">
        <v>191</v>
      </c>
      <c r="E96" s="1" t="s">
        <v>343</v>
      </c>
      <c r="F96" s="83">
        <v>10</v>
      </c>
      <c r="G96" s="92">
        <v>5100</v>
      </c>
      <c r="H96" s="3">
        <v>25.4</v>
      </c>
      <c r="I96" s="3">
        <v>38046</v>
      </c>
      <c r="J96" s="1" t="s">
        <v>144</v>
      </c>
      <c r="K96" s="1" t="s">
        <v>94</v>
      </c>
      <c r="L96" t="str">
        <f>VLOOKUP(D96, Products!A:C, 3, FALSE)</f>
        <v>Beauty</v>
      </c>
      <c r="M96" t="str">
        <f>VLOOKUP(C96, Customers!A:E, 5, FALSE)</f>
        <v>Retail</v>
      </c>
      <c r="N96">
        <f>VLOOKUP(C96, Customers!A:E, 3, FALSE)</f>
        <v>26</v>
      </c>
      <c r="O96" s="93" t="str">
        <f>VLOOKUP(E96, Sales_Reps!A:C, 3, FALSE)</f>
        <v>West</v>
      </c>
      <c r="P96">
        <f>VLOOKUP(D96, Products!A:E, 4, FALSE)</f>
        <v>2237</v>
      </c>
      <c r="Q96">
        <f>IF(COUNTIF($A$2:A96, A96)=2, 1, 0)</f>
        <v>0</v>
      </c>
      <c r="R96">
        <f>IF(ISNA(MATCH(C96, Customers!$A:$A, 0)), 1, 0)</f>
        <v>0</v>
      </c>
      <c r="S96" s="94" t="b">
        <f>VLOOKUP(D96, Products!A:F, 6, FALSE)</f>
        <v>1</v>
      </c>
    </row>
    <row r="97" spans="1:19">
      <c r="A97" s="102" t="s">
        <v>344</v>
      </c>
      <c r="B97" s="2">
        <v>45414</v>
      </c>
      <c r="C97" s="1" t="s">
        <v>345</v>
      </c>
      <c r="D97" s="1" t="s">
        <v>182</v>
      </c>
      <c r="E97" s="1" t="s">
        <v>346</v>
      </c>
      <c r="F97" s="83">
        <v>5</v>
      </c>
      <c r="G97" s="92">
        <v>1010</v>
      </c>
      <c r="H97" s="3">
        <v>1.6</v>
      </c>
      <c r="I97" s="3">
        <v>4969.2</v>
      </c>
      <c r="J97" s="1" t="s">
        <v>87</v>
      </c>
      <c r="K97" s="1" t="s">
        <v>94</v>
      </c>
      <c r="L97" t="str">
        <f>VLOOKUP(D97, Products!A:C, 3, FALSE)</f>
        <v>Sports</v>
      </c>
      <c r="M97" t="str">
        <f>VLOOKUP(C97, Customers!A:E, 5, FALSE)</f>
        <v>Corporate</v>
      </c>
      <c r="N97">
        <f>VLOOKUP(C97, Customers!A:E, 3, FALSE)</f>
        <v>38</v>
      </c>
      <c r="O97" s="93" t="str">
        <f>VLOOKUP(E97, Sales_Reps!A:C, 3, FALSE)</f>
        <v>South</v>
      </c>
      <c r="P97">
        <f>VLOOKUP(D97, Products!A:E, 4, FALSE)</f>
        <v>516</v>
      </c>
      <c r="Q97">
        <f>IF(COUNTIF($A$2:A97, A97)=2, 1, 0)</f>
        <v>0</v>
      </c>
      <c r="R97">
        <f>IF(ISNA(MATCH(C97, Customers!$A:$A, 0)), 1, 0)</f>
        <v>0</v>
      </c>
      <c r="S97" s="94" t="b">
        <f>VLOOKUP(D97, Products!A:F, 6, FALSE)</f>
        <v>1</v>
      </c>
    </row>
    <row r="98" spans="1:19">
      <c r="A98" s="102" t="s">
        <v>347</v>
      </c>
      <c r="B98" s="2">
        <v>45328</v>
      </c>
      <c r="C98" s="1" t="s">
        <v>263</v>
      </c>
      <c r="D98" s="1" t="s">
        <v>226</v>
      </c>
      <c r="E98" s="1" t="s">
        <v>111</v>
      </c>
      <c r="F98" s="83">
        <v>1</v>
      </c>
      <c r="G98" s="92">
        <v>3730</v>
      </c>
      <c r="H98" s="3">
        <v>22.7</v>
      </c>
      <c r="I98" s="3">
        <v>2883.29</v>
      </c>
      <c r="J98" s="1" t="s">
        <v>87</v>
      </c>
      <c r="K98" s="1" t="s">
        <v>133</v>
      </c>
      <c r="L98" t="str">
        <f>VLOOKUP(D98, Products!A:C, 3, FALSE)</f>
        <v>Home</v>
      </c>
      <c r="M98" t="str">
        <f>VLOOKUP(C98, Customers!A:E, 5, FALSE)</f>
        <v>Retail</v>
      </c>
      <c r="N98">
        <f>VLOOKUP(C98, Customers!A:E, 3, FALSE)</f>
        <v>53</v>
      </c>
      <c r="O98" s="93" t="str">
        <f>VLOOKUP(E98, Sales_Reps!A:C, 3, FALSE)</f>
        <v>West</v>
      </c>
      <c r="P98">
        <f>VLOOKUP(D98, Products!A:E, 4, FALSE)</f>
        <v>2135</v>
      </c>
      <c r="Q98">
        <f>IF(COUNTIF($A$2:A98, A98)=2, 1, 0)</f>
        <v>0</v>
      </c>
      <c r="R98">
        <f>IF(ISNA(MATCH(C98, Customers!$A:$A, 0)), 1, 0)</f>
        <v>0</v>
      </c>
      <c r="S98" s="94" t="b">
        <f>VLOOKUP(D98, Products!A:F, 6, FALSE)</f>
        <v>1</v>
      </c>
    </row>
    <row r="99" spans="1:19">
      <c r="A99" s="102" t="s">
        <v>348</v>
      </c>
      <c r="B99" s="2">
        <v>45373</v>
      </c>
      <c r="C99" s="1" t="s">
        <v>301</v>
      </c>
      <c r="D99" s="1" t="s">
        <v>138</v>
      </c>
      <c r="E99" s="1" t="s">
        <v>128</v>
      </c>
      <c r="F99" s="83">
        <v>10</v>
      </c>
      <c r="G99" s="92">
        <v>2600</v>
      </c>
      <c r="H99" s="3">
        <v>20.7</v>
      </c>
      <c r="I99" s="3">
        <v>20618</v>
      </c>
      <c r="J99" s="1" t="s">
        <v>87</v>
      </c>
      <c r="K99" s="1" t="s">
        <v>94</v>
      </c>
      <c r="L99" t="str">
        <f>VLOOKUP(D99, Products!A:C, 3, FALSE)</f>
        <v>Electronics</v>
      </c>
      <c r="M99" t="str">
        <f>VLOOKUP(C99, Customers!A:E, 5, FALSE)</f>
        <v>Retail</v>
      </c>
      <c r="N99">
        <f>VLOOKUP(C99, Customers!A:E, 3, FALSE)</f>
        <v>41</v>
      </c>
      <c r="O99" s="93" t="str">
        <f>VLOOKUP(E99, Sales_Reps!A:C, 3, FALSE)</f>
        <v>West</v>
      </c>
      <c r="P99">
        <f>VLOOKUP(D99, Products!A:E, 4, FALSE)</f>
        <v>1052</v>
      </c>
      <c r="Q99">
        <f>IF(COUNTIF($A$2:A99, A99)=2, 1, 0)</f>
        <v>0</v>
      </c>
      <c r="R99">
        <f>IF(ISNA(MATCH(C99, Customers!$A:$A, 0)), 1, 0)</f>
        <v>0</v>
      </c>
      <c r="S99" s="94" t="b">
        <f>VLOOKUP(D99, Products!A:F, 6, FALSE)</f>
        <v>1</v>
      </c>
    </row>
    <row r="100" spans="1:19">
      <c r="A100" s="102" t="s">
        <v>349</v>
      </c>
      <c r="B100" s="2">
        <v>45458</v>
      </c>
      <c r="C100" s="1" t="s">
        <v>350</v>
      </c>
      <c r="D100" s="1" t="s">
        <v>351</v>
      </c>
      <c r="E100" s="1" t="s">
        <v>103</v>
      </c>
      <c r="F100" s="83">
        <v>4</v>
      </c>
      <c r="G100" s="92">
        <v>4060</v>
      </c>
      <c r="H100" s="3">
        <v>13.9</v>
      </c>
      <c r="I100" s="3">
        <v>13982.64</v>
      </c>
      <c r="J100" s="1" t="s">
        <v>87</v>
      </c>
      <c r="K100" s="1" t="s">
        <v>112</v>
      </c>
      <c r="L100" t="str">
        <f>VLOOKUP(D100, Products!A:C, 3, FALSE)</f>
        <v>Grocery</v>
      </c>
      <c r="M100" t="str">
        <f>VLOOKUP(C100, Customers!A:E, 5, FALSE)</f>
        <v>SMB</v>
      </c>
      <c r="N100">
        <f>VLOOKUP(C100, Customers!A:E, 3, FALSE)</f>
        <v>22</v>
      </c>
      <c r="O100" s="93" t="str">
        <f>VLOOKUP(E100, Sales_Reps!A:C, 3, FALSE)</f>
        <v>North</v>
      </c>
      <c r="P100">
        <f>VLOOKUP(D100, Products!A:E, 4, FALSE)</f>
        <v>2911</v>
      </c>
      <c r="Q100">
        <f>IF(COUNTIF($A$2:A100, A100)=2, 1, 0)</f>
        <v>0</v>
      </c>
      <c r="R100">
        <f>IF(ISNA(MATCH(C100, Customers!$A:$A, 0)), 1, 0)</f>
        <v>0</v>
      </c>
      <c r="S100" s="94" t="b">
        <f>VLOOKUP(D100, Products!A:F, 6, FALSE)</f>
        <v>1</v>
      </c>
    </row>
    <row r="101" spans="1:19">
      <c r="A101" s="102" t="s">
        <v>352</v>
      </c>
      <c r="B101" s="2">
        <v>45426</v>
      </c>
      <c r="C101" s="1" t="s">
        <v>353</v>
      </c>
      <c r="D101" s="1" t="s">
        <v>241</v>
      </c>
      <c r="E101" s="1" t="s">
        <v>343</v>
      </c>
      <c r="F101" s="83">
        <v>6</v>
      </c>
      <c r="G101" s="92">
        <v>6080</v>
      </c>
      <c r="H101" s="3">
        <v>16.5</v>
      </c>
      <c r="I101" s="3">
        <v>30460.799999999999</v>
      </c>
      <c r="J101" s="1" t="s">
        <v>87</v>
      </c>
      <c r="K101" s="1" t="s">
        <v>94</v>
      </c>
      <c r="L101" t="str">
        <f>VLOOKUP(D101, Products!A:C, 3, FALSE)</f>
        <v>Beauty</v>
      </c>
      <c r="M101" t="str">
        <f>VLOOKUP(C101, Customers!A:E, 5, FALSE)</f>
        <v>Retail</v>
      </c>
      <c r="N101">
        <f>VLOOKUP(C101, Customers!A:E, 3, FALSE)</f>
        <v>60</v>
      </c>
      <c r="O101" s="93" t="str">
        <f>VLOOKUP(E101, Sales_Reps!A:C, 3, FALSE)</f>
        <v>West</v>
      </c>
      <c r="P101">
        <f>VLOOKUP(D101, Products!A:E, 4, FALSE)</f>
        <v>2617</v>
      </c>
      <c r="Q101">
        <f>IF(COUNTIF($A$2:A101, A101)=2, 1, 0)</f>
        <v>0</v>
      </c>
      <c r="R101">
        <f>IF(ISNA(MATCH(C101, Customers!$A:$A, 0)), 1, 0)</f>
        <v>0</v>
      </c>
      <c r="S101" s="94" t="b">
        <f>VLOOKUP(D101, Products!A:F, 6, FALSE)</f>
        <v>1</v>
      </c>
    </row>
    <row r="102" spans="1:19">
      <c r="A102" s="102" t="s">
        <v>354</v>
      </c>
      <c r="B102" s="2">
        <v>45557</v>
      </c>
      <c r="C102" s="1" t="s">
        <v>194</v>
      </c>
      <c r="D102" s="1" t="s">
        <v>355</v>
      </c>
      <c r="E102" s="1" t="s">
        <v>128</v>
      </c>
      <c r="F102" s="83">
        <v>6</v>
      </c>
      <c r="G102" s="92">
        <v>2510</v>
      </c>
      <c r="H102" s="3">
        <v>11.7</v>
      </c>
      <c r="I102" s="3">
        <v>13297.98</v>
      </c>
      <c r="J102" s="1" t="s">
        <v>87</v>
      </c>
      <c r="K102" s="1" t="s">
        <v>88</v>
      </c>
      <c r="L102" t="str">
        <f>VLOOKUP(D102, Products!A:C, 3, FALSE)</f>
        <v>Apparel</v>
      </c>
      <c r="M102" t="str">
        <f>VLOOKUP(C102, Customers!A:E, 5, FALSE)</f>
        <v>SMB</v>
      </c>
      <c r="N102">
        <f>VLOOKUP(C102, Customers!A:E, 3, FALSE)</f>
        <v>44</v>
      </c>
      <c r="O102" s="93" t="str">
        <f>VLOOKUP(E102, Sales_Reps!A:C, 3, FALSE)</f>
        <v>West</v>
      </c>
      <c r="P102">
        <f>VLOOKUP(D102, Products!A:E, 4, FALSE)</f>
        <v>1075</v>
      </c>
      <c r="Q102">
        <f>IF(COUNTIF($A$2:A102, A102)=2, 1, 0)</f>
        <v>0</v>
      </c>
      <c r="R102">
        <f>IF(ISNA(MATCH(C102, Customers!$A:$A, 0)), 1, 0)</f>
        <v>0</v>
      </c>
      <c r="S102" s="94" t="b">
        <f>VLOOKUP(D102, Products!A:F, 6, FALSE)</f>
        <v>0</v>
      </c>
    </row>
    <row r="103" spans="1:19">
      <c r="A103" s="102" t="s">
        <v>356</v>
      </c>
      <c r="B103" s="2">
        <v>45509</v>
      </c>
      <c r="C103" s="1" t="s">
        <v>357</v>
      </c>
      <c r="D103" s="1" t="s">
        <v>143</v>
      </c>
      <c r="E103" s="1" t="s">
        <v>201</v>
      </c>
      <c r="F103" s="83">
        <v>5</v>
      </c>
      <c r="G103" s="92">
        <v>3250</v>
      </c>
      <c r="H103" s="3">
        <v>18.399999999999999</v>
      </c>
      <c r="I103" s="3">
        <v>13260</v>
      </c>
      <c r="J103" s="1" t="s">
        <v>87</v>
      </c>
      <c r="K103" s="1" t="s">
        <v>99</v>
      </c>
      <c r="L103" t="str">
        <f>VLOOKUP(D103, Products!A:C, 3, FALSE)</f>
        <v>Home</v>
      </c>
      <c r="M103" t="str">
        <f>VLOOKUP(C103, Customers!A:E, 5, FALSE)</f>
        <v>SMB</v>
      </c>
      <c r="N103">
        <f>VLOOKUP(C103, Customers!A:E, 3, FALSE)</f>
        <v>38</v>
      </c>
      <c r="O103" s="93" t="str">
        <f>VLOOKUP(E103, Sales_Reps!A:C, 3, FALSE)</f>
        <v>West</v>
      </c>
      <c r="P103">
        <f>VLOOKUP(D103, Products!A:E, 4, FALSE)</f>
        <v>1556</v>
      </c>
      <c r="Q103">
        <f>IF(COUNTIF($A$2:A103, A103)=2, 1, 0)</f>
        <v>0</v>
      </c>
      <c r="R103">
        <f>IF(ISNA(MATCH(C103, Customers!$A:$A, 0)), 1, 0)</f>
        <v>0</v>
      </c>
      <c r="S103" s="94" t="b">
        <f>VLOOKUP(D103, Products!A:F, 6, FALSE)</f>
        <v>1</v>
      </c>
    </row>
    <row r="104" spans="1:19">
      <c r="A104" s="102" t="s">
        <v>358</v>
      </c>
      <c r="B104" s="2">
        <v>45329</v>
      </c>
      <c r="C104" s="1" t="s">
        <v>359</v>
      </c>
      <c r="D104" s="1" t="s">
        <v>360</v>
      </c>
      <c r="E104" s="1" t="s">
        <v>92</v>
      </c>
      <c r="F104" s="83">
        <v>4</v>
      </c>
      <c r="G104" s="92">
        <v>5410</v>
      </c>
      <c r="H104" s="3">
        <v>9.8000000000000007</v>
      </c>
      <c r="I104" s="3">
        <v>19519.28</v>
      </c>
      <c r="J104" s="1" t="s">
        <v>140</v>
      </c>
      <c r="K104" s="1" t="s">
        <v>99</v>
      </c>
      <c r="L104" t="str">
        <f>VLOOKUP(D104, Products!A:C, 3, FALSE)</f>
        <v>Sports</v>
      </c>
      <c r="M104" t="str">
        <f>VLOOKUP(C104, Customers!A:E, 5, FALSE)</f>
        <v>SMB</v>
      </c>
      <c r="N104">
        <f>VLOOKUP(C104, Customers!A:E, 3, FALSE)</f>
        <v>28</v>
      </c>
      <c r="O104" s="93" t="str">
        <f>VLOOKUP(E104, Sales_Reps!A:C, 3, FALSE)</f>
        <v>North</v>
      </c>
      <c r="P104">
        <f>VLOOKUP(D104, Products!A:E, 4, FALSE)</f>
        <v>2265</v>
      </c>
      <c r="Q104">
        <f>IF(COUNTIF($A$2:A104, A104)=2, 1, 0)</f>
        <v>0</v>
      </c>
      <c r="R104">
        <f>IF(ISNA(MATCH(C104, Customers!$A:$A, 0)), 1, 0)</f>
        <v>0</v>
      </c>
      <c r="S104" s="94" t="b">
        <f>VLOOKUP(D104, Products!A:F, 6, FALSE)</f>
        <v>1</v>
      </c>
    </row>
    <row r="105" spans="1:19">
      <c r="A105" s="102" t="s">
        <v>361</v>
      </c>
      <c r="B105" s="2">
        <v>45411</v>
      </c>
      <c r="C105" s="1" t="s">
        <v>362</v>
      </c>
      <c r="D105" s="1" t="s">
        <v>187</v>
      </c>
      <c r="E105" s="1" t="s">
        <v>303</v>
      </c>
      <c r="F105" s="83">
        <v>8</v>
      </c>
      <c r="G105" s="92">
        <v>3570</v>
      </c>
      <c r="H105" s="3">
        <v>11.1</v>
      </c>
      <c r="I105" s="3">
        <v>25389.84</v>
      </c>
      <c r="J105" s="1" t="s">
        <v>87</v>
      </c>
      <c r="K105" s="1" t="s">
        <v>94</v>
      </c>
      <c r="L105" t="str">
        <f>VLOOKUP(D105, Products!A:C, 3, FALSE)</f>
        <v>Electronics</v>
      </c>
      <c r="M105" t="str">
        <f>VLOOKUP(C105, Customers!A:E, 5, FALSE)</f>
        <v>Corporate</v>
      </c>
      <c r="N105">
        <f>VLOOKUP(C105, Customers!A:E, 3, FALSE)</f>
        <v>51</v>
      </c>
      <c r="O105" s="93" t="str">
        <f>VLOOKUP(E105, Sales_Reps!A:C, 3, FALSE)</f>
        <v>East</v>
      </c>
      <c r="P105">
        <f>VLOOKUP(D105, Products!A:E, 4, FALSE)</f>
        <v>1665</v>
      </c>
      <c r="Q105">
        <f>IF(COUNTIF($A$2:A105, A105)=2, 1, 0)</f>
        <v>0</v>
      </c>
      <c r="R105">
        <f>IF(ISNA(MATCH(C105, Customers!$A:$A, 0)), 1, 0)</f>
        <v>0</v>
      </c>
      <c r="S105" s="94" t="b">
        <f>VLOOKUP(D105, Products!A:F, 6, FALSE)</f>
        <v>1</v>
      </c>
    </row>
    <row r="106" spans="1:19">
      <c r="A106" s="102" t="s">
        <v>363</v>
      </c>
      <c r="B106" s="2">
        <v>45297</v>
      </c>
      <c r="C106" s="1" t="s">
        <v>350</v>
      </c>
      <c r="D106" s="1" t="s">
        <v>364</v>
      </c>
      <c r="E106" s="1" t="s">
        <v>148</v>
      </c>
      <c r="F106" s="83">
        <v>10</v>
      </c>
      <c r="G106" s="92">
        <v>5330</v>
      </c>
      <c r="H106" s="3">
        <v>21.2</v>
      </c>
      <c r="I106" s="3">
        <v>42000.4</v>
      </c>
      <c r="J106" s="1" t="s">
        <v>87</v>
      </c>
      <c r="K106" s="1" t="s">
        <v>112</v>
      </c>
      <c r="L106" t="str">
        <f>VLOOKUP(D106, Products!A:C, 3, FALSE)</f>
        <v>Electronics</v>
      </c>
      <c r="M106" t="str">
        <f>VLOOKUP(C106, Customers!A:E, 5, FALSE)</f>
        <v>SMB</v>
      </c>
      <c r="N106">
        <f>VLOOKUP(C106, Customers!A:E, 3, FALSE)</f>
        <v>22</v>
      </c>
      <c r="O106" s="93" t="str">
        <f>VLOOKUP(E106, Sales_Reps!A:C, 3, FALSE)</f>
        <v>North</v>
      </c>
      <c r="P106">
        <f>VLOOKUP(D106, Products!A:E, 4, FALSE)</f>
        <v>2405</v>
      </c>
      <c r="Q106">
        <f>IF(COUNTIF($A$2:A106, A106)=2, 1, 0)</f>
        <v>0</v>
      </c>
      <c r="R106">
        <f>IF(ISNA(MATCH(C106, Customers!$A:$A, 0)), 1, 0)</f>
        <v>0</v>
      </c>
      <c r="S106" s="94" t="b">
        <f>VLOOKUP(D106, Products!A:F, 6, FALSE)</f>
        <v>1</v>
      </c>
    </row>
    <row r="107" spans="1:19">
      <c r="A107" s="102" t="s">
        <v>365</v>
      </c>
      <c r="B107" s="2">
        <v>45640</v>
      </c>
      <c r="C107" s="1" t="s">
        <v>366</v>
      </c>
      <c r="D107" s="1" t="s">
        <v>367</v>
      </c>
      <c r="E107" s="1" t="s">
        <v>238</v>
      </c>
      <c r="F107" s="83">
        <v>4</v>
      </c>
      <c r="G107" s="92">
        <v>2380</v>
      </c>
      <c r="H107" s="3">
        <v>26.2</v>
      </c>
      <c r="I107" s="3">
        <v>7025.76</v>
      </c>
      <c r="J107" s="1" t="s">
        <v>87</v>
      </c>
      <c r="K107" s="1" t="s">
        <v>112</v>
      </c>
      <c r="L107" t="str">
        <f>VLOOKUP(D107, Products!A:C, 3, FALSE)</f>
        <v>Grocery</v>
      </c>
      <c r="M107" t="str">
        <f>VLOOKUP(C107, Customers!A:E, 5, FALSE)</f>
        <v>Retail</v>
      </c>
      <c r="N107">
        <f>VLOOKUP(C107, Customers!A:E, 3, FALSE)</f>
        <v>25</v>
      </c>
      <c r="O107" s="93" t="str">
        <f>VLOOKUP(E107, Sales_Reps!A:C, 3, FALSE)</f>
        <v>East</v>
      </c>
      <c r="P107">
        <f>VLOOKUP(D107, Products!A:E, 4, FALSE)</f>
        <v>1182</v>
      </c>
      <c r="Q107">
        <f>IF(COUNTIF($A$2:A107, A107)=2, 1, 0)</f>
        <v>0</v>
      </c>
      <c r="R107">
        <f>IF(ISNA(MATCH(C107, Customers!$A:$A, 0)), 1, 0)</f>
        <v>0</v>
      </c>
      <c r="S107" s="94" t="b">
        <f>VLOOKUP(D107, Products!A:F, 6, FALSE)</f>
        <v>1</v>
      </c>
    </row>
    <row r="108" spans="1:19">
      <c r="A108" s="102" t="s">
        <v>368</v>
      </c>
      <c r="B108" s="2">
        <v>45322</v>
      </c>
      <c r="C108" s="1" t="s">
        <v>369</v>
      </c>
      <c r="D108" s="1" t="s">
        <v>182</v>
      </c>
      <c r="E108" s="1" t="s">
        <v>343</v>
      </c>
      <c r="F108" s="83">
        <v>1</v>
      </c>
      <c r="G108" s="92">
        <v>1010</v>
      </c>
      <c r="H108" s="3">
        <v>19.5</v>
      </c>
      <c r="I108" s="3">
        <v>813.05</v>
      </c>
      <c r="J108" s="1" t="s">
        <v>140</v>
      </c>
      <c r="K108" s="1" t="s">
        <v>94</v>
      </c>
      <c r="L108" t="str">
        <f>VLOOKUP(D108, Products!A:C, 3, FALSE)</f>
        <v>Sports</v>
      </c>
      <c r="M108" t="str">
        <f>VLOOKUP(C108, Customers!A:E, 5, FALSE)</f>
        <v>SMB</v>
      </c>
      <c r="N108">
        <f>VLOOKUP(C108, Customers!A:E, 3, FALSE)</f>
        <v>62</v>
      </c>
      <c r="O108" s="93" t="str">
        <f>VLOOKUP(E108, Sales_Reps!A:C, 3, FALSE)</f>
        <v>West</v>
      </c>
      <c r="P108">
        <f>VLOOKUP(D108, Products!A:E, 4, FALSE)</f>
        <v>516</v>
      </c>
      <c r="Q108">
        <f>IF(COUNTIF($A$2:A108, A108)=2, 1, 0)</f>
        <v>0</v>
      </c>
      <c r="R108">
        <f>IF(ISNA(MATCH(C108, Customers!$A:$A, 0)), 1, 0)</f>
        <v>0</v>
      </c>
      <c r="S108" s="94" t="b">
        <f>VLOOKUP(D108, Products!A:F, 6, FALSE)</f>
        <v>1</v>
      </c>
    </row>
    <row r="109" spans="1:19">
      <c r="A109" s="102" t="s">
        <v>370</v>
      </c>
      <c r="B109" s="2">
        <v>45414</v>
      </c>
      <c r="C109" s="1" t="s">
        <v>371</v>
      </c>
      <c r="D109" s="1" t="s">
        <v>102</v>
      </c>
      <c r="E109" s="1" t="s">
        <v>111</v>
      </c>
      <c r="F109" s="83">
        <v>1</v>
      </c>
      <c r="G109" s="92">
        <v>3660</v>
      </c>
      <c r="H109" s="3">
        <v>1.3</v>
      </c>
      <c r="I109" s="3">
        <v>3612.42</v>
      </c>
      <c r="J109" s="1" t="s">
        <v>87</v>
      </c>
      <c r="K109" s="1" t="s">
        <v>112</v>
      </c>
      <c r="L109" t="str">
        <f>VLOOKUP(D109, Products!A:C, 3, FALSE)</f>
        <v>Grocery</v>
      </c>
      <c r="M109" t="str">
        <f>VLOOKUP(C109, Customers!A:E, 5, FALSE)</f>
        <v>Retail</v>
      </c>
      <c r="N109">
        <f>VLOOKUP(C109, Customers!A:E, 3, FALSE)</f>
        <v>42</v>
      </c>
      <c r="O109" s="93" t="str">
        <f>VLOOKUP(E109, Sales_Reps!A:C, 3, FALSE)</f>
        <v>West</v>
      </c>
      <c r="P109">
        <f>VLOOKUP(D109, Products!A:E, 4, FALSE)</f>
        <v>2214</v>
      </c>
      <c r="Q109">
        <f>IF(COUNTIF($A$2:A109, A109)=2, 1, 0)</f>
        <v>0</v>
      </c>
      <c r="R109">
        <f>IF(ISNA(MATCH(C109, Customers!$A:$A, 0)), 1, 0)</f>
        <v>0</v>
      </c>
      <c r="S109" s="94" t="b">
        <f>VLOOKUP(D109, Products!A:F, 6, FALSE)</f>
        <v>0</v>
      </c>
    </row>
    <row r="110" spans="1:19">
      <c r="A110" s="102" t="s">
        <v>372</v>
      </c>
      <c r="B110" s="2">
        <v>45592</v>
      </c>
      <c r="C110" s="1" t="s">
        <v>373</v>
      </c>
      <c r="D110" s="1" t="s">
        <v>264</v>
      </c>
      <c r="E110" s="1" t="s">
        <v>252</v>
      </c>
      <c r="F110" s="83">
        <v>2</v>
      </c>
      <c r="G110" s="92">
        <v>4070</v>
      </c>
      <c r="H110" s="3">
        <v>29</v>
      </c>
      <c r="I110" s="3">
        <v>5779.4</v>
      </c>
      <c r="J110" s="1" t="s">
        <v>140</v>
      </c>
      <c r="K110" s="1" t="s">
        <v>88</v>
      </c>
      <c r="L110" t="str">
        <f>VLOOKUP(D110, Products!A:C, 3, FALSE)</f>
        <v>Grocery</v>
      </c>
      <c r="M110" t="str">
        <f>VLOOKUP(C110, Customers!A:E, 5, FALSE)</f>
        <v>Retail</v>
      </c>
      <c r="N110">
        <f>VLOOKUP(C110, Customers!A:E, 3, FALSE)</f>
        <v>43</v>
      </c>
      <c r="O110" s="93" t="str">
        <f>VLOOKUP(E110, Sales_Reps!A:C, 3, FALSE)</f>
        <v>South</v>
      </c>
      <c r="P110">
        <f>VLOOKUP(D110, Products!A:E, 4, FALSE)</f>
        <v>2027</v>
      </c>
      <c r="Q110">
        <f>IF(COUNTIF($A$2:A110, A110)=2, 1, 0)</f>
        <v>0</v>
      </c>
      <c r="R110">
        <f>IF(ISNA(MATCH(C110, Customers!$A:$A, 0)), 1, 0)</f>
        <v>0</v>
      </c>
      <c r="S110" s="94" t="b">
        <f>VLOOKUP(D110, Products!A:F, 6, FALSE)</f>
        <v>1</v>
      </c>
    </row>
    <row r="111" spans="1:19">
      <c r="A111" s="102" t="s">
        <v>374</v>
      </c>
      <c r="B111" s="2">
        <v>45439</v>
      </c>
      <c r="C111" s="1" t="s">
        <v>190</v>
      </c>
      <c r="D111" s="1" t="s">
        <v>203</v>
      </c>
      <c r="E111" s="1" t="s">
        <v>229</v>
      </c>
      <c r="F111" s="83">
        <v>6</v>
      </c>
      <c r="G111" s="92">
        <v>660</v>
      </c>
      <c r="H111" s="3">
        <v>20.2</v>
      </c>
      <c r="I111" s="3">
        <v>3160.08</v>
      </c>
      <c r="J111" s="1" t="s">
        <v>93</v>
      </c>
      <c r="K111" s="1" t="s">
        <v>133</v>
      </c>
      <c r="L111" t="str">
        <f>VLOOKUP(D111, Products!A:C, 3, FALSE)</f>
        <v>Home</v>
      </c>
      <c r="M111" t="str">
        <f>VLOOKUP(C111, Customers!A:E, 5, FALSE)</f>
        <v>Corporate</v>
      </c>
      <c r="N111">
        <f>VLOOKUP(C111, Customers!A:E, 3, FALSE)</f>
        <v>56</v>
      </c>
      <c r="O111" s="93" t="str">
        <f>VLOOKUP(E111, Sales_Reps!A:C, 3, FALSE)</f>
        <v>West</v>
      </c>
      <c r="P111">
        <f>VLOOKUP(D111, Products!A:E, 4, FALSE)</f>
        <v>329</v>
      </c>
      <c r="Q111">
        <f>IF(COUNTIF($A$2:A111, A111)=2, 1, 0)</f>
        <v>0</v>
      </c>
      <c r="R111">
        <f>IF(ISNA(MATCH(C111, Customers!$A:$A, 0)), 1, 0)</f>
        <v>0</v>
      </c>
      <c r="S111" s="94" t="b">
        <f>VLOOKUP(D111, Products!A:F, 6, FALSE)</f>
        <v>1</v>
      </c>
    </row>
    <row r="112" spans="1:19">
      <c r="A112" s="102" t="s">
        <v>375</v>
      </c>
      <c r="B112" s="2">
        <v>45486</v>
      </c>
      <c r="C112" s="1" t="s">
        <v>376</v>
      </c>
      <c r="D112" s="1" t="s">
        <v>164</v>
      </c>
      <c r="E112" s="1" t="s">
        <v>116</v>
      </c>
      <c r="F112" s="83">
        <v>3</v>
      </c>
      <c r="G112" s="92">
        <v>1080</v>
      </c>
      <c r="H112" s="3">
        <v>29.7</v>
      </c>
      <c r="I112" s="3">
        <v>2277.7199999999998</v>
      </c>
      <c r="J112" s="1" t="s">
        <v>87</v>
      </c>
      <c r="K112" s="1" t="s">
        <v>117</v>
      </c>
      <c r="L112" t="str">
        <f>VLOOKUP(D112, Products!A:C, 3, FALSE)</f>
        <v>Home</v>
      </c>
      <c r="M112" t="str">
        <f>VLOOKUP(C112, Customers!A:E, 5, FALSE)</f>
        <v>SMB</v>
      </c>
      <c r="N112">
        <f>VLOOKUP(C112, Customers!A:E, 3, FALSE)</f>
        <v>44</v>
      </c>
      <c r="O112" s="93" t="str">
        <f>VLOOKUP(E112, Sales_Reps!A:C, 3, FALSE)</f>
        <v>West</v>
      </c>
      <c r="P112">
        <f>VLOOKUP(D112, Products!A:E, 4, FALSE)</f>
        <v>519</v>
      </c>
      <c r="Q112">
        <f>IF(COUNTIF($A$2:A112, A112)=2, 1, 0)</f>
        <v>0</v>
      </c>
      <c r="R112">
        <f>IF(ISNA(MATCH(C112, Customers!$A:$A, 0)), 1, 0)</f>
        <v>0</v>
      </c>
      <c r="S112" s="94" t="b">
        <f>VLOOKUP(D112, Products!A:F, 6, FALSE)</f>
        <v>1</v>
      </c>
    </row>
    <row r="113" spans="1:19">
      <c r="A113" s="102" t="s">
        <v>377</v>
      </c>
      <c r="B113" s="2">
        <v>45629</v>
      </c>
      <c r="C113" s="1" t="s">
        <v>378</v>
      </c>
      <c r="D113" s="1" t="s">
        <v>91</v>
      </c>
      <c r="E113" s="1" t="s">
        <v>103</v>
      </c>
      <c r="F113" s="83">
        <v>7</v>
      </c>
      <c r="G113" s="92">
        <v>820</v>
      </c>
      <c r="H113" s="3">
        <v>13.5</v>
      </c>
      <c r="I113" s="3">
        <v>4965.1000000000004</v>
      </c>
      <c r="J113" s="1" t="s">
        <v>140</v>
      </c>
      <c r="K113" s="1" t="s">
        <v>94</v>
      </c>
      <c r="L113" t="str">
        <f>VLOOKUP(D113, Products!A:C, 3, FALSE)</f>
        <v>Apparel</v>
      </c>
      <c r="M113" t="str">
        <f>VLOOKUP(C113, Customers!A:E, 5, FALSE)</f>
        <v>SMB</v>
      </c>
      <c r="N113">
        <f>VLOOKUP(C113, Customers!A:E, 3, FALSE)</f>
        <v>53</v>
      </c>
      <c r="O113" s="93" t="str">
        <f>VLOOKUP(E113, Sales_Reps!A:C, 3, FALSE)</f>
        <v>North</v>
      </c>
      <c r="P113">
        <f>VLOOKUP(D113, Products!A:E, 4, FALSE)</f>
        <v>391</v>
      </c>
      <c r="Q113">
        <f>IF(COUNTIF($A$2:A113, A113)=2, 1, 0)</f>
        <v>0</v>
      </c>
      <c r="R113">
        <f>IF(ISNA(MATCH(C113, Customers!$A:$A, 0)), 1, 0)</f>
        <v>0</v>
      </c>
      <c r="S113" s="94" t="b">
        <f>VLOOKUP(D113, Products!A:F, 6, FALSE)</f>
        <v>1</v>
      </c>
    </row>
    <row r="114" spans="1:19">
      <c r="A114" s="102" t="s">
        <v>379</v>
      </c>
      <c r="B114" s="2">
        <v>45394</v>
      </c>
      <c r="C114" s="1" t="s">
        <v>137</v>
      </c>
      <c r="D114" s="1" t="s">
        <v>380</v>
      </c>
      <c r="E114" s="1" t="s">
        <v>343</v>
      </c>
      <c r="F114" s="83">
        <v>4</v>
      </c>
      <c r="G114" s="92">
        <v>960</v>
      </c>
      <c r="H114" s="3">
        <v>26</v>
      </c>
      <c r="I114" s="3">
        <v>2841.6</v>
      </c>
      <c r="J114" s="1" t="s">
        <v>87</v>
      </c>
      <c r="K114" s="1" t="s">
        <v>99</v>
      </c>
      <c r="L114" t="str">
        <f>VLOOKUP(D114, Products!A:C, 3, FALSE)</f>
        <v>Beauty</v>
      </c>
      <c r="M114" t="str">
        <f>VLOOKUP(C114, Customers!A:E, 5, FALSE)</f>
        <v>SMB</v>
      </c>
      <c r="N114">
        <f>VLOOKUP(C114, Customers!A:E, 3, FALSE)</f>
        <v>27</v>
      </c>
      <c r="O114" s="93" t="str">
        <f>VLOOKUP(E114, Sales_Reps!A:C, 3, FALSE)</f>
        <v>West</v>
      </c>
      <c r="P114">
        <f>VLOOKUP(D114, Products!A:E, 4, FALSE)</f>
        <v>675</v>
      </c>
      <c r="Q114">
        <f>IF(COUNTIF($A$2:A114, A114)=2, 1, 0)</f>
        <v>0</v>
      </c>
      <c r="R114">
        <f>IF(ISNA(MATCH(C114, Customers!$A:$A, 0)), 1, 0)</f>
        <v>0</v>
      </c>
      <c r="S114" s="94" t="b">
        <f>VLOOKUP(D114, Products!A:F, 6, FALSE)</f>
        <v>1</v>
      </c>
    </row>
    <row r="115" spans="1:19">
      <c r="A115" s="102" t="s">
        <v>381</v>
      </c>
      <c r="B115" s="2">
        <v>45453</v>
      </c>
      <c r="C115" s="1" t="s">
        <v>382</v>
      </c>
      <c r="D115" s="1" t="s">
        <v>138</v>
      </c>
      <c r="E115" s="1" t="s">
        <v>98</v>
      </c>
      <c r="F115" s="83">
        <v>3</v>
      </c>
      <c r="G115" s="92">
        <v>2600</v>
      </c>
      <c r="H115" s="3">
        <v>18.2</v>
      </c>
      <c r="I115" s="3">
        <v>6380.4</v>
      </c>
      <c r="J115" s="1" t="s">
        <v>87</v>
      </c>
      <c r="K115" s="1" t="s">
        <v>99</v>
      </c>
      <c r="L115" t="str">
        <f>VLOOKUP(D115, Products!A:C, 3, FALSE)</f>
        <v>Electronics</v>
      </c>
      <c r="M115" t="str">
        <f>VLOOKUP(C115, Customers!A:E, 5, FALSE)</f>
        <v>Corporate</v>
      </c>
      <c r="N115">
        <f>VLOOKUP(C115, Customers!A:E, 3, FALSE)</f>
        <v>27</v>
      </c>
      <c r="O115" s="93" t="str">
        <f>VLOOKUP(E115, Sales_Reps!A:C, 3, FALSE)</f>
        <v>South</v>
      </c>
      <c r="P115">
        <f>VLOOKUP(D115, Products!A:E, 4, FALSE)</f>
        <v>1052</v>
      </c>
      <c r="Q115">
        <f>IF(COUNTIF($A$2:A115, A115)=2, 1, 0)</f>
        <v>0</v>
      </c>
      <c r="R115">
        <f>IF(ISNA(MATCH(C115, Customers!$A:$A, 0)), 1, 0)</f>
        <v>0</v>
      </c>
      <c r="S115" s="94" t="b">
        <f>VLOOKUP(D115, Products!A:F, 6, FALSE)</f>
        <v>1</v>
      </c>
    </row>
    <row r="116" spans="1:19">
      <c r="A116" s="102" t="s">
        <v>383</v>
      </c>
      <c r="B116" s="2">
        <v>45370</v>
      </c>
      <c r="C116" s="1" t="s">
        <v>150</v>
      </c>
      <c r="D116" s="1" t="s">
        <v>295</v>
      </c>
      <c r="E116" s="1" t="s">
        <v>229</v>
      </c>
      <c r="F116" s="83">
        <v>9</v>
      </c>
      <c r="G116" s="92">
        <v>2030</v>
      </c>
      <c r="H116" s="3">
        <v>26.1</v>
      </c>
      <c r="I116" s="3">
        <v>13501.53</v>
      </c>
      <c r="J116" s="1" t="s">
        <v>87</v>
      </c>
      <c r="K116" s="1" t="s">
        <v>88</v>
      </c>
      <c r="L116" t="str">
        <f>VLOOKUP(D116, Products!A:C, 3, FALSE)</f>
        <v>Home</v>
      </c>
      <c r="M116" t="str">
        <f>VLOOKUP(C116, Customers!A:E, 5, FALSE)</f>
        <v>Retail</v>
      </c>
      <c r="N116">
        <f>VLOOKUP(C116, Customers!A:E, 3, FALSE)</f>
        <v>63</v>
      </c>
      <c r="O116" s="93" t="str">
        <f>VLOOKUP(E116, Sales_Reps!A:C, 3, FALSE)</f>
        <v>West</v>
      </c>
      <c r="P116">
        <f>VLOOKUP(D116, Products!A:E, 4, FALSE)</f>
        <v>1143</v>
      </c>
      <c r="Q116">
        <f>IF(COUNTIF($A$2:A116, A116)=2, 1, 0)</f>
        <v>0</v>
      </c>
      <c r="R116">
        <f>IF(ISNA(MATCH(C116, Customers!$A:$A, 0)), 1, 0)</f>
        <v>0</v>
      </c>
      <c r="S116" s="94" t="b">
        <f>VLOOKUP(D116, Products!A:F, 6, FALSE)</f>
        <v>1</v>
      </c>
    </row>
    <row r="117" spans="1:19">
      <c r="A117" s="102" t="s">
        <v>384</v>
      </c>
      <c r="B117" s="2">
        <v>45597</v>
      </c>
      <c r="C117" s="1" t="s">
        <v>385</v>
      </c>
      <c r="D117" s="1" t="s">
        <v>386</v>
      </c>
      <c r="E117" s="1" t="s">
        <v>128</v>
      </c>
      <c r="F117" s="83">
        <v>8</v>
      </c>
      <c r="G117" s="92">
        <v>2290</v>
      </c>
      <c r="H117" s="3">
        <v>20.8</v>
      </c>
      <c r="I117" s="3">
        <v>14509.44</v>
      </c>
      <c r="J117" s="1" t="s">
        <v>87</v>
      </c>
      <c r="K117" s="1" t="s">
        <v>117</v>
      </c>
      <c r="L117" t="str">
        <f>VLOOKUP(D117, Products!A:C, 3, FALSE)</f>
        <v>Beauty</v>
      </c>
      <c r="M117" t="str">
        <f>VLOOKUP(C117, Customers!A:E, 5, FALSE)</f>
        <v>Retail</v>
      </c>
      <c r="N117">
        <f>VLOOKUP(C117, Customers!A:E, 3, FALSE)</f>
        <v>23</v>
      </c>
      <c r="O117" s="93" t="str">
        <f>VLOOKUP(E117, Sales_Reps!A:C, 3, FALSE)</f>
        <v>West</v>
      </c>
      <c r="P117">
        <f>VLOOKUP(D117, Products!A:E, 4, FALSE)</f>
        <v>1219</v>
      </c>
      <c r="Q117">
        <f>IF(COUNTIF($A$2:A117, A117)=2, 1, 0)</f>
        <v>0</v>
      </c>
      <c r="R117">
        <f>IF(ISNA(MATCH(C117, Customers!$A:$A, 0)), 1, 0)</f>
        <v>0</v>
      </c>
      <c r="S117" s="94" t="b">
        <f>VLOOKUP(D117, Products!A:F, 6, FALSE)</f>
        <v>1</v>
      </c>
    </row>
    <row r="118" spans="1:19">
      <c r="A118" s="102" t="s">
        <v>387</v>
      </c>
      <c r="B118" s="2">
        <v>45531</v>
      </c>
      <c r="C118" s="1" t="s">
        <v>388</v>
      </c>
      <c r="D118" s="1" t="s">
        <v>226</v>
      </c>
      <c r="E118" s="1" t="s">
        <v>229</v>
      </c>
      <c r="F118" s="83">
        <v>3</v>
      </c>
      <c r="G118" s="92">
        <v>3730</v>
      </c>
      <c r="H118" s="3">
        <v>7.9</v>
      </c>
      <c r="I118" s="3">
        <v>10305.99</v>
      </c>
      <c r="J118" s="1" t="s">
        <v>87</v>
      </c>
      <c r="K118" s="1" t="s">
        <v>133</v>
      </c>
      <c r="L118" t="str">
        <f>VLOOKUP(D118, Products!A:C, 3, FALSE)</f>
        <v>Home</v>
      </c>
      <c r="M118" t="str">
        <f>VLOOKUP(C118, Customers!A:E, 5, FALSE)</f>
        <v>Retail</v>
      </c>
      <c r="N118">
        <f>VLOOKUP(C118, Customers!A:E, 3, FALSE)</f>
        <v>44</v>
      </c>
      <c r="O118" s="93" t="str">
        <f>VLOOKUP(E118, Sales_Reps!A:C, 3, FALSE)</f>
        <v>West</v>
      </c>
      <c r="P118">
        <f>VLOOKUP(D118, Products!A:E, 4, FALSE)</f>
        <v>2135</v>
      </c>
      <c r="Q118">
        <f>IF(COUNTIF($A$2:A118, A118)=2, 1, 0)</f>
        <v>0</v>
      </c>
      <c r="R118">
        <f>IF(ISNA(MATCH(C118, Customers!$A:$A, 0)), 1, 0)</f>
        <v>0</v>
      </c>
      <c r="S118" s="94" t="b">
        <f>VLOOKUP(D118, Products!A:F, 6, FALSE)</f>
        <v>1</v>
      </c>
    </row>
    <row r="119" spans="1:19">
      <c r="A119" s="102" t="s">
        <v>389</v>
      </c>
      <c r="B119" s="2">
        <v>45596</v>
      </c>
      <c r="C119" s="1" t="s">
        <v>390</v>
      </c>
      <c r="D119" s="1" t="s">
        <v>282</v>
      </c>
      <c r="E119" s="1" t="s">
        <v>98</v>
      </c>
      <c r="F119" s="83">
        <v>1</v>
      </c>
      <c r="G119" s="92">
        <v>300</v>
      </c>
      <c r="H119" s="3">
        <v>16.899999999999999</v>
      </c>
      <c r="I119" s="3">
        <v>249.3</v>
      </c>
      <c r="J119" s="1" t="s">
        <v>93</v>
      </c>
      <c r="K119" s="1" t="s">
        <v>88</v>
      </c>
      <c r="L119" t="str">
        <f>VLOOKUP(D119, Products!A:C, 3, FALSE)</f>
        <v>Electronics</v>
      </c>
      <c r="M119" t="str">
        <f>VLOOKUP(C119, Customers!A:E, 5, FALSE)</f>
        <v>SMB</v>
      </c>
      <c r="N119">
        <f>VLOOKUP(C119, Customers!A:E, 3, FALSE)</f>
        <v>54</v>
      </c>
      <c r="O119" s="93" t="str">
        <f>VLOOKUP(E119, Sales_Reps!A:C, 3, FALSE)</f>
        <v>South</v>
      </c>
      <c r="P119">
        <f>VLOOKUP(D119, Products!A:E, 4, FALSE)</f>
        <v>128</v>
      </c>
      <c r="Q119">
        <f>IF(COUNTIF($A$2:A119, A119)=2, 1, 0)</f>
        <v>0</v>
      </c>
      <c r="R119">
        <f>IF(ISNA(MATCH(C119, Customers!$A:$A, 0)), 1, 0)</f>
        <v>0</v>
      </c>
      <c r="S119" s="94" t="b">
        <f>VLOOKUP(D119, Products!A:F, 6, FALSE)</f>
        <v>1</v>
      </c>
    </row>
    <row r="120" spans="1:19">
      <c r="A120" s="102" t="s">
        <v>391</v>
      </c>
      <c r="B120" s="2">
        <v>45420</v>
      </c>
      <c r="C120" s="1" t="s">
        <v>392</v>
      </c>
      <c r="D120" s="1" t="s">
        <v>282</v>
      </c>
      <c r="E120" s="1" t="s">
        <v>325</v>
      </c>
      <c r="F120" s="83">
        <v>3</v>
      </c>
      <c r="G120" s="92">
        <v>300</v>
      </c>
      <c r="H120" s="3">
        <v>0.6</v>
      </c>
      <c r="I120" s="3">
        <v>894.6</v>
      </c>
      <c r="J120" s="1" t="s">
        <v>87</v>
      </c>
      <c r="K120" s="1" t="s">
        <v>112</v>
      </c>
      <c r="L120" t="str">
        <f>VLOOKUP(D120, Products!A:C, 3, FALSE)</f>
        <v>Electronics</v>
      </c>
      <c r="M120" t="str">
        <f>VLOOKUP(C120, Customers!A:E, 5, FALSE)</f>
        <v>Retail</v>
      </c>
      <c r="N120">
        <f>VLOOKUP(C120, Customers!A:E, 3, FALSE)</f>
        <v>50</v>
      </c>
      <c r="O120" s="93" t="str">
        <f>VLOOKUP(E120, Sales_Reps!A:C, 3, FALSE)</f>
        <v>South</v>
      </c>
      <c r="P120">
        <f>VLOOKUP(D120, Products!A:E, 4, FALSE)</f>
        <v>128</v>
      </c>
      <c r="Q120">
        <f>IF(COUNTIF($A$2:A120, A120)=2, 1, 0)</f>
        <v>0</v>
      </c>
      <c r="R120">
        <f>IF(ISNA(MATCH(C120, Customers!$A:$A, 0)), 1, 0)</f>
        <v>0</v>
      </c>
      <c r="S120" s="94" t="b">
        <f>VLOOKUP(D120, Products!A:F, 6, FALSE)</f>
        <v>1</v>
      </c>
    </row>
    <row r="121" spans="1:19">
      <c r="A121" s="102" t="s">
        <v>393</v>
      </c>
      <c r="B121" s="2">
        <v>45329</v>
      </c>
      <c r="C121" s="1" t="s">
        <v>394</v>
      </c>
      <c r="D121" s="1" t="s">
        <v>179</v>
      </c>
      <c r="E121" s="1" t="s">
        <v>86</v>
      </c>
      <c r="F121" s="83">
        <v>6</v>
      </c>
      <c r="G121" s="92">
        <v>3350</v>
      </c>
      <c r="H121" s="3">
        <v>2.2999999999999998</v>
      </c>
      <c r="I121" s="3">
        <v>19637.7</v>
      </c>
      <c r="J121" s="1" t="s">
        <v>140</v>
      </c>
      <c r="K121" s="1" t="s">
        <v>117</v>
      </c>
      <c r="L121" t="str">
        <f>VLOOKUP(D121, Products!A:C, 3, FALSE)</f>
        <v>Beauty</v>
      </c>
      <c r="M121" t="str">
        <f>VLOOKUP(C121, Customers!A:E, 5, FALSE)</f>
        <v>SMB</v>
      </c>
      <c r="N121">
        <f>VLOOKUP(C121, Customers!A:E, 3, FALSE)</f>
        <v>28</v>
      </c>
      <c r="O121" s="93" t="str">
        <f>VLOOKUP(E121, Sales_Reps!A:C, 3, FALSE)</f>
        <v>North</v>
      </c>
      <c r="P121">
        <f>VLOOKUP(D121, Products!A:E, 4, FALSE)</f>
        <v>1728</v>
      </c>
      <c r="Q121">
        <f>IF(COUNTIF($A$2:A121, A121)=2, 1, 0)</f>
        <v>0</v>
      </c>
      <c r="R121">
        <f>IF(ISNA(MATCH(C121, Customers!$A:$A, 0)), 1, 0)</f>
        <v>0</v>
      </c>
      <c r="S121" s="94" t="b">
        <f>VLOOKUP(D121, Products!A:F, 6, FALSE)</f>
        <v>1</v>
      </c>
    </row>
    <row r="122" spans="1:19">
      <c r="A122" s="102" t="s">
        <v>395</v>
      </c>
      <c r="B122" s="2">
        <v>45416</v>
      </c>
      <c r="C122" s="1" t="s">
        <v>153</v>
      </c>
      <c r="D122" s="1" t="s">
        <v>364</v>
      </c>
      <c r="E122" s="1" t="s">
        <v>148</v>
      </c>
      <c r="F122" s="83">
        <v>4</v>
      </c>
      <c r="G122" s="92">
        <v>5330</v>
      </c>
      <c r="H122" s="3">
        <v>29.3</v>
      </c>
      <c r="I122" s="3">
        <v>15073.24</v>
      </c>
      <c r="J122" s="1" t="s">
        <v>87</v>
      </c>
      <c r="K122" s="1" t="s">
        <v>117</v>
      </c>
      <c r="L122" t="str">
        <f>VLOOKUP(D122, Products!A:C, 3, FALSE)</f>
        <v>Electronics</v>
      </c>
      <c r="M122" t="str">
        <f>VLOOKUP(C122, Customers!A:E, 5, FALSE)</f>
        <v>SMB</v>
      </c>
      <c r="N122">
        <f>VLOOKUP(C122, Customers!A:E, 3, FALSE)</f>
        <v>46</v>
      </c>
      <c r="O122" s="93" t="str">
        <f>VLOOKUP(E122, Sales_Reps!A:C, 3, FALSE)</f>
        <v>North</v>
      </c>
      <c r="P122">
        <f>VLOOKUP(D122, Products!A:E, 4, FALSE)</f>
        <v>2405</v>
      </c>
      <c r="Q122">
        <f>IF(COUNTIF($A$2:A122, A122)=2, 1, 0)</f>
        <v>0</v>
      </c>
      <c r="R122">
        <f>IF(ISNA(MATCH(C122, Customers!$A:$A, 0)), 1, 0)</f>
        <v>0</v>
      </c>
      <c r="S122" s="94" t="b">
        <f>VLOOKUP(D122, Products!A:F, 6, FALSE)</f>
        <v>1</v>
      </c>
    </row>
    <row r="123" spans="1:19">
      <c r="A123" s="102" t="s">
        <v>396</v>
      </c>
      <c r="B123" s="2">
        <v>45614</v>
      </c>
      <c r="C123" s="1" t="s">
        <v>397</v>
      </c>
      <c r="D123" s="1" t="s">
        <v>85</v>
      </c>
      <c r="E123" s="1" t="s">
        <v>297</v>
      </c>
      <c r="F123" s="83">
        <v>6</v>
      </c>
      <c r="G123" s="92">
        <v>3620</v>
      </c>
      <c r="H123" s="3">
        <v>10.8</v>
      </c>
      <c r="I123" s="3">
        <v>19374.240000000002</v>
      </c>
      <c r="J123" s="1" t="s">
        <v>87</v>
      </c>
      <c r="K123" s="1" t="s">
        <v>99</v>
      </c>
      <c r="L123" t="str">
        <f>VLOOKUP(D123, Products!A:C, 3, FALSE)</f>
        <v>Apparel</v>
      </c>
      <c r="M123" t="str">
        <f>VLOOKUP(C123, Customers!A:E, 5, FALSE)</f>
        <v>Retail</v>
      </c>
      <c r="N123">
        <f>VLOOKUP(C123, Customers!A:E, 3, FALSE)</f>
        <v>30</v>
      </c>
      <c r="O123" s="93" t="str">
        <f>VLOOKUP(E123, Sales_Reps!A:C, 3, FALSE)</f>
        <v>North</v>
      </c>
      <c r="P123">
        <f>VLOOKUP(D123, Products!A:E, 4, FALSE)</f>
        <v>2509</v>
      </c>
      <c r="Q123">
        <f>IF(COUNTIF($A$2:A123, A123)=2, 1, 0)</f>
        <v>0</v>
      </c>
      <c r="R123">
        <f>IF(ISNA(MATCH(C123, Customers!$A:$A, 0)), 1, 0)</f>
        <v>0</v>
      </c>
      <c r="S123" s="94" t="b">
        <f>VLOOKUP(D123, Products!A:F, 6, FALSE)</f>
        <v>1</v>
      </c>
    </row>
    <row r="124" spans="1:19">
      <c r="A124" s="102" t="s">
        <v>398</v>
      </c>
      <c r="B124" s="2">
        <v>45593</v>
      </c>
      <c r="C124" s="1" t="s">
        <v>399</v>
      </c>
      <c r="D124" s="1" t="s">
        <v>85</v>
      </c>
      <c r="E124" s="1" t="s">
        <v>92</v>
      </c>
      <c r="F124" s="83">
        <v>6</v>
      </c>
      <c r="G124" s="92">
        <v>3620</v>
      </c>
      <c r="H124" s="3">
        <v>21.7</v>
      </c>
      <c r="I124" s="3">
        <v>17006.759999999998</v>
      </c>
      <c r="J124" s="1" t="s">
        <v>87</v>
      </c>
      <c r="K124" s="1" t="s">
        <v>99</v>
      </c>
      <c r="L124" t="str">
        <f>VLOOKUP(D124, Products!A:C, 3, FALSE)</f>
        <v>Apparel</v>
      </c>
      <c r="M124" t="str">
        <f>VLOOKUP(C124, Customers!A:E, 5, FALSE)</f>
        <v>SMB</v>
      </c>
      <c r="N124">
        <f>VLOOKUP(C124, Customers!A:E, 3, FALSE)</f>
        <v>53</v>
      </c>
      <c r="O124" s="93" t="str">
        <f>VLOOKUP(E124, Sales_Reps!A:C, 3, FALSE)</f>
        <v>North</v>
      </c>
      <c r="P124">
        <f>VLOOKUP(D124, Products!A:E, 4, FALSE)</f>
        <v>2509</v>
      </c>
      <c r="Q124">
        <f>IF(COUNTIF($A$2:A124, A124)=2, 1, 0)</f>
        <v>0</v>
      </c>
      <c r="R124">
        <f>IF(ISNA(MATCH(C124, Customers!$A:$A, 0)), 1, 0)</f>
        <v>0</v>
      </c>
      <c r="S124" s="94" t="b">
        <f>VLOOKUP(D124, Products!A:F, 6, FALSE)</f>
        <v>1</v>
      </c>
    </row>
    <row r="125" spans="1:19">
      <c r="A125" s="102" t="s">
        <v>400</v>
      </c>
      <c r="B125" s="2">
        <v>45360</v>
      </c>
      <c r="C125" s="1" t="s">
        <v>401</v>
      </c>
      <c r="D125" s="1" t="s">
        <v>115</v>
      </c>
      <c r="E125" s="1" t="s">
        <v>107</v>
      </c>
      <c r="F125" s="83">
        <v>8</v>
      </c>
      <c r="G125" s="92">
        <v>960</v>
      </c>
      <c r="H125" s="3">
        <v>27.9</v>
      </c>
      <c r="I125" s="3">
        <v>5537.28</v>
      </c>
      <c r="J125" s="1" t="s">
        <v>87</v>
      </c>
      <c r="K125" s="1" t="s">
        <v>94</v>
      </c>
      <c r="L125" t="str">
        <f>VLOOKUP(D125, Products!A:C, 3, FALSE)</f>
        <v>Sports</v>
      </c>
      <c r="M125" t="str">
        <f>VLOOKUP(C125, Customers!A:E, 5, FALSE)</f>
        <v>SMB</v>
      </c>
      <c r="N125">
        <f>VLOOKUP(C125, Customers!A:E, 3, FALSE)</f>
        <v>51</v>
      </c>
      <c r="O125" s="93" t="str">
        <f>VLOOKUP(E125, Sales_Reps!A:C, 3, FALSE)</f>
        <v>North</v>
      </c>
      <c r="P125">
        <f>VLOOKUP(D125, Products!A:E, 4, FALSE)</f>
        <v>705</v>
      </c>
      <c r="Q125">
        <f>IF(COUNTIF($A$2:A125, A125)=2, 1, 0)</f>
        <v>0</v>
      </c>
      <c r="R125">
        <f>IF(ISNA(MATCH(C125, Customers!$A:$A, 0)), 1, 0)</f>
        <v>0</v>
      </c>
      <c r="S125" s="94" t="b">
        <f>VLOOKUP(D125, Products!A:F, 6, FALSE)</f>
        <v>1</v>
      </c>
    </row>
    <row r="126" spans="1:19">
      <c r="A126" s="102" t="s">
        <v>402</v>
      </c>
      <c r="B126" s="2">
        <v>45628</v>
      </c>
      <c r="C126" s="1" t="s">
        <v>403</v>
      </c>
      <c r="D126" s="1" t="s">
        <v>176</v>
      </c>
      <c r="E126" s="1" t="s">
        <v>111</v>
      </c>
      <c r="F126" s="83">
        <v>5</v>
      </c>
      <c r="G126" s="92">
        <v>1650</v>
      </c>
      <c r="H126" s="3">
        <v>4.9000000000000004</v>
      </c>
      <c r="I126" s="3">
        <v>7845.75</v>
      </c>
      <c r="J126" s="1" t="s">
        <v>87</v>
      </c>
      <c r="K126" s="1" t="s">
        <v>117</v>
      </c>
      <c r="L126" t="str">
        <f>VLOOKUP(D126, Products!A:C, 3, FALSE)</f>
        <v>Beauty</v>
      </c>
      <c r="M126" t="str">
        <f>VLOOKUP(C126, Customers!A:E, 5, FALSE)</f>
        <v>Retail</v>
      </c>
      <c r="N126">
        <f>VLOOKUP(C126, Customers!A:E, 3, FALSE)</f>
        <v>59</v>
      </c>
      <c r="O126" s="93" t="str">
        <f>VLOOKUP(E126, Sales_Reps!A:C, 3, FALSE)</f>
        <v>West</v>
      </c>
      <c r="P126">
        <f>VLOOKUP(D126, Products!A:E, 4, FALSE)</f>
        <v>1222</v>
      </c>
      <c r="Q126">
        <f>IF(COUNTIF($A$2:A126, A126)=2, 1, 0)</f>
        <v>0</v>
      </c>
      <c r="R126">
        <f>IF(ISNA(MATCH(C126, Customers!$A:$A, 0)), 1, 0)</f>
        <v>0</v>
      </c>
      <c r="S126" s="94" t="b">
        <f>VLOOKUP(D126, Products!A:F, 6, FALSE)</f>
        <v>1</v>
      </c>
    </row>
    <row r="127" spans="1:19">
      <c r="A127" s="102" t="s">
        <v>404</v>
      </c>
      <c r="B127" s="2">
        <v>45592</v>
      </c>
      <c r="C127" s="1" t="s">
        <v>405</v>
      </c>
      <c r="D127" s="1" t="s">
        <v>380</v>
      </c>
      <c r="E127" s="1" t="s">
        <v>132</v>
      </c>
      <c r="F127" s="83">
        <v>9</v>
      </c>
      <c r="G127" s="92">
        <v>960</v>
      </c>
      <c r="H127" s="3">
        <v>25.1</v>
      </c>
      <c r="I127" s="3">
        <v>6471.36</v>
      </c>
      <c r="J127" s="1" t="s">
        <v>144</v>
      </c>
      <c r="K127" s="1" t="s">
        <v>94</v>
      </c>
      <c r="L127" t="str">
        <f>VLOOKUP(D127, Products!A:C, 3, FALSE)</f>
        <v>Beauty</v>
      </c>
      <c r="M127" t="str">
        <f>VLOOKUP(C127, Customers!A:E, 5, FALSE)</f>
        <v>Corporate</v>
      </c>
      <c r="N127">
        <f>VLOOKUP(C127, Customers!A:E, 3, FALSE)</f>
        <v>24</v>
      </c>
      <c r="O127" s="93" t="str">
        <f>VLOOKUP(E127, Sales_Reps!A:C, 3, FALSE)</f>
        <v>South</v>
      </c>
      <c r="P127">
        <f>VLOOKUP(D127, Products!A:E, 4, FALSE)</f>
        <v>675</v>
      </c>
      <c r="Q127">
        <f>IF(COUNTIF($A$2:A127, A127)=2, 1, 0)</f>
        <v>0</v>
      </c>
      <c r="R127">
        <f>IF(ISNA(MATCH(C127, Customers!$A:$A, 0)), 1, 0)</f>
        <v>0</v>
      </c>
      <c r="S127" s="94" t="b">
        <f>VLOOKUP(D127, Products!A:F, 6, FALSE)</f>
        <v>1</v>
      </c>
    </row>
    <row r="128" spans="1:19">
      <c r="A128" s="102" t="s">
        <v>406</v>
      </c>
      <c r="B128" s="2">
        <v>45453</v>
      </c>
      <c r="C128" s="1" t="s">
        <v>407</v>
      </c>
      <c r="D128" s="1" t="s">
        <v>408</v>
      </c>
      <c r="E128" s="1" t="s">
        <v>148</v>
      </c>
      <c r="F128" s="83">
        <v>7</v>
      </c>
      <c r="G128" s="92">
        <v>3970</v>
      </c>
      <c r="H128" s="3">
        <v>13.8</v>
      </c>
      <c r="I128" s="3">
        <v>23954.98</v>
      </c>
      <c r="J128" s="1" t="s">
        <v>93</v>
      </c>
      <c r="K128" s="1" t="s">
        <v>88</v>
      </c>
      <c r="L128" t="str">
        <f>VLOOKUP(D128, Products!A:C, 3, FALSE)</f>
        <v>Electronics</v>
      </c>
      <c r="M128" t="str">
        <f>VLOOKUP(C128, Customers!A:E, 5, FALSE)</f>
        <v>SMB</v>
      </c>
      <c r="N128">
        <f>VLOOKUP(C128, Customers!A:E, 3, FALSE)</f>
        <v>53</v>
      </c>
      <c r="O128" s="93" t="str">
        <f>VLOOKUP(E128, Sales_Reps!A:C, 3, FALSE)</f>
        <v>North</v>
      </c>
      <c r="P128">
        <f>VLOOKUP(D128, Products!A:E, 4, FALSE)</f>
        <v>2865</v>
      </c>
      <c r="Q128">
        <f>IF(COUNTIF($A$2:A128, A128)=2, 1, 0)</f>
        <v>0</v>
      </c>
      <c r="R128">
        <f>IF(ISNA(MATCH(C128, Customers!$A:$A, 0)), 1, 0)</f>
        <v>0</v>
      </c>
      <c r="S128" s="94" t="b">
        <f>VLOOKUP(D128, Products!A:F, 6, FALSE)</f>
        <v>1</v>
      </c>
    </row>
    <row r="129" spans="1:19">
      <c r="A129" s="102" t="s">
        <v>409</v>
      </c>
      <c r="B129" s="2">
        <v>45612</v>
      </c>
      <c r="C129" s="1" t="s">
        <v>299</v>
      </c>
      <c r="D129" s="1" t="s">
        <v>127</v>
      </c>
      <c r="E129" s="1" t="s">
        <v>92</v>
      </c>
      <c r="F129" s="83">
        <v>7</v>
      </c>
      <c r="G129" s="92">
        <v>970</v>
      </c>
      <c r="H129" s="3">
        <v>21.6</v>
      </c>
      <c r="I129" s="3">
        <v>5323.36</v>
      </c>
      <c r="J129" s="1" t="s">
        <v>93</v>
      </c>
      <c r="K129" s="1" t="s">
        <v>133</v>
      </c>
      <c r="L129" t="str">
        <f>VLOOKUP(D129, Products!A:C, 3, FALSE)</f>
        <v>Grocery</v>
      </c>
      <c r="M129" t="str">
        <f>VLOOKUP(C129, Customers!A:E, 5, FALSE)</f>
        <v>Retail</v>
      </c>
      <c r="N129">
        <f>VLOOKUP(C129, Customers!A:E, 3, FALSE)</f>
        <v>29</v>
      </c>
      <c r="O129" s="93" t="str">
        <f>VLOOKUP(E129, Sales_Reps!A:C, 3, FALSE)</f>
        <v>North</v>
      </c>
      <c r="P129">
        <f>VLOOKUP(D129, Products!A:E, 4, FALSE)</f>
        <v>434</v>
      </c>
      <c r="Q129">
        <f>IF(COUNTIF($A$2:A129, A129)=2, 1, 0)</f>
        <v>0</v>
      </c>
      <c r="R129">
        <f>IF(ISNA(MATCH(C129, Customers!$A:$A, 0)), 1, 0)</f>
        <v>0</v>
      </c>
      <c r="S129" s="94" t="b">
        <f>VLOOKUP(D129, Products!A:F, 6, FALSE)</f>
        <v>1</v>
      </c>
    </row>
    <row r="130" spans="1:19">
      <c r="A130" s="102" t="s">
        <v>410</v>
      </c>
      <c r="B130" s="2">
        <v>45541</v>
      </c>
      <c r="C130" s="1" t="s">
        <v>411</v>
      </c>
      <c r="D130" s="1" t="s">
        <v>295</v>
      </c>
      <c r="E130" s="1" t="s">
        <v>215</v>
      </c>
      <c r="F130" s="83">
        <v>10</v>
      </c>
      <c r="G130" s="92">
        <v>2030</v>
      </c>
      <c r="H130" s="3">
        <v>1.2</v>
      </c>
      <c r="I130" s="3">
        <v>20056.400000000001</v>
      </c>
      <c r="J130" s="1" t="s">
        <v>87</v>
      </c>
      <c r="K130" s="1" t="s">
        <v>112</v>
      </c>
      <c r="L130" t="str">
        <f>VLOOKUP(D130, Products!A:C, 3, FALSE)</f>
        <v>Home</v>
      </c>
      <c r="M130" t="str">
        <f>VLOOKUP(C130, Customers!A:E, 5, FALSE)</f>
        <v>Retail</v>
      </c>
      <c r="N130">
        <f>VLOOKUP(C130, Customers!A:E, 3, FALSE)</f>
        <v>61</v>
      </c>
      <c r="O130" s="93" t="str">
        <f>VLOOKUP(E130, Sales_Reps!A:C, 3, FALSE)</f>
        <v>North</v>
      </c>
      <c r="P130">
        <f>VLOOKUP(D130, Products!A:E, 4, FALSE)</f>
        <v>1143</v>
      </c>
      <c r="Q130">
        <f>IF(COUNTIF($A$2:A130, A130)=2, 1, 0)</f>
        <v>0</v>
      </c>
      <c r="R130">
        <f>IF(ISNA(MATCH(C130, Customers!$A:$A, 0)), 1, 0)</f>
        <v>0</v>
      </c>
      <c r="S130" s="94" t="b">
        <f>VLOOKUP(D130, Products!A:F, 6, FALSE)</f>
        <v>1</v>
      </c>
    </row>
    <row r="131" spans="1:19">
      <c r="A131" s="102" t="s">
        <v>412</v>
      </c>
      <c r="B131" s="2">
        <v>45640</v>
      </c>
      <c r="C131" s="1" t="s">
        <v>413</v>
      </c>
      <c r="D131" s="1" t="s">
        <v>131</v>
      </c>
      <c r="E131" s="1" t="s">
        <v>158</v>
      </c>
      <c r="F131" s="83">
        <v>9</v>
      </c>
      <c r="G131" s="92">
        <v>2270</v>
      </c>
      <c r="H131" s="3">
        <v>13.2</v>
      </c>
      <c r="I131" s="3">
        <v>17733.240000000002</v>
      </c>
      <c r="J131" s="1" t="s">
        <v>93</v>
      </c>
      <c r="K131" s="1" t="s">
        <v>88</v>
      </c>
      <c r="L131" t="str">
        <f>VLOOKUP(D131, Products!A:C, 3, FALSE)</f>
        <v>Grocery</v>
      </c>
      <c r="M131" t="str">
        <f>VLOOKUP(C131, Customers!A:E, 5, FALSE)</f>
        <v>Retail</v>
      </c>
      <c r="N131">
        <f>VLOOKUP(C131, Customers!A:E, 3, FALSE)</f>
        <v>22</v>
      </c>
      <c r="O131" s="93" t="str">
        <f>VLOOKUP(E131, Sales_Reps!A:C, 3, FALSE)</f>
        <v>East</v>
      </c>
      <c r="P131">
        <f>VLOOKUP(D131, Products!A:E, 4, FALSE)</f>
        <v>1203</v>
      </c>
      <c r="Q131">
        <f>IF(COUNTIF($A$2:A131, A131)=2, 1, 0)</f>
        <v>0</v>
      </c>
      <c r="R131">
        <f>IF(ISNA(MATCH(C131, Customers!$A:$A, 0)), 1, 0)</f>
        <v>0</v>
      </c>
      <c r="S131" s="94" t="b">
        <f>VLOOKUP(D131, Products!A:F, 6, FALSE)</f>
        <v>1</v>
      </c>
    </row>
    <row r="132" spans="1:19">
      <c r="A132" s="102" t="s">
        <v>414</v>
      </c>
      <c r="B132" s="2">
        <v>45524</v>
      </c>
      <c r="C132" s="1" t="s">
        <v>156</v>
      </c>
      <c r="D132" s="1" t="s">
        <v>184</v>
      </c>
      <c r="E132" s="1" t="s">
        <v>148</v>
      </c>
      <c r="F132" s="83">
        <v>8</v>
      </c>
      <c r="G132" s="92">
        <v>4880</v>
      </c>
      <c r="H132" s="3">
        <v>13.4</v>
      </c>
      <c r="I132" s="3">
        <v>33808.639999999999</v>
      </c>
      <c r="J132" s="1" t="s">
        <v>87</v>
      </c>
      <c r="K132" s="1" t="s">
        <v>133</v>
      </c>
      <c r="L132" t="str">
        <f>VLOOKUP(D132, Products!A:C, 3, FALSE)</f>
        <v>Beauty</v>
      </c>
      <c r="M132" t="str">
        <f>VLOOKUP(C132, Customers!A:E, 5, FALSE)</f>
        <v>Corporate</v>
      </c>
      <c r="N132">
        <f>VLOOKUP(C132, Customers!A:E, 3, FALSE)</f>
        <v>32</v>
      </c>
      <c r="O132" s="93" t="str">
        <f>VLOOKUP(E132, Sales_Reps!A:C, 3, FALSE)</f>
        <v>North</v>
      </c>
      <c r="P132">
        <f>VLOOKUP(D132, Products!A:E, 4, FALSE)</f>
        <v>2768</v>
      </c>
      <c r="Q132">
        <f>IF(COUNTIF($A$2:A132, A132)=2, 1, 0)</f>
        <v>0</v>
      </c>
      <c r="R132">
        <f>IF(ISNA(MATCH(C132, Customers!$A:$A, 0)), 1, 0)</f>
        <v>0</v>
      </c>
      <c r="S132" s="94" t="b">
        <f>VLOOKUP(D132, Products!A:F, 6, FALSE)</f>
        <v>1</v>
      </c>
    </row>
    <row r="133" spans="1:19">
      <c r="A133" s="102" t="s">
        <v>415</v>
      </c>
      <c r="B133" s="2">
        <v>45344</v>
      </c>
      <c r="C133" s="1" t="s">
        <v>416</v>
      </c>
      <c r="D133" s="1" t="s">
        <v>248</v>
      </c>
      <c r="E133" s="1" t="s">
        <v>273</v>
      </c>
      <c r="F133" s="83">
        <v>10</v>
      </c>
      <c r="G133" s="92">
        <v>3870</v>
      </c>
      <c r="H133" s="3">
        <v>23.9</v>
      </c>
      <c r="I133" s="3">
        <v>29450.7</v>
      </c>
      <c r="J133" s="1" t="s">
        <v>87</v>
      </c>
      <c r="K133" s="1" t="s">
        <v>117</v>
      </c>
      <c r="L133" t="str">
        <f>VLOOKUP(D133, Products!A:C, 3, FALSE)</f>
        <v>Electronics</v>
      </c>
      <c r="M133" t="str">
        <f>VLOOKUP(C133, Customers!A:E, 5, FALSE)</f>
        <v>Corporate</v>
      </c>
      <c r="N133">
        <f>VLOOKUP(C133, Customers!A:E, 3, FALSE)</f>
        <v>42</v>
      </c>
      <c r="O133" s="93" t="str">
        <f>VLOOKUP(E133, Sales_Reps!A:C, 3, FALSE)</f>
        <v>South</v>
      </c>
      <c r="P133">
        <f>VLOOKUP(D133, Products!A:E, 4, FALSE)</f>
        <v>1559</v>
      </c>
      <c r="Q133">
        <f>IF(COUNTIF($A$2:A133, A133)=2, 1, 0)</f>
        <v>0</v>
      </c>
      <c r="R133">
        <f>IF(ISNA(MATCH(C133, Customers!$A:$A, 0)), 1, 0)</f>
        <v>0</v>
      </c>
      <c r="S133" s="94" t="b">
        <f>VLOOKUP(D133, Products!A:F, 6, FALSE)</f>
        <v>1</v>
      </c>
    </row>
    <row r="134" spans="1:19">
      <c r="A134" s="102" t="s">
        <v>417</v>
      </c>
      <c r="B134" s="2">
        <v>45463</v>
      </c>
      <c r="C134" s="1" t="s">
        <v>418</v>
      </c>
      <c r="D134" s="1" t="s">
        <v>386</v>
      </c>
      <c r="E134" s="1" t="s">
        <v>297</v>
      </c>
      <c r="F134" s="83">
        <v>4</v>
      </c>
      <c r="G134" s="92">
        <v>2290</v>
      </c>
      <c r="H134" s="3">
        <v>15.2</v>
      </c>
      <c r="I134" s="3">
        <v>7767.68</v>
      </c>
      <c r="J134" s="1" t="s">
        <v>87</v>
      </c>
      <c r="K134" s="1" t="s">
        <v>133</v>
      </c>
      <c r="L134" t="str">
        <f>VLOOKUP(D134, Products!A:C, 3, FALSE)</f>
        <v>Beauty</v>
      </c>
      <c r="M134" t="str">
        <f>VLOOKUP(C134, Customers!A:E, 5, FALSE)</f>
        <v>Retail</v>
      </c>
      <c r="N134">
        <f>VLOOKUP(C134, Customers!A:E, 3, FALSE)</f>
        <v>22</v>
      </c>
      <c r="O134" s="93" t="str">
        <f>VLOOKUP(E134, Sales_Reps!A:C, 3, FALSE)</f>
        <v>North</v>
      </c>
      <c r="P134">
        <f>VLOOKUP(D134, Products!A:E, 4, FALSE)</f>
        <v>1219</v>
      </c>
      <c r="Q134">
        <f>IF(COUNTIF($A$2:A134, A134)=2, 1, 0)</f>
        <v>0</v>
      </c>
      <c r="R134">
        <f>IF(ISNA(MATCH(C134, Customers!$A:$A, 0)), 1, 0)</f>
        <v>0</v>
      </c>
      <c r="S134" s="94" t="b">
        <f>VLOOKUP(D134, Products!A:F, 6, FALSE)</f>
        <v>1</v>
      </c>
    </row>
    <row r="135" spans="1:19">
      <c r="A135" s="102" t="s">
        <v>419</v>
      </c>
      <c r="B135" s="2">
        <v>45443</v>
      </c>
      <c r="C135" s="1" t="s">
        <v>420</v>
      </c>
      <c r="D135" s="1" t="s">
        <v>367</v>
      </c>
      <c r="E135" s="1" t="s">
        <v>192</v>
      </c>
      <c r="F135" s="83">
        <v>8</v>
      </c>
      <c r="G135" s="92">
        <v>2380</v>
      </c>
      <c r="H135" s="3">
        <v>4.2</v>
      </c>
      <c r="I135" s="3">
        <v>18240.32</v>
      </c>
      <c r="J135" s="1" t="s">
        <v>87</v>
      </c>
      <c r="K135" s="1" t="s">
        <v>99</v>
      </c>
      <c r="L135" t="str">
        <f>VLOOKUP(D135, Products!A:C, 3, FALSE)</f>
        <v>Grocery</v>
      </c>
      <c r="M135" t="str">
        <f>VLOOKUP(C135, Customers!A:E, 5, FALSE)</f>
        <v>Retail</v>
      </c>
      <c r="N135">
        <f>VLOOKUP(C135, Customers!A:E, 3, FALSE)</f>
        <v>44</v>
      </c>
      <c r="O135" s="93" t="str">
        <f>VLOOKUP(E135, Sales_Reps!A:C, 3, FALSE)</f>
        <v>East</v>
      </c>
      <c r="P135">
        <f>VLOOKUP(D135, Products!A:E, 4, FALSE)</f>
        <v>1182</v>
      </c>
      <c r="Q135">
        <f>IF(COUNTIF($A$2:A135, A135)=2, 1, 0)</f>
        <v>0</v>
      </c>
      <c r="R135">
        <f>IF(ISNA(MATCH(C135, Customers!$A:$A, 0)), 1, 0)</f>
        <v>0</v>
      </c>
      <c r="S135" s="94" t="b">
        <f>VLOOKUP(D135, Products!A:F, 6, FALSE)</f>
        <v>1</v>
      </c>
    </row>
    <row r="136" spans="1:19">
      <c r="A136" s="102" t="s">
        <v>421</v>
      </c>
      <c r="B136" s="2">
        <v>45301</v>
      </c>
      <c r="C136" s="1" t="s">
        <v>422</v>
      </c>
      <c r="D136" s="1" t="s">
        <v>338</v>
      </c>
      <c r="E136" s="1" t="s">
        <v>252</v>
      </c>
      <c r="F136" s="83">
        <v>8</v>
      </c>
      <c r="G136" s="92">
        <v>2210</v>
      </c>
      <c r="H136" s="3">
        <v>11.5</v>
      </c>
      <c r="I136" s="3">
        <v>15646.8</v>
      </c>
      <c r="J136" s="1" t="s">
        <v>87</v>
      </c>
      <c r="K136" s="1" t="s">
        <v>94</v>
      </c>
      <c r="L136" t="str">
        <f>VLOOKUP(D136, Products!A:C, 3, FALSE)</f>
        <v>Grocery</v>
      </c>
      <c r="M136" t="str">
        <f>VLOOKUP(C136, Customers!A:E, 5, FALSE)</f>
        <v>SMB</v>
      </c>
      <c r="N136">
        <f>VLOOKUP(C136, Customers!A:E, 3, FALSE)</f>
        <v>64</v>
      </c>
      <c r="O136" s="93" t="str">
        <f>VLOOKUP(E136, Sales_Reps!A:C, 3, FALSE)</f>
        <v>South</v>
      </c>
      <c r="P136">
        <f>VLOOKUP(D136, Products!A:E, 4, FALSE)</f>
        <v>1010</v>
      </c>
      <c r="Q136">
        <f>IF(COUNTIF($A$2:A136, A136)=2, 1, 0)</f>
        <v>0</v>
      </c>
      <c r="R136">
        <f>IF(ISNA(MATCH(C136, Customers!$A:$A, 0)), 1, 0)</f>
        <v>0</v>
      </c>
      <c r="S136" s="94" t="b">
        <f>VLOOKUP(D136, Products!A:F, 6, FALSE)</f>
        <v>1</v>
      </c>
    </row>
    <row r="137" spans="1:19">
      <c r="A137" s="102" t="s">
        <v>423</v>
      </c>
      <c r="B137" s="2">
        <v>45360</v>
      </c>
      <c r="C137" s="1" t="s">
        <v>233</v>
      </c>
      <c r="D137" s="1" t="s">
        <v>364</v>
      </c>
      <c r="E137" s="1" t="s">
        <v>285</v>
      </c>
      <c r="F137" s="83">
        <v>4</v>
      </c>
      <c r="G137" s="92">
        <v>5330</v>
      </c>
      <c r="H137" s="3">
        <v>22.6</v>
      </c>
      <c r="I137" s="3">
        <v>16501.68</v>
      </c>
      <c r="J137" s="1" t="s">
        <v>93</v>
      </c>
      <c r="K137" s="1" t="s">
        <v>88</v>
      </c>
      <c r="L137" t="str">
        <f>VLOOKUP(D137, Products!A:C, 3, FALSE)</f>
        <v>Electronics</v>
      </c>
      <c r="M137" t="str">
        <f>VLOOKUP(C137, Customers!A:E, 5, FALSE)</f>
        <v>SMB</v>
      </c>
      <c r="N137">
        <f>VLOOKUP(C137, Customers!A:E, 3, FALSE)</f>
        <v>29</v>
      </c>
      <c r="O137" s="93" t="str">
        <f>VLOOKUP(E137, Sales_Reps!A:C, 3, FALSE)</f>
        <v>East</v>
      </c>
      <c r="P137">
        <f>VLOOKUP(D137, Products!A:E, 4, FALSE)</f>
        <v>2405</v>
      </c>
      <c r="Q137">
        <f>IF(COUNTIF($A$2:A137, A137)=2, 1, 0)</f>
        <v>0</v>
      </c>
      <c r="R137">
        <f>IF(ISNA(MATCH(C137, Customers!$A:$A, 0)), 1, 0)</f>
        <v>0</v>
      </c>
      <c r="S137" s="94" t="b">
        <f>VLOOKUP(D137, Products!A:F, 6, FALSE)</f>
        <v>1</v>
      </c>
    </row>
    <row r="138" spans="1:19">
      <c r="A138" s="102" t="s">
        <v>424</v>
      </c>
      <c r="B138" s="2">
        <v>45559</v>
      </c>
      <c r="C138" s="1" t="s">
        <v>425</v>
      </c>
      <c r="D138" s="1" t="s">
        <v>408</v>
      </c>
      <c r="E138" s="1" t="s">
        <v>285</v>
      </c>
      <c r="F138" s="83">
        <v>8</v>
      </c>
      <c r="G138" s="92">
        <v>3970</v>
      </c>
      <c r="H138" s="3">
        <v>21.8</v>
      </c>
      <c r="I138" s="3">
        <v>24836.32</v>
      </c>
      <c r="J138" s="1" t="s">
        <v>87</v>
      </c>
      <c r="K138" s="1" t="s">
        <v>94</v>
      </c>
      <c r="L138" t="str">
        <f>VLOOKUP(D138, Products!A:C, 3, FALSE)</f>
        <v>Electronics</v>
      </c>
      <c r="M138" t="str">
        <f>VLOOKUP(C138, Customers!A:E, 5, FALSE)</f>
        <v>SMB</v>
      </c>
      <c r="N138">
        <f>VLOOKUP(C138, Customers!A:E, 3, FALSE)</f>
        <v>64</v>
      </c>
      <c r="O138" s="93" t="str">
        <f>VLOOKUP(E138, Sales_Reps!A:C, 3, FALSE)</f>
        <v>East</v>
      </c>
      <c r="P138">
        <f>VLOOKUP(D138, Products!A:E, 4, FALSE)</f>
        <v>2865</v>
      </c>
      <c r="Q138">
        <f>IF(COUNTIF($A$2:A138, A138)=2, 1, 0)</f>
        <v>0</v>
      </c>
      <c r="R138">
        <f>IF(ISNA(MATCH(C138, Customers!$A:$A, 0)), 1, 0)</f>
        <v>0</v>
      </c>
      <c r="S138" s="94" t="b">
        <f>VLOOKUP(D138, Products!A:F, 6, FALSE)</f>
        <v>1</v>
      </c>
    </row>
    <row r="139" spans="1:19">
      <c r="A139" s="102" t="s">
        <v>426</v>
      </c>
      <c r="B139" s="2">
        <v>45546</v>
      </c>
      <c r="C139" s="1" t="s">
        <v>427</v>
      </c>
      <c r="D139" s="1" t="s">
        <v>106</v>
      </c>
      <c r="E139" s="1" t="s">
        <v>192</v>
      </c>
      <c r="F139" s="83">
        <v>10</v>
      </c>
      <c r="G139" s="92">
        <v>3160</v>
      </c>
      <c r="H139" s="3">
        <v>16.100000000000001</v>
      </c>
      <c r="I139" s="3">
        <v>26512.400000000001</v>
      </c>
      <c r="J139" s="1" t="s">
        <v>140</v>
      </c>
      <c r="K139" s="1" t="s">
        <v>88</v>
      </c>
      <c r="L139" t="str">
        <f>VLOOKUP(D139, Products!A:C, 3, FALSE)</f>
        <v>Apparel</v>
      </c>
      <c r="M139" t="str">
        <f>VLOOKUP(C139, Customers!A:E, 5, FALSE)</f>
        <v>Corporate</v>
      </c>
      <c r="N139">
        <f>VLOOKUP(C139, Customers!A:E, 3, FALSE)</f>
        <v>48</v>
      </c>
      <c r="O139" s="93" t="str">
        <f>VLOOKUP(E139, Sales_Reps!A:C, 3, FALSE)</f>
        <v>East</v>
      </c>
      <c r="P139">
        <f>VLOOKUP(D139, Products!A:E, 4, FALSE)</f>
        <v>1886</v>
      </c>
      <c r="Q139">
        <f>IF(COUNTIF($A$2:A139, A139)=2, 1, 0)</f>
        <v>0</v>
      </c>
      <c r="R139">
        <f>IF(ISNA(MATCH(C139, Customers!$A:$A, 0)), 1, 0)</f>
        <v>0</v>
      </c>
      <c r="S139" s="94" t="b">
        <f>VLOOKUP(D139, Products!A:F, 6, FALSE)</f>
        <v>1</v>
      </c>
    </row>
    <row r="140" spans="1:19">
      <c r="A140" s="102" t="s">
        <v>428</v>
      </c>
      <c r="B140" s="2">
        <v>45425</v>
      </c>
      <c r="C140" s="1" t="s">
        <v>429</v>
      </c>
      <c r="D140" s="1" t="s">
        <v>147</v>
      </c>
      <c r="E140" s="1" t="s">
        <v>204</v>
      </c>
      <c r="F140" s="83">
        <v>5</v>
      </c>
      <c r="G140" s="92">
        <v>190</v>
      </c>
      <c r="H140" s="3">
        <v>14.8</v>
      </c>
      <c r="I140" s="3">
        <v>809.4</v>
      </c>
      <c r="J140" s="1" t="s">
        <v>87</v>
      </c>
      <c r="K140" s="1" t="s">
        <v>117</v>
      </c>
      <c r="L140" t="str">
        <f>VLOOKUP(D140, Products!A:C, 3, FALSE)</f>
        <v>Sports</v>
      </c>
      <c r="M140" t="str">
        <f>VLOOKUP(C140, Customers!A:E, 5, FALSE)</f>
        <v>Retail</v>
      </c>
      <c r="N140">
        <f>VLOOKUP(C140, Customers!A:E, 3, FALSE)</f>
        <v>55</v>
      </c>
      <c r="O140" s="93" t="str">
        <f>VLOOKUP(E140, Sales_Reps!A:C, 3, FALSE)</f>
        <v>South</v>
      </c>
      <c r="P140">
        <f>VLOOKUP(D140, Products!A:E, 4, FALSE)</f>
        <v>147</v>
      </c>
      <c r="Q140">
        <f>IF(COUNTIF($A$2:A140, A140)=2, 1, 0)</f>
        <v>0</v>
      </c>
      <c r="R140">
        <f>IF(ISNA(MATCH(C140, Customers!$A:$A, 0)), 1, 0)</f>
        <v>0</v>
      </c>
      <c r="S140" s="94" t="b">
        <f>VLOOKUP(D140, Products!A:F, 6, FALSE)</f>
        <v>1</v>
      </c>
    </row>
    <row r="141" spans="1:19">
      <c r="A141" s="102" t="s">
        <v>430</v>
      </c>
      <c r="B141" s="2">
        <v>45351</v>
      </c>
      <c r="C141" s="1" t="s">
        <v>322</v>
      </c>
      <c r="D141" s="1" t="s">
        <v>200</v>
      </c>
      <c r="E141" s="1" t="s">
        <v>86</v>
      </c>
      <c r="F141" s="83">
        <v>6</v>
      </c>
      <c r="G141" s="92">
        <v>2760</v>
      </c>
      <c r="H141" s="3">
        <v>19.8</v>
      </c>
      <c r="I141" s="3">
        <v>13281.12</v>
      </c>
      <c r="J141" s="1" t="s">
        <v>87</v>
      </c>
      <c r="K141" s="1" t="s">
        <v>99</v>
      </c>
      <c r="L141" t="str">
        <f>VLOOKUP(D141, Products!A:C, 3, FALSE)</f>
        <v>Grocery</v>
      </c>
      <c r="M141" t="str">
        <f>VLOOKUP(C141, Customers!A:E, 5, FALSE)</f>
        <v>Retail</v>
      </c>
      <c r="N141">
        <f>VLOOKUP(C141, Customers!A:E, 3, FALSE)</f>
        <v>31</v>
      </c>
      <c r="O141" s="93" t="str">
        <f>VLOOKUP(E141, Sales_Reps!A:C, 3, FALSE)</f>
        <v>North</v>
      </c>
      <c r="P141">
        <f>VLOOKUP(D141, Products!A:E, 4, FALSE)</f>
        <v>1435</v>
      </c>
      <c r="Q141">
        <f>IF(COUNTIF($A$2:A141, A141)=2, 1, 0)</f>
        <v>0</v>
      </c>
      <c r="R141">
        <f>IF(ISNA(MATCH(C141, Customers!$A:$A, 0)), 1, 0)</f>
        <v>0</v>
      </c>
      <c r="S141" s="94" t="b">
        <f>VLOOKUP(D141, Products!A:F, 6, FALSE)</f>
        <v>1</v>
      </c>
    </row>
    <row r="142" spans="1:19">
      <c r="A142" s="102" t="s">
        <v>431</v>
      </c>
      <c r="B142" s="2">
        <v>45604</v>
      </c>
      <c r="C142" s="1" t="s">
        <v>371</v>
      </c>
      <c r="D142" s="1" t="s">
        <v>245</v>
      </c>
      <c r="E142" s="1" t="s">
        <v>121</v>
      </c>
      <c r="F142" s="83">
        <v>9</v>
      </c>
      <c r="G142" s="92">
        <v>2270</v>
      </c>
      <c r="H142" s="3">
        <v>20.8</v>
      </c>
      <c r="I142" s="3">
        <v>16180.56</v>
      </c>
      <c r="J142" s="1" t="s">
        <v>140</v>
      </c>
      <c r="K142" s="1" t="s">
        <v>112</v>
      </c>
      <c r="L142" t="str">
        <f>VLOOKUP(D142, Products!A:C, 3, FALSE)</f>
        <v>Grocery</v>
      </c>
      <c r="M142" t="str">
        <f>VLOOKUP(C142, Customers!A:E, 5, FALSE)</f>
        <v>Retail</v>
      </c>
      <c r="N142">
        <f>VLOOKUP(C142, Customers!A:E, 3, FALSE)</f>
        <v>42</v>
      </c>
      <c r="O142" s="93" t="str">
        <f>VLOOKUP(E142, Sales_Reps!A:C, 3, FALSE)</f>
        <v>East</v>
      </c>
      <c r="P142">
        <f>VLOOKUP(D142, Products!A:E, 4, FALSE)</f>
        <v>1412</v>
      </c>
      <c r="Q142">
        <f>IF(COUNTIF($A$2:A142, A142)=2, 1, 0)</f>
        <v>0</v>
      </c>
      <c r="R142">
        <f>IF(ISNA(MATCH(C142, Customers!$A:$A, 0)), 1, 0)</f>
        <v>0</v>
      </c>
      <c r="S142" s="94" t="b">
        <f>VLOOKUP(D142, Products!A:F, 6, FALSE)</f>
        <v>1</v>
      </c>
    </row>
    <row r="143" spans="1:19">
      <c r="A143" s="102" t="s">
        <v>432</v>
      </c>
      <c r="B143" s="2">
        <v>45328</v>
      </c>
      <c r="C143" s="1" t="s">
        <v>166</v>
      </c>
      <c r="D143" s="1" t="s">
        <v>360</v>
      </c>
      <c r="E143" s="1" t="s">
        <v>215</v>
      </c>
      <c r="F143" s="83">
        <v>8</v>
      </c>
      <c r="G143" s="92">
        <v>5410</v>
      </c>
      <c r="H143" s="3">
        <v>12.9</v>
      </c>
      <c r="I143" s="3">
        <v>37696.879999999997</v>
      </c>
      <c r="J143" s="1" t="s">
        <v>87</v>
      </c>
      <c r="K143" s="1" t="s">
        <v>133</v>
      </c>
      <c r="L143" t="str">
        <f>VLOOKUP(D143, Products!A:C, 3, FALSE)</f>
        <v>Sports</v>
      </c>
      <c r="M143" t="str">
        <f>VLOOKUP(C143, Customers!A:E, 5, FALSE)</f>
        <v>Retail</v>
      </c>
      <c r="N143">
        <f>VLOOKUP(C143, Customers!A:E, 3, FALSE)</f>
        <v>32</v>
      </c>
      <c r="O143" s="93" t="str">
        <f>VLOOKUP(E143, Sales_Reps!A:C, 3, FALSE)</f>
        <v>North</v>
      </c>
      <c r="P143">
        <f>VLOOKUP(D143, Products!A:E, 4, FALSE)</f>
        <v>2265</v>
      </c>
      <c r="Q143">
        <f>IF(COUNTIF($A$2:A143, A143)=2, 1, 0)</f>
        <v>0</v>
      </c>
      <c r="R143">
        <f>IF(ISNA(MATCH(C143, Customers!$A:$A, 0)), 1, 0)</f>
        <v>0</v>
      </c>
      <c r="S143" s="94" t="b">
        <f>VLOOKUP(D143, Products!A:F, 6, FALSE)</f>
        <v>1</v>
      </c>
    </row>
    <row r="144" spans="1:19">
      <c r="A144" s="102" t="s">
        <v>433</v>
      </c>
      <c r="B144" s="2">
        <v>45508</v>
      </c>
      <c r="C144" s="1" t="s">
        <v>434</v>
      </c>
      <c r="D144" s="1" t="s">
        <v>131</v>
      </c>
      <c r="E144" s="1" t="s">
        <v>204</v>
      </c>
      <c r="F144" s="83">
        <v>9</v>
      </c>
      <c r="G144" s="92">
        <v>2270</v>
      </c>
      <c r="H144" s="3">
        <v>6.8</v>
      </c>
      <c r="I144" s="3">
        <v>19040.759999999998</v>
      </c>
      <c r="J144" s="1" t="s">
        <v>87</v>
      </c>
      <c r="K144" s="1" t="s">
        <v>99</v>
      </c>
      <c r="L144" t="str">
        <f>VLOOKUP(D144, Products!A:C, 3, FALSE)</f>
        <v>Grocery</v>
      </c>
      <c r="M144" t="str">
        <f>VLOOKUP(C144, Customers!A:E, 5, FALSE)</f>
        <v>Corporate</v>
      </c>
      <c r="N144">
        <f>VLOOKUP(C144, Customers!A:E, 3, FALSE)</f>
        <v>31</v>
      </c>
      <c r="O144" s="93" t="str">
        <f>VLOOKUP(E144, Sales_Reps!A:C, 3, FALSE)</f>
        <v>South</v>
      </c>
      <c r="P144">
        <f>VLOOKUP(D144, Products!A:E, 4, FALSE)</f>
        <v>1203</v>
      </c>
      <c r="Q144">
        <f>IF(COUNTIF($A$2:A144, A144)=2, 1, 0)</f>
        <v>0</v>
      </c>
      <c r="R144">
        <f>IF(ISNA(MATCH(C144, Customers!$A:$A, 0)), 1, 0)</f>
        <v>0</v>
      </c>
      <c r="S144" s="94" t="b">
        <f>VLOOKUP(D144, Products!A:F, 6, FALSE)</f>
        <v>1</v>
      </c>
    </row>
    <row r="145" spans="1:19">
      <c r="A145" s="102" t="s">
        <v>435</v>
      </c>
      <c r="B145" s="2">
        <v>45309</v>
      </c>
      <c r="C145" s="1" t="s">
        <v>137</v>
      </c>
      <c r="D145" s="1" t="s">
        <v>106</v>
      </c>
      <c r="E145" s="1" t="s">
        <v>215</v>
      </c>
      <c r="F145" s="83">
        <v>3</v>
      </c>
      <c r="G145" s="92">
        <v>3160</v>
      </c>
      <c r="H145" s="3">
        <v>12.8</v>
      </c>
      <c r="I145" s="3">
        <v>8266.56</v>
      </c>
      <c r="J145" s="1" t="s">
        <v>87</v>
      </c>
      <c r="K145" s="1" t="s">
        <v>99</v>
      </c>
      <c r="L145" t="str">
        <f>VLOOKUP(D145, Products!A:C, 3, FALSE)</f>
        <v>Apparel</v>
      </c>
      <c r="M145" t="str">
        <f>VLOOKUP(C145, Customers!A:E, 5, FALSE)</f>
        <v>SMB</v>
      </c>
      <c r="N145">
        <f>VLOOKUP(C145, Customers!A:E, 3, FALSE)</f>
        <v>27</v>
      </c>
      <c r="O145" s="93" t="str">
        <f>VLOOKUP(E145, Sales_Reps!A:C, 3, FALSE)</f>
        <v>North</v>
      </c>
      <c r="P145">
        <f>VLOOKUP(D145, Products!A:E, 4, FALSE)</f>
        <v>1886</v>
      </c>
      <c r="Q145">
        <f>IF(COUNTIF($A$2:A145, A145)=2, 1, 0)</f>
        <v>0</v>
      </c>
      <c r="R145">
        <f>IF(ISNA(MATCH(C145, Customers!$A:$A, 0)), 1, 0)</f>
        <v>0</v>
      </c>
      <c r="S145" s="94" t="b">
        <f>VLOOKUP(D145, Products!A:F, 6, FALSE)</f>
        <v>1</v>
      </c>
    </row>
    <row r="146" spans="1:19">
      <c r="A146" s="102" t="s">
        <v>436</v>
      </c>
      <c r="B146" s="2">
        <v>45448</v>
      </c>
      <c r="C146" s="1" t="s">
        <v>233</v>
      </c>
      <c r="D146" s="1" t="s">
        <v>351</v>
      </c>
      <c r="E146" s="1" t="s">
        <v>128</v>
      </c>
      <c r="F146" s="83">
        <v>8</v>
      </c>
      <c r="G146" s="92">
        <v>4060</v>
      </c>
      <c r="H146" s="3">
        <v>20.9</v>
      </c>
      <c r="I146" s="3">
        <v>25691.68</v>
      </c>
      <c r="J146" s="1" t="s">
        <v>87</v>
      </c>
      <c r="K146" s="1" t="s">
        <v>88</v>
      </c>
      <c r="L146" t="str">
        <f>VLOOKUP(D146, Products!A:C, 3, FALSE)</f>
        <v>Grocery</v>
      </c>
      <c r="M146" t="str">
        <f>VLOOKUP(C146, Customers!A:E, 5, FALSE)</f>
        <v>SMB</v>
      </c>
      <c r="N146">
        <f>VLOOKUP(C146, Customers!A:E, 3, FALSE)</f>
        <v>29</v>
      </c>
      <c r="O146" s="93" t="str">
        <f>VLOOKUP(E146, Sales_Reps!A:C, 3, FALSE)</f>
        <v>West</v>
      </c>
      <c r="P146">
        <f>VLOOKUP(D146, Products!A:E, 4, FALSE)</f>
        <v>2911</v>
      </c>
      <c r="Q146">
        <f>IF(COUNTIF($A$2:A146, A146)=2, 1, 0)</f>
        <v>0</v>
      </c>
      <c r="R146">
        <f>IF(ISNA(MATCH(C146, Customers!$A:$A, 0)), 1, 0)</f>
        <v>0</v>
      </c>
      <c r="S146" s="94" t="b">
        <f>VLOOKUP(D146, Products!A:F, 6, FALSE)</f>
        <v>1</v>
      </c>
    </row>
    <row r="147" spans="1:19">
      <c r="A147" s="102" t="s">
        <v>437</v>
      </c>
      <c r="B147" s="2">
        <v>45449</v>
      </c>
      <c r="C147" s="1" t="s">
        <v>438</v>
      </c>
      <c r="D147" s="1" t="s">
        <v>91</v>
      </c>
      <c r="E147" s="1" t="s">
        <v>303</v>
      </c>
      <c r="F147" s="83">
        <v>5</v>
      </c>
      <c r="G147" s="92">
        <v>820</v>
      </c>
      <c r="H147" s="3">
        <v>9.1</v>
      </c>
      <c r="I147" s="3">
        <v>3726.9</v>
      </c>
      <c r="J147" s="1" t="s">
        <v>144</v>
      </c>
      <c r="K147" s="1" t="s">
        <v>88</v>
      </c>
      <c r="L147" t="str">
        <f>VLOOKUP(D147, Products!A:C, 3, FALSE)</f>
        <v>Apparel</v>
      </c>
      <c r="M147" t="e">
        <f>VLOOKUP(C147, Customers!A:E, 5, FALSE)</f>
        <v>#N/A</v>
      </c>
      <c r="N147" t="e">
        <f>VLOOKUP(C147, Customers!A:E, 3, FALSE)</f>
        <v>#N/A</v>
      </c>
      <c r="O147" s="93" t="str">
        <f>VLOOKUP(E147, Sales_Reps!A:C, 3, FALSE)</f>
        <v>East</v>
      </c>
      <c r="P147">
        <f>VLOOKUP(D147, Products!A:E, 4, FALSE)</f>
        <v>391</v>
      </c>
      <c r="Q147">
        <f>IF(COUNTIF($A$2:A147, A147)=2, 1, 0)</f>
        <v>0</v>
      </c>
      <c r="R147">
        <f>IF(ISNA(MATCH(C147, Customers!$A:$A, 0)), 1, 0)</f>
        <v>1</v>
      </c>
      <c r="S147" s="94" t="b">
        <f>VLOOKUP(D147, Products!A:F, 6, FALSE)</f>
        <v>1</v>
      </c>
    </row>
    <row r="148" spans="1:19">
      <c r="A148" s="102" t="s">
        <v>439</v>
      </c>
      <c r="B148" s="2">
        <v>45555</v>
      </c>
      <c r="C148" s="1" t="s">
        <v>440</v>
      </c>
      <c r="D148" s="1" t="s">
        <v>110</v>
      </c>
      <c r="E148" s="1" t="s">
        <v>86</v>
      </c>
      <c r="F148" s="83">
        <v>5</v>
      </c>
      <c r="G148" s="92">
        <v>370</v>
      </c>
      <c r="H148" s="3">
        <v>11.5</v>
      </c>
      <c r="I148" s="3">
        <v>1637.25</v>
      </c>
      <c r="J148" s="1" t="s">
        <v>87</v>
      </c>
      <c r="K148" s="1" t="s">
        <v>88</v>
      </c>
      <c r="L148" t="str">
        <f>VLOOKUP(D148, Products!A:C, 3, FALSE)</f>
        <v>Home</v>
      </c>
      <c r="M148" t="str">
        <f>VLOOKUP(C148, Customers!A:E, 5, FALSE)</f>
        <v>SMB</v>
      </c>
      <c r="N148">
        <f>VLOOKUP(C148, Customers!A:E, 3, FALSE)</f>
        <v>30</v>
      </c>
      <c r="O148" s="93" t="str">
        <f>VLOOKUP(E148, Sales_Reps!A:C, 3, FALSE)</f>
        <v>North</v>
      </c>
      <c r="P148">
        <f>VLOOKUP(D148, Products!A:E, 4, FALSE)</f>
        <v>288</v>
      </c>
      <c r="Q148">
        <f>IF(COUNTIF($A$2:A148, A148)=2, 1, 0)</f>
        <v>0</v>
      </c>
      <c r="R148">
        <f>IF(ISNA(MATCH(C148, Customers!$A:$A, 0)), 1, 0)</f>
        <v>0</v>
      </c>
      <c r="S148" s="94" t="b">
        <f>VLOOKUP(D148, Products!A:F, 6, FALSE)</f>
        <v>1</v>
      </c>
    </row>
    <row r="149" spans="1:19">
      <c r="A149" s="102" t="s">
        <v>441</v>
      </c>
      <c r="B149" s="2">
        <v>45341</v>
      </c>
      <c r="C149" s="1" t="s">
        <v>442</v>
      </c>
      <c r="D149" s="1" t="s">
        <v>443</v>
      </c>
      <c r="E149" s="1" t="s">
        <v>297</v>
      </c>
      <c r="F149" s="83">
        <v>9</v>
      </c>
      <c r="G149" s="92">
        <v>5080</v>
      </c>
      <c r="H149" s="3">
        <v>27.5</v>
      </c>
      <c r="I149" s="3">
        <v>33147</v>
      </c>
      <c r="J149" s="1" t="s">
        <v>87</v>
      </c>
      <c r="K149" s="1" t="s">
        <v>88</v>
      </c>
      <c r="L149" t="str">
        <f>VLOOKUP(D149, Products!A:C, 3, FALSE)</f>
        <v>Home</v>
      </c>
      <c r="M149" t="str">
        <f>VLOOKUP(C149, Customers!A:E, 5, FALSE)</f>
        <v>Retail</v>
      </c>
      <c r="N149">
        <f>VLOOKUP(C149, Customers!A:E, 3, FALSE)</f>
        <v>65</v>
      </c>
      <c r="O149" s="93" t="str">
        <f>VLOOKUP(E149, Sales_Reps!A:C, 3, FALSE)</f>
        <v>North</v>
      </c>
      <c r="P149">
        <f>VLOOKUP(D149, Products!A:E, 4, FALSE)</f>
        <v>2459</v>
      </c>
      <c r="Q149">
        <f>IF(COUNTIF($A$2:A149, A149)=2, 1, 0)</f>
        <v>0</v>
      </c>
      <c r="R149">
        <f>IF(ISNA(MATCH(C149, Customers!$A:$A, 0)), 1, 0)</f>
        <v>0</v>
      </c>
      <c r="S149" s="94" t="b">
        <f>VLOOKUP(D149, Products!A:F, 6, FALSE)</f>
        <v>1</v>
      </c>
    </row>
    <row r="150" spans="1:19">
      <c r="A150" s="102" t="s">
        <v>444</v>
      </c>
      <c r="B150" s="2">
        <v>45422</v>
      </c>
      <c r="C150" s="1" t="s">
        <v>308</v>
      </c>
      <c r="D150" s="1" t="s">
        <v>264</v>
      </c>
      <c r="E150" s="1" t="s">
        <v>325</v>
      </c>
      <c r="F150" s="83">
        <v>6</v>
      </c>
      <c r="G150" s="92">
        <v>4070</v>
      </c>
      <c r="H150" s="3">
        <v>12.5</v>
      </c>
      <c r="I150" s="3">
        <v>21367.5</v>
      </c>
      <c r="J150" s="1" t="s">
        <v>87</v>
      </c>
      <c r="K150" s="1" t="s">
        <v>88</v>
      </c>
      <c r="L150" t="str">
        <f>VLOOKUP(D150, Products!A:C, 3, FALSE)</f>
        <v>Grocery</v>
      </c>
      <c r="M150" t="str">
        <f>VLOOKUP(C150, Customers!A:E, 5, FALSE)</f>
        <v>SMB</v>
      </c>
      <c r="N150">
        <f>VLOOKUP(C150, Customers!A:E, 3, FALSE)</f>
        <v>54</v>
      </c>
      <c r="O150" s="93" t="str">
        <f>VLOOKUP(E150, Sales_Reps!A:C, 3, FALSE)</f>
        <v>South</v>
      </c>
      <c r="P150">
        <f>VLOOKUP(D150, Products!A:E, 4, FALSE)</f>
        <v>2027</v>
      </c>
      <c r="Q150">
        <f>IF(COUNTIF($A$2:A150, A150)=2, 1, 0)</f>
        <v>0</v>
      </c>
      <c r="R150">
        <f>IF(ISNA(MATCH(C150, Customers!$A:$A, 0)), 1, 0)</f>
        <v>0</v>
      </c>
      <c r="S150" s="94" t="b">
        <f>VLOOKUP(D150, Products!A:F, 6, FALSE)</f>
        <v>1</v>
      </c>
    </row>
    <row r="151" spans="1:19">
      <c r="A151" s="102" t="s">
        <v>445</v>
      </c>
      <c r="B151" s="2">
        <v>45346</v>
      </c>
      <c r="C151" s="1" t="s">
        <v>440</v>
      </c>
      <c r="D151" s="1" t="s">
        <v>282</v>
      </c>
      <c r="E151" s="1" t="s">
        <v>116</v>
      </c>
      <c r="F151" s="83">
        <v>5</v>
      </c>
      <c r="G151" s="92">
        <v>300</v>
      </c>
      <c r="H151" s="3">
        <v>25.8</v>
      </c>
      <c r="I151" s="3">
        <v>1113</v>
      </c>
      <c r="J151" s="1" t="s">
        <v>87</v>
      </c>
      <c r="K151" s="1" t="s">
        <v>88</v>
      </c>
      <c r="L151" t="str">
        <f>VLOOKUP(D151, Products!A:C, 3, FALSE)</f>
        <v>Electronics</v>
      </c>
      <c r="M151" t="str">
        <f>VLOOKUP(C151, Customers!A:E, 5, FALSE)</f>
        <v>SMB</v>
      </c>
      <c r="N151">
        <f>VLOOKUP(C151, Customers!A:E, 3, FALSE)</f>
        <v>30</v>
      </c>
      <c r="O151" s="93" t="str">
        <f>VLOOKUP(E151, Sales_Reps!A:C, 3, FALSE)</f>
        <v>West</v>
      </c>
      <c r="P151">
        <f>VLOOKUP(D151, Products!A:E, 4, FALSE)</f>
        <v>128</v>
      </c>
      <c r="Q151">
        <f>IF(COUNTIF($A$2:A151, A151)=2, 1, 0)</f>
        <v>0</v>
      </c>
      <c r="R151">
        <f>IF(ISNA(MATCH(C151, Customers!$A:$A, 0)), 1, 0)</f>
        <v>0</v>
      </c>
      <c r="S151" s="94" t="b">
        <f>VLOOKUP(D151, Products!A:F, 6, FALSE)</f>
        <v>1</v>
      </c>
    </row>
    <row r="152" spans="1:19">
      <c r="A152" s="102" t="s">
        <v>446</v>
      </c>
      <c r="B152" s="2">
        <v>45318</v>
      </c>
      <c r="C152" s="1" t="s">
        <v>447</v>
      </c>
      <c r="D152" s="1" t="s">
        <v>191</v>
      </c>
      <c r="E152" s="1" t="s">
        <v>273</v>
      </c>
      <c r="F152" s="83">
        <v>7</v>
      </c>
      <c r="G152" s="92">
        <v>5100</v>
      </c>
      <c r="H152" s="3">
        <v>28.8</v>
      </c>
      <c r="I152" s="3">
        <v>25418.400000000001</v>
      </c>
      <c r="J152" s="1" t="s">
        <v>87</v>
      </c>
      <c r="K152" s="1" t="s">
        <v>448</v>
      </c>
      <c r="L152" t="str">
        <f>VLOOKUP(D152, Products!A:C, 3, FALSE)</f>
        <v>Beauty</v>
      </c>
      <c r="M152" t="str">
        <f>VLOOKUP(C152, Customers!A:E, 5, FALSE)</f>
        <v>Retail</v>
      </c>
      <c r="N152">
        <f>VLOOKUP(C152, Customers!A:E, 3, FALSE)</f>
        <v>41</v>
      </c>
      <c r="O152" s="93" t="str">
        <f>VLOOKUP(E152, Sales_Reps!A:C, 3, FALSE)</f>
        <v>South</v>
      </c>
      <c r="P152">
        <f>VLOOKUP(D152, Products!A:E, 4, FALSE)</f>
        <v>2237</v>
      </c>
      <c r="Q152">
        <f>IF(COUNTIF($A$2:A152, A152)=2, 1, 0)</f>
        <v>0</v>
      </c>
      <c r="R152">
        <f>IF(ISNA(MATCH(C152, Customers!$A:$A, 0)), 1, 0)</f>
        <v>0</v>
      </c>
      <c r="S152" s="94" t="b">
        <f>VLOOKUP(D152, Products!A:F, 6, FALSE)</f>
        <v>1</v>
      </c>
    </row>
    <row r="153" spans="1:19">
      <c r="A153" s="102" t="s">
        <v>449</v>
      </c>
      <c r="B153" s="2">
        <v>45521</v>
      </c>
      <c r="C153" s="1" t="s">
        <v>225</v>
      </c>
      <c r="D153" s="1" t="s">
        <v>124</v>
      </c>
      <c r="E153" s="1" t="s">
        <v>325</v>
      </c>
      <c r="F153" s="83">
        <v>2</v>
      </c>
      <c r="G153" s="92">
        <v>5490</v>
      </c>
      <c r="H153" s="3">
        <v>5.5</v>
      </c>
      <c r="I153" s="3">
        <v>10376.1</v>
      </c>
      <c r="J153" s="1" t="s">
        <v>87</v>
      </c>
      <c r="K153" s="1" t="s">
        <v>94</v>
      </c>
      <c r="L153" t="str">
        <f>VLOOKUP(D153, Products!A:C, 3, FALSE)</f>
        <v>Home</v>
      </c>
      <c r="M153" t="str">
        <f>VLOOKUP(C153, Customers!A:E, 5, FALSE)</f>
        <v>Retail</v>
      </c>
      <c r="N153">
        <f>VLOOKUP(C153, Customers!A:E, 3, FALSE)</f>
        <v>37</v>
      </c>
      <c r="O153" s="93" t="str">
        <f>VLOOKUP(E153, Sales_Reps!A:C, 3, FALSE)</f>
        <v>South</v>
      </c>
      <c r="P153">
        <f>VLOOKUP(D153, Products!A:E, 4, FALSE)</f>
        <v>2549</v>
      </c>
      <c r="Q153">
        <f>IF(COUNTIF($A$2:A153, A153)=2, 1, 0)</f>
        <v>0</v>
      </c>
      <c r="R153">
        <f>IF(ISNA(MATCH(C153, Customers!$A:$A, 0)), 1, 0)</f>
        <v>0</v>
      </c>
      <c r="S153" s="94" t="b">
        <f>VLOOKUP(D153, Products!A:F, 6, FALSE)</f>
        <v>1</v>
      </c>
    </row>
    <row r="154" spans="1:19">
      <c r="A154" s="102" t="s">
        <v>450</v>
      </c>
      <c r="B154" s="2">
        <v>45595</v>
      </c>
      <c r="C154" s="1" t="s">
        <v>451</v>
      </c>
      <c r="D154" s="1" t="s">
        <v>452</v>
      </c>
      <c r="E154" s="1" t="s">
        <v>188</v>
      </c>
      <c r="F154" s="83">
        <v>2</v>
      </c>
      <c r="G154" s="92">
        <v>3450</v>
      </c>
      <c r="H154" s="3">
        <v>1.2</v>
      </c>
      <c r="I154" s="3">
        <v>6817.2</v>
      </c>
      <c r="J154" s="1" t="s">
        <v>87</v>
      </c>
      <c r="K154" s="1" t="s">
        <v>99</v>
      </c>
      <c r="L154" t="str">
        <f>VLOOKUP(D154, Products!A:C, 3, FALSE)</f>
        <v>Apparel</v>
      </c>
      <c r="M154" t="str">
        <f>VLOOKUP(C154, Customers!A:E, 5, FALSE)</f>
        <v>SMB</v>
      </c>
      <c r="N154">
        <f>VLOOKUP(C154, Customers!A:E, 3, FALSE)</f>
        <v>34</v>
      </c>
      <c r="O154" s="93" t="str">
        <f>VLOOKUP(E154, Sales_Reps!A:C, 3, FALSE)</f>
        <v>South</v>
      </c>
      <c r="P154">
        <f>VLOOKUP(D154, Products!A:E, 4, FALSE)</f>
        <v>1748</v>
      </c>
      <c r="Q154">
        <f>IF(COUNTIF($A$2:A154, A154)=2, 1, 0)</f>
        <v>0</v>
      </c>
      <c r="R154">
        <f>IF(ISNA(MATCH(C154, Customers!$A:$A, 0)), 1, 0)</f>
        <v>0</v>
      </c>
      <c r="S154" s="94" t="b">
        <f>VLOOKUP(D154, Products!A:F, 6, FALSE)</f>
        <v>1</v>
      </c>
    </row>
    <row r="155" spans="1:19">
      <c r="A155" s="102" t="s">
        <v>453</v>
      </c>
      <c r="B155" s="2">
        <v>45530</v>
      </c>
      <c r="C155" s="1" t="s">
        <v>454</v>
      </c>
      <c r="D155" s="1" t="s">
        <v>338</v>
      </c>
      <c r="E155" s="1" t="s">
        <v>297</v>
      </c>
      <c r="F155" s="83">
        <v>10</v>
      </c>
      <c r="G155" s="92">
        <v>2210</v>
      </c>
      <c r="H155" s="3">
        <v>18.8</v>
      </c>
      <c r="I155" s="3">
        <v>17945.2</v>
      </c>
      <c r="J155" s="1" t="s">
        <v>87</v>
      </c>
      <c r="K155" s="1" t="s">
        <v>133</v>
      </c>
      <c r="L155" t="str">
        <f>VLOOKUP(D155, Products!A:C, 3, FALSE)</f>
        <v>Grocery</v>
      </c>
      <c r="M155" t="str">
        <f>VLOOKUP(C155, Customers!A:E, 5, FALSE)</f>
        <v>Corporate</v>
      </c>
      <c r="N155">
        <f>VLOOKUP(C155, Customers!A:E, 3, FALSE)</f>
        <v>43</v>
      </c>
      <c r="O155" s="93" t="str">
        <f>VLOOKUP(E155, Sales_Reps!A:C, 3, FALSE)</f>
        <v>North</v>
      </c>
      <c r="P155">
        <f>VLOOKUP(D155, Products!A:E, 4, FALSE)</f>
        <v>1010</v>
      </c>
      <c r="Q155">
        <f>IF(COUNTIF($A$2:A155, A155)=2, 1, 0)</f>
        <v>0</v>
      </c>
      <c r="R155">
        <f>IF(ISNA(MATCH(C155, Customers!$A:$A, 0)), 1, 0)</f>
        <v>0</v>
      </c>
      <c r="S155" s="94" t="b">
        <f>VLOOKUP(D155, Products!A:F, 6, FALSE)</f>
        <v>1</v>
      </c>
    </row>
    <row r="156" spans="1:19">
      <c r="A156" s="102" t="s">
        <v>455</v>
      </c>
      <c r="B156" s="2">
        <v>45644</v>
      </c>
      <c r="C156" s="1" t="s">
        <v>320</v>
      </c>
      <c r="D156" s="1" t="s">
        <v>143</v>
      </c>
      <c r="E156" s="1" t="s">
        <v>252</v>
      </c>
      <c r="F156" s="83">
        <v>2</v>
      </c>
      <c r="G156" s="92">
        <v>3250</v>
      </c>
      <c r="H156" s="3">
        <v>26.2</v>
      </c>
      <c r="I156" s="3">
        <v>4797</v>
      </c>
      <c r="J156" s="1" t="s">
        <v>87</v>
      </c>
      <c r="K156" s="1" t="s">
        <v>133</v>
      </c>
      <c r="L156" t="str">
        <f>VLOOKUP(D156, Products!A:C, 3, FALSE)</f>
        <v>Home</v>
      </c>
      <c r="M156" t="str">
        <f>VLOOKUP(C156, Customers!A:E, 5, FALSE)</f>
        <v>SMB</v>
      </c>
      <c r="N156">
        <f>VLOOKUP(C156, Customers!A:E, 3, FALSE)</f>
        <v>36</v>
      </c>
      <c r="O156" s="93" t="str">
        <f>VLOOKUP(E156, Sales_Reps!A:C, 3, FALSE)</f>
        <v>South</v>
      </c>
      <c r="P156">
        <f>VLOOKUP(D156, Products!A:E, 4, FALSE)</f>
        <v>1556</v>
      </c>
      <c r="Q156">
        <f>IF(COUNTIF($A$2:A156, A156)=2, 1, 0)</f>
        <v>0</v>
      </c>
      <c r="R156">
        <f>IF(ISNA(MATCH(C156, Customers!$A:$A, 0)), 1, 0)</f>
        <v>0</v>
      </c>
      <c r="S156" s="94" t="b">
        <f>VLOOKUP(D156, Products!A:F, 6, FALSE)</f>
        <v>1</v>
      </c>
    </row>
    <row r="157" spans="1:19">
      <c r="A157" s="102" t="s">
        <v>456</v>
      </c>
      <c r="B157" s="2">
        <v>45298</v>
      </c>
      <c r="C157" s="1" t="s">
        <v>457</v>
      </c>
      <c r="D157" s="1" t="s">
        <v>106</v>
      </c>
      <c r="E157" s="1" t="s">
        <v>215</v>
      </c>
      <c r="F157" s="83">
        <v>5</v>
      </c>
      <c r="G157" s="92">
        <v>3160</v>
      </c>
      <c r="H157" s="3">
        <v>0.9</v>
      </c>
      <c r="I157" s="3">
        <v>15657.8</v>
      </c>
      <c r="J157" s="1" t="s">
        <v>87</v>
      </c>
      <c r="K157" s="1" t="s">
        <v>88</v>
      </c>
      <c r="L157" t="str">
        <f>VLOOKUP(D157, Products!A:C, 3, FALSE)</f>
        <v>Apparel</v>
      </c>
      <c r="M157" t="str">
        <f>VLOOKUP(C157, Customers!A:E, 5, FALSE)</f>
        <v>Retail</v>
      </c>
      <c r="N157">
        <f>VLOOKUP(C157, Customers!A:E, 3, FALSE)</f>
        <v>29</v>
      </c>
      <c r="O157" s="93" t="str">
        <f>VLOOKUP(E157, Sales_Reps!A:C, 3, FALSE)</f>
        <v>North</v>
      </c>
      <c r="P157">
        <f>VLOOKUP(D157, Products!A:E, 4, FALSE)</f>
        <v>1886</v>
      </c>
      <c r="Q157">
        <f>IF(COUNTIF($A$2:A157, A157)=2, 1, 0)</f>
        <v>0</v>
      </c>
      <c r="R157">
        <f>IF(ISNA(MATCH(C157, Customers!$A:$A, 0)), 1, 0)</f>
        <v>0</v>
      </c>
      <c r="S157" s="94" t="b">
        <f>VLOOKUP(D157, Products!A:F, 6, FALSE)</f>
        <v>1</v>
      </c>
    </row>
    <row r="158" spans="1:19">
      <c r="A158" s="102" t="s">
        <v>458</v>
      </c>
      <c r="B158" s="2">
        <v>45447</v>
      </c>
      <c r="C158" s="1" t="s">
        <v>407</v>
      </c>
      <c r="D158" s="1" t="s">
        <v>248</v>
      </c>
      <c r="E158" s="1" t="s">
        <v>170</v>
      </c>
      <c r="F158" s="83">
        <v>4</v>
      </c>
      <c r="G158" s="92">
        <v>3870</v>
      </c>
      <c r="H158" s="3">
        <v>29.6</v>
      </c>
      <c r="I158" s="3">
        <v>10897.92</v>
      </c>
      <c r="J158" s="1" t="s">
        <v>140</v>
      </c>
      <c r="K158" s="1" t="s">
        <v>88</v>
      </c>
      <c r="L158" t="str">
        <f>VLOOKUP(D158, Products!A:C, 3, FALSE)</f>
        <v>Electronics</v>
      </c>
      <c r="M158" t="str">
        <f>VLOOKUP(C158, Customers!A:E, 5, FALSE)</f>
        <v>SMB</v>
      </c>
      <c r="N158">
        <f>VLOOKUP(C158, Customers!A:E, 3, FALSE)</f>
        <v>53</v>
      </c>
      <c r="O158" s="93" t="str">
        <f>VLOOKUP(E158, Sales_Reps!A:C, 3, FALSE)</f>
        <v>West</v>
      </c>
      <c r="P158">
        <f>VLOOKUP(D158, Products!A:E, 4, FALSE)</f>
        <v>1559</v>
      </c>
      <c r="Q158">
        <f>IF(COUNTIF($A$2:A158, A158)=2, 1, 0)</f>
        <v>0</v>
      </c>
      <c r="R158">
        <f>IF(ISNA(MATCH(C158, Customers!$A:$A, 0)), 1, 0)</f>
        <v>0</v>
      </c>
      <c r="S158" s="94" t="b">
        <f>VLOOKUP(D158, Products!A:F, 6, FALSE)</f>
        <v>1</v>
      </c>
    </row>
    <row r="159" spans="1:19">
      <c r="A159" s="102" t="s">
        <v>459</v>
      </c>
      <c r="B159" s="2">
        <v>45601</v>
      </c>
      <c r="C159" s="1" t="s">
        <v>460</v>
      </c>
      <c r="D159" s="1" t="s">
        <v>461</v>
      </c>
      <c r="E159" s="1" t="s">
        <v>285</v>
      </c>
      <c r="F159" s="83">
        <v>4</v>
      </c>
      <c r="G159" s="92">
        <v>3780</v>
      </c>
      <c r="H159" s="3">
        <v>3.5</v>
      </c>
      <c r="I159" s="3">
        <v>14590.8</v>
      </c>
      <c r="J159" s="1" t="s">
        <v>140</v>
      </c>
      <c r="K159" s="1" t="s">
        <v>88</v>
      </c>
      <c r="L159" t="str">
        <f>VLOOKUP(D159, Products!A:C, 3, FALSE)</f>
        <v>Sports</v>
      </c>
      <c r="M159" t="str">
        <f>VLOOKUP(C159, Customers!A:E, 5, FALSE)</f>
        <v>Corporate</v>
      </c>
      <c r="N159">
        <f>VLOOKUP(C159, Customers!A:E, 3, FALSE)</f>
        <v>37</v>
      </c>
      <c r="O159" s="93" t="str">
        <f>VLOOKUP(E159, Sales_Reps!A:C, 3, FALSE)</f>
        <v>East</v>
      </c>
      <c r="P159">
        <f>VLOOKUP(D159, Products!A:E, 4, FALSE)</f>
        <v>1860</v>
      </c>
      <c r="Q159">
        <f>IF(COUNTIF($A$2:A159, A159)=2, 1, 0)</f>
        <v>0</v>
      </c>
      <c r="R159">
        <f>IF(ISNA(MATCH(C159, Customers!$A:$A, 0)), 1, 0)</f>
        <v>0</v>
      </c>
      <c r="S159" s="94" t="b">
        <f>VLOOKUP(D159, Products!A:F, 6, FALSE)</f>
        <v>1</v>
      </c>
    </row>
    <row r="160" spans="1:19">
      <c r="A160" s="102" t="s">
        <v>462</v>
      </c>
      <c r="B160" s="2">
        <v>45428</v>
      </c>
      <c r="C160" s="1" t="s">
        <v>463</v>
      </c>
      <c r="D160" s="1" t="s">
        <v>276</v>
      </c>
      <c r="E160" s="1" t="s">
        <v>158</v>
      </c>
      <c r="F160" s="83">
        <v>4</v>
      </c>
      <c r="G160" s="92">
        <v>3020</v>
      </c>
      <c r="H160" s="3">
        <v>18.899999999999999</v>
      </c>
      <c r="I160" s="3">
        <v>9796.8799999999992</v>
      </c>
      <c r="J160" s="1" t="s">
        <v>87</v>
      </c>
      <c r="K160" s="1" t="s">
        <v>117</v>
      </c>
      <c r="L160" t="str">
        <f>VLOOKUP(D160, Products!A:C, 3, FALSE)</f>
        <v>Beauty</v>
      </c>
      <c r="M160" t="str">
        <f>VLOOKUP(C160, Customers!A:E, 5, FALSE)</f>
        <v>Retail</v>
      </c>
      <c r="N160">
        <f>VLOOKUP(C160, Customers!A:E, 3, FALSE)</f>
        <v>55</v>
      </c>
      <c r="O160" s="93" t="str">
        <f>VLOOKUP(E160, Sales_Reps!A:C, 3, FALSE)</f>
        <v>East</v>
      </c>
      <c r="P160">
        <f>VLOOKUP(D160, Products!A:E, 4, FALSE)</f>
        <v>1626</v>
      </c>
      <c r="Q160">
        <f>IF(COUNTIF($A$2:A160, A160)=2, 1, 0)</f>
        <v>0</v>
      </c>
      <c r="R160">
        <f>IF(ISNA(MATCH(C160, Customers!$A:$A, 0)), 1, 0)</f>
        <v>0</v>
      </c>
      <c r="S160" s="94" t="b">
        <f>VLOOKUP(D160, Products!A:F, 6, FALSE)</f>
        <v>1</v>
      </c>
    </row>
    <row r="161" spans="1:19">
      <c r="A161" s="102" t="s">
        <v>464</v>
      </c>
      <c r="B161" s="2">
        <v>45409</v>
      </c>
      <c r="C161" s="1" t="s">
        <v>465</v>
      </c>
      <c r="D161" s="1" t="s">
        <v>226</v>
      </c>
      <c r="E161" s="1" t="s">
        <v>188</v>
      </c>
      <c r="F161" s="83">
        <v>1</v>
      </c>
      <c r="G161" s="92">
        <v>3730</v>
      </c>
      <c r="H161" s="3">
        <v>10.8</v>
      </c>
      <c r="I161" s="3">
        <v>3327.16</v>
      </c>
      <c r="J161" s="1" t="s">
        <v>144</v>
      </c>
      <c r="K161" s="1" t="s">
        <v>112</v>
      </c>
      <c r="L161" t="str">
        <f>VLOOKUP(D161, Products!A:C, 3, FALSE)</f>
        <v>Home</v>
      </c>
      <c r="M161" t="str">
        <f>VLOOKUP(C161, Customers!A:E, 5, FALSE)</f>
        <v>Retail</v>
      </c>
      <c r="N161">
        <f>VLOOKUP(C161, Customers!A:E, 3, FALSE)</f>
        <v>61</v>
      </c>
      <c r="O161" s="93" t="str">
        <f>VLOOKUP(E161, Sales_Reps!A:C, 3, FALSE)</f>
        <v>South</v>
      </c>
      <c r="P161">
        <f>VLOOKUP(D161, Products!A:E, 4, FALSE)</f>
        <v>2135</v>
      </c>
      <c r="Q161">
        <f>IF(COUNTIF($A$2:A161, A161)=2, 1, 0)</f>
        <v>0</v>
      </c>
      <c r="R161">
        <f>IF(ISNA(MATCH(C161, Customers!$A:$A, 0)), 1, 0)</f>
        <v>0</v>
      </c>
      <c r="S161" s="94" t="b">
        <f>VLOOKUP(D161, Products!A:F, 6, FALSE)</f>
        <v>1</v>
      </c>
    </row>
    <row r="162" spans="1:19">
      <c r="A162" s="102" t="s">
        <v>466</v>
      </c>
      <c r="B162" s="2">
        <v>45394</v>
      </c>
      <c r="C162" s="1" t="s">
        <v>333</v>
      </c>
      <c r="D162" s="1" t="s">
        <v>184</v>
      </c>
      <c r="E162" s="1" t="s">
        <v>303</v>
      </c>
      <c r="F162" s="83">
        <v>8</v>
      </c>
      <c r="G162" s="92">
        <v>4880</v>
      </c>
      <c r="H162" s="3">
        <v>20.3</v>
      </c>
      <c r="I162" s="3">
        <v>31114.880000000001</v>
      </c>
      <c r="J162" s="1" t="s">
        <v>87</v>
      </c>
      <c r="K162" s="1" t="s">
        <v>133</v>
      </c>
      <c r="L162" t="str">
        <f>VLOOKUP(D162, Products!A:C, 3, FALSE)</f>
        <v>Beauty</v>
      </c>
      <c r="M162" t="str">
        <f>VLOOKUP(C162, Customers!A:E, 5, FALSE)</f>
        <v>SMB</v>
      </c>
      <c r="N162">
        <f>VLOOKUP(C162, Customers!A:E, 3, FALSE)</f>
        <v>65</v>
      </c>
      <c r="O162" s="93" t="str">
        <f>VLOOKUP(E162, Sales_Reps!A:C, 3, FALSE)</f>
        <v>East</v>
      </c>
      <c r="P162">
        <f>VLOOKUP(D162, Products!A:E, 4, FALSE)</f>
        <v>2768</v>
      </c>
      <c r="Q162">
        <f>IF(COUNTIF($A$2:A162, A162)=2, 1, 0)</f>
        <v>0</v>
      </c>
      <c r="R162">
        <f>IF(ISNA(MATCH(C162, Customers!$A:$A, 0)), 1, 0)</f>
        <v>0</v>
      </c>
      <c r="S162" s="94" t="b">
        <f>VLOOKUP(D162, Products!A:F, 6, FALSE)</f>
        <v>1</v>
      </c>
    </row>
    <row r="163" spans="1:19">
      <c r="A163" s="102" t="s">
        <v>467</v>
      </c>
      <c r="B163" s="2">
        <v>45579</v>
      </c>
      <c r="C163" s="1" t="s">
        <v>150</v>
      </c>
      <c r="D163" s="1" t="s">
        <v>127</v>
      </c>
      <c r="E163" s="1" t="s">
        <v>201</v>
      </c>
      <c r="F163" s="83">
        <v>9</v>
      </c>
      <c r="G163" s="92">
        <v>970</v>
      </c>
      <c r="H163" s="3">
        <v>18.2</v>
      </c>
      <c r="I163" s="3">
        <v>7141.14</v>
      </c>
      <c r="J163" s="1" t="s">
        <v>87</v>
      </c>
      <c r="K163" s="1" t="s">
        <v>88</v>
      </c>
      <c r="L163" t="str">
        <f>VLOOKUP(D163, Products!A:C, 3, FALSE)</f>
        <v>Grocery</v>
      </c>
      <c r="M163" t="str">
        <f>VLOOKUP(C163, Customers!A:E, 5, FALSE)</f>
        <v>Retail</v>
      </c>
      <c r="N163">
        <f>VLOOKUP(C163, Customers!A:E, 3, FALSE)</f>
        <v>63</v>
      </c>
      <c r="O163" s="93" t="str">
        <f>VLOOKUP(E163, Sales_Reps!A:C, 3, FALSE)</f>
        <v>West</v>
      </c>
      <c r="P163">
        <f>VLOOKUP(D163, Products!A:E, 4, FALSE)</f>
        <v>434</v>
      </c>
      <c r="Q163">
        <f>IF(COUNTIF($A$2:A163, A163)=2, 1, 0)</f>
        <v>0</v>
      </c>
      <c r="R163">
        <f>IF(ISNA(MATCH(C163, Customers!$A:$A, 0)), 1, 0)</f>
        <v>0</v>
      </c>
      <c r="S163" s="94" t="b">
        <f>VLOOKUP(D163, Products!A:F, 6, FALSE)</f>
        <v>1</v>
      </c>
    </row>
    <row r="164" spans="1:19">
      <c r="A164" s="102" t="s">
        <v>468</v>
      </c>
      <c r="B164" s="2">
        <v>45442</v>
      </c>
      <c r="C164" s="1" t="s">
        <v>469</v>
      </c>
      <c r="D164" s="1" t="s">
        <v>279</v>
      </c>
      <c r="E164" s="1" t="s">
        <v>238</v>
      </c>
      <c r="F164" s="83">
        <v>8</v>
      </c>
      <c r="G164" s="92">
        <v>2660</v>
      </c>
      <c r="H164" s="3">
        <v>17.600000000000001</v>
      </c>
      <c r="I164" s="3">
        <v>17534.72</v>
      </c>
      <c r="J164" s="1" t="s">
        <v>87</v>
      </c>
      <c r="K164" s="1" t="s">
        <v>117</v>
      </c>
      <c r="L164" t="str">
        <f>VLOOKUP(D164, Products!A:C, 3, FALSE)</f>
        <v>Electronics</v>
      </c>
      <c r="M164" t="str">
        <f>VLOOKUP(C164, Customers!A:E, 5, FALSE)</f>
        <v>SMB</v>
      </c>
      <c r="N164">
        <f>VLOOKUP(C164, Customers!A:E, 3, FALSE)</f>
        <v>43</v>
      </c>
      <c r="O164" s="93" t="str">
        <f>VLOOKUP(E164, Sales_Reps!A:C, 3, FALSE)</f>
        <v>East</v>
      </c>
      <c r="P164">
        <f>VLOOKUP(D164, Products!A:E, 4, FALSE)</f>
        <v>1259</v>
      </c>
      <c r="Q164">
        <f>IF(COUNTIF($A$2:A164, A164)=2, 1, 0)</f>
        <v>0</v>
      </c>
      <c r="R164">
        <f>IF(ISNA(MATCH(C164, Customers!$A:$A, 0)), 1, 0)</f>
        <v>0</v>
      </c>
      <c r="S164" s="94" t="b">
        <f>VLOOKUP(D164, Products!A:F, 6, FALSE)</f>
        <v>0</v>
      </c>
    </row>
    <row r="165" spans="1:19">
      <c r="A165" s="102" t="s">
        <v>470</v>
      </c>
      <c r="B165" s="2">
        <v>45414</v>
      </c>
      <c r="C165" s="1" t="s">
        <v>137</v>
      </c>
      <c r="D165" s="1" t="s">
        <v>91</v>
      </c>
      <c r="E165" s="1" t="s">
        <v>188</v>
      </c>
      <c r="F165" s="83">
        <v>2</v>
      </c>
      <c r="G165" s="92">
        <v>820</v>
      </c>
      <c r="H165" s="3">
        <v>18.100000000000001</v>
      </c>
      <c r="I165" s="3">
        <v>1343.16</v>
      </c>
      <c r="J165" s="1" t="s">
        <v>140</v>
      </c>
      <c r="K165" s="1" t="s">
        <v>99</v>
      </c>
      <c r="L165" t="str">
        <f>VLOOKUP(D165, Products!A:C, 3, FALSE)</f>
        <v>Apparel</v>
      </c>
      <c r="M165" t="str">
        <f>VLOOKUP(C165, Customers!A:E, 5, FALSE)</f>
        <v>SMB</v>
      </c>
      <c r="N165">
        <f>VLOOKUP(C165, Customers!A:E, 3, FALSE)</f>
        <v>27</v>
      </c>
      <c r="O165" s="93" t="str">
        <f>VLOOKUP(E165, Sales_Reps!A:C, 3, FALSE)</f>
        <v>South</v>
      </c>
      <c r="P165">
        <f>VLOOKUP(D165, Products!A:E, 4, FALSE)</f>
        <v>391</v>
      </c>
      <c r="Q165">
        <f>IF(COUNTIF($A$2:A165, A165)=2, 1, 0)</f>
        <v>0</v>
      </c>
      <c r="R165">
        <f>IF(ISNA(MATCH(C165, Customers!$A:$A, 0)), 1, 0)</f>
        <v>0</v>
      </c>
      <c r="S165" s="94" t="b">
        <f>VLOOKUP(D165, Products!A:F, 6, FALSE)</f>
        <v>1</v>
      </c>
    </row>
    <row r="166" spans="1:19">
      <c r="A166" s="102" t="s">
        <v>471</v>
      </c>
      <c r="B166" s="2">
        <v>45349</v>
      </c>
      <c r="C166" s="1" t="s">
        <v>472</v>
      </c>
      <c r="D166" s="1" t="s">
        <v>295</v>
      </c>
      <c r="E166" s="1" t="s">
        <v>204</v>
      </c>
      <c r="F166" s="83">
        <v>7</v>
      </c>
      <c r="G166" s="92">
        <v>2030</v>
      </c>
      <c r="H166" s="3">
        <v>23.7</v>
      </c>
      <c r="I166" s="3">
        <v>10842.23</v>
      </c>
      <c r="J166" s="1" t="s">
        <v>93</v>
      </c>
      <c r="K166" s="1" t="s">
        <v>94</v>
      </c>
      <c r="L166" t="str">
        <f>VLOOKUP(D166, Products!A:C, 3, FALSE)</f>
        <v>Home</v>
      </c>
      <c r="M166" t="str">
        <f>VLOOKUP(C166, Customers!A:E, 5, FALSE)</f>
        <v>Corporate</v>
      </c>
      <c r="N166">
        <f>VLOOKUP(C166, Customers!A:E, 3, FALSE)</f>
        <v>35</v>
      </c>
      <c r="O166" s="93" t="str">
        <f>VLOOKUP(E166, Sales_Reps!A:C, 3, FALSE)</f>
        <v>South</v>
      </c>
      <c r="P166">
        <f>VLOOKUP(D166, Products!A:E, 4, FALSE)</f>
        <v>1143</v>
      </c>
      <c r="Q166">
        <f>IF(COUNTIF($A$2:A166, A166)=2, 1, 0)</f>
        <v>0</v>
      </c>
      <c r="R166">
        <f>IF(ISNA(MATCH(C166, Customers!$A:$A, 0)), 1, 0)</f>
        <v>0</v>
      </c>
      <c r="S166" s="94" t="b">
        <f>VLOOKUP(D166, Products!A:F, 6, FALSE)</f>
        <v>1</v>
      </c>
    </row>
    <row r="167" spans="1:19">
      <c r="A167" s="102" t="s">
        <v>473</v>
      </c>
      <c r="B167" s="2">
        <v>45533</v>
      </c>
      <c r="C167" s="1" t="s">
        <v>474</v>
      </c>
      <c r="D167" s="1" t="s">
        <v>292</v>
      </c>
      <c r="E167" s="1" t="s">
        <v>204</v>
      </c>
      <c r="F167" s="83">
        <v>5</v>
      </c>
      <c r="G167" s="92">
        <v>620</v>
      </c>
      <c r="H167" s="3">
        <v>13.8</v>
      </c>
      <c r="I167" s="3">
        <v>2672.2</v>
      </c>
      <c r="J167" s="1" t="s">
        <v>87</v>
      </c>
      <c r="K167" s="1" t="s">
        <v>99</v>
      </c>
      <c r="L167" t="str">
        <f>VLOOKUP(D167, Products!A:C, 3, FALSE)</f>
        <v>Apparel</v>
      </c>
      <c r="M167" t="str">
        <f>VLOOKUP(C167, Customers!A:E, 5, FALSE)</f>
        <v>SMB</v>
      </c>
      <c r="N167">
        <f>VLOOKUP(C167, Customers!A:E, 3, FALSE)</f>
        <v>59</v>
      </c>
      <c r="O167" s="93" t="str">
        <f>VLOOKUP(E167, Sales_Reps!A:C, 3, FALSE)</f>
        <v>South</v>
      </c>
      <c r="P167">
        <f>VLOOKUP(D167, Products!A:E, 4, FALSE)</f>
        <v>396</v>
      </c>
      <c r="Q167">
        <f>IF(COUNTIF($A$2:A167, A167)=2, 1, 0)</f>
        <v>0</v>
      </c>
      <c r="R167">
        <f>IF(ISNA(MATCH(C167, Customers!$A:$A, 0)), 1, 0)</f>
        <v>0</v>
      </c>
      <c r="S167" s="94" t="b">
        <f>VLOOKUP(D167, Products!A:F, 6, FALSE)</f>
        <v>1</v>
      </c>
    </row>
    <row r="168" spans="1:19">
      <c r="A168" s="102" t="s">
        <v>475</v>
      </c>
      <c r="B168" s="2">
        <v>45489</v>
      </c>
      <c r="C168" s="1" t="s">
        <v>451</v>
      </c>
      <c r="D168" s="1" t="s">
        <v>245</v>
      </c>
      <c r="E168" s="1" t="s">
        <v>285</v>
      </c>
      <c r="F168" s="83">
        <v>7</v>
      </c>
      <c r="G168" s="92">
        <v>2270</v>
      </c>
      <c r="H168" s="3">
        <v>5.5</v>
      </c>
      <c r="I168" s="3">
        <v>15016.05</v>
      </c>
      <c r="J168" s="1" t="s">
        <v>87</v>
      </c>
      <c r="K168" s="1" t="s">
        <v>99</v>
      </c>
      <c r="L168" t="str">
        <f>VLOOKUP(D168, Products!A:C, 3, FALSE)</f>
        <v>Grocery</v>
      </c>
      <c r="M168" t="str">
        <f>VLOOKUP(C168, Customers!A:E, 5, FALSE)</f>
        <v>SMB</v>
      </c>
      <c r="N168">
        <f>VLOOKUP(C168, Customers!A:E, 3, FALSE)</f>
        <v>34</v>
      </c>
      <c r="O168" s="93" t="str">
        <f>VLOOKUP(E168, Sales_Reps!A:C, 3, FALSE)</f>
        <v>East</v>
      </c>
      <c r="P168">
        <f>VLOOKUP(D168, Products!A:E, 4, FALSE)</f>
        <v>1412</v>
      </c>
      <c r="Q168">
        <f>IF(COUNTIF($A$2:A168, A168)=2, 1, 0)</f>
        <v>0</v>
      </c>
      <c r="R168">
        <f>IF(ISNA(MATCH(C168, Customers!$A:$A, 0)), 1, 0)</f>
        <v>0</v>
      </c>
      <c r="S168" s="94" t="b">
        <f>VLOOKUP(D168, Products!A:F, 6, FALSE)</f>
        <v>1</v>
      </c>
    </row>
    <row r="169" spans="1:19">
      <c r="A169" s="102" t="s">
        <v>476</v>
      </c>
      <c r="B169" s="2">
        <v>45457</v>
      </c>
      <c r="C169" s="1" t="s">
        <v>175</v>
      </c>
      <c r="D169" s="1" t="s">
        <v>97</v>
      </c>
      <c r="E169" s="1" t="s">
        <v>346</v>
      </c>
      <c r="F169" s="83">
        <v>1</v>
      </c>
      <c r="G169" s="92">
        <v>470</v>
      </c>
      <c r="H169" s="3">
        <v>13.7</v>
      </c>
      <c r="I169" s="3">
        <v>405.61</v>
      </c>
      <c r="J169" s="1" t="s">
        <v>93</v>
      </c>
      <c r="K169" s="1" t="s">
        <v>133</v>
      </c>
      <c r="L169" t="str">
        <f>VLOOKUP(D169, Products!A:C, 3, FALSE)</f>
        <v>Sports</v>
      </c>
      <c r="M169" t="str">
        <f>VLOOKUP(C169, Customers!A:E, 5, FALSE)</f>
        <v>SMB</v>
      </c>
      <c r="N169">
        <f>VLOOKUP(C169, Customers!A:E, 3, FALSE)</f>
        <v>40</v>
      </c>
      <c r="O169" s="93" t="str">
        <f>VLOOKUP(E169, Sales_Reps!A:C, 3, FALSE)</f>
        <v>South</v>
      </c>
      <c r="P169">
        <f>VLOOKUP(D169, Products!A:E, 4, FALSE)</f>
        <v>302</v>
      </c>
      <c r="Q169">
        <f>IF(COUNTIF($A$2:A169, A169)=2, 1, 0)</f>
        <v>0</v>
      </c>
      <c r="R169">
        <f>IF(ISNA(MATCH(C169, Customers!$A:$A, 0)), 1, 0)</f>
        <v>0</v>
      </c>
      <c r="S169" s="94" t="b">
        <f>VLOOKUP(D169, Products!A:F, 6, FALSE)</f>
        <v>0</v>
      </c>
    </row>
    <row r="170" spans="1:19">
      <c r="A170" s="102" t="s">
        <v>477</v>
      </c>
      <c r="B170" s="2">
        <v>45601</v>
      </c>
      <c r="C170" s="1" t="s">
        <v>150</v>
      </c>
      <c r="D170" s="1" t="s">
        <v>364</v>
      </c>
      <c r="E170" s="1" t="s">
        <v>86</v>
      </c>
      <c r="F170" s="83">
        <v>6</v>
      </c>
      <c r="G170" s="92">
        <v>5330</v>
      </c>
      <c r="H170" s="3">
        <v>17.899999999999999</v>
      </c>
      <c r="I170" s="3">
        <v>26255.58</v>
      </c>
      <c r="J170" s="1" t="s">
        <v>87</v>
      </c>
      <c r="K170" s="1" t="s">
        <v>88</v>
      </c>
      <c r="L170" t="str">
        <f>VLOOKUP(D170, Products!A:C, 3, FALSE)</f>
        <v>Electronics</v>
      </c>
      <c r="M170" t="str">
        <f>VLOOKUP(C170, Customers!A:E, 5, FALSE)</f>
        <v>Retail</v>
      </c>
      <c r="N170">
        <f>VLOOKUP(C170, Customers!A:E, 3, FALSE)</f>
        <v>63</v>
      </c>
      <c r="O170" s="93" t="str">
        <f>VLOOKUP(E170, Sales_Reps!A:C, 3, FALSE)</f>
        <v>North</v>
      </c>
      <c r="P170">
        <f>VLOOKUP(D170, Products!A:E, 4, FALSE)</f>
        <v>2405</v>
      </c>
      <c r="Q170">
        <f>IF(COUNTIF($A$2:A170, A170)=2, 1, 0)</f>
        <v>0</v>
      </c>
      <c r="R170">
        <f>IF(ISNA(MATCH(C170, Customers!$A:$A, 0)), 1, 0)</f>
        <v>0</v>
      </c>
      <c r="S170" s="94" t="b">
        <f>VLOOKUP(D170, Products!A:F, 6, FALSE)</f>
        <v>1</v>
      </c>
    </row>
    <row r="171" spans="1:19">
      <c r="A171" s="102" t="s">
        <v>478</v>
      </c>
      <c r="B171" s="2">
        <v>45294</v>
      </c>
      <c r="C171" s="1" t="s">
        <v>479</v>
      </c>
      <c r="D171" s="1" t="s">
        <v>241</v>
      </c>
      <c r="E171" s="1" t="s">
        <v>297</v>
      </c>
      <c r="F171" s="83">
        <v>1</v>
      </c>
      <c r="G171" s="92">
        <v>6080</v>
      </c>
      <c r="H171" s="3">
        <v>25.5</v>
      </c>
      <c r="I171" s="3">
        <v>4529.6000000000004</v>
      </c>
      <c r="J171" s="1" t="s">
        <v>87</v>
      </c>
      <c r="K171" s="1" t="s">
        <v>88</v>
      </c>
      <c r="L171" t="str">
        <f>VLOOKUP(D171, Products!A:C, 3, FALSE)</f>
        <v>Beauty</v>
      </c>
      <c r="M171" t="str">
        <f>VLOOKUP(C171, Customers!A:E, 5, FALSE)</f>
        <v>SMB</v>
      </c>
      <c r="N171">
        <f>VLOOKUP(C171, Customers!A:E, 3, FALSE)</f>
        <v>49</v>
      </c>
      <c r="O171" s="93" t="str">
        <f>VLOOKUP(E171, Sales_Reps!A:C, 3, FALSE)</f>
        <v>North</v>
      </c>
      <c r="P171">
        <f>VLOOKUP(D171, Products!A:E, 4, FALSE)</f>
        <v>2617</v>
      </c>
      <c r="Q171">
        <f>IF(COUNTIF($A$2:A171, A171)=2, 1, 0)</f>
        <v>0</v>
      </c>
      <c r="R171">
        <f>IF(ISNA(MATCH(C171, Customers!$A:$A, 0)), 1, 0)</f>
        <v>0</v>
      </c>
      <c r="S171" s="94" t="b">
        <f>VLOOKUP(D171, Products!A:F, 6, FALSE)</f>
        <v>1</v>
      </c>
    </row>
    <row r="172" spans="1:19">
      <c r="A172" s="102" t="s">
        <v>480</v>
      </c>
      <c r="B172" s="2">
        <v>45345</v>
      </c>
      <c r="C172" s="1" t="s">
        <v>261</v>
      </c>
      <c r="D172" s="1" t="s">
        <v>234</v>
      </c>
      <c r="E172" s="1" t="s">
        <v>285</v>
      </c>
      <c r="F172" s="83">
        <v>5</v>
      </c>
      <c r="G172" s="92">
        <v>3780</v>
      </c>
      <c r="H172" s="3">
        <v>28.6</v>
      </c>
      <c r="I172" s="3">
        <v>13494.6</v>
      </c>
      <c r="J172" s="1" t="s">
        <v>87</v>
      </c>
      <c r="K172" s="1" t="s">
        <v>99</v>
      </c>
      <c r="L172" t="str">
        <f>VLOOKUP(D172, Products!A:C, 3, FALSE)</f>
        <v>Grocery</v>
      </c>
      <c r="M172" t="str">
        <f>VLOOKUP(C172, Customers!A:E, 5, FALSE)</f>
        <v>Retail</v>
      </c>
      <c r="N172">
        <f>VLOOKUP(C172, Customers!A:E, 3, FALSE)</f>
        <v>54</v>
      </c>
      <c r="O172" s="93" t="str">
        <f>VLOOKUP(E172, Sales_Reps!A:C, 3, FALSE)</f>
        <v>East</v>
      </c>
      <c r="P172">
        <f>VLOOKUP(D172, Products!A:E, 4, FALSE)</f>
        <v>2436</v>
      </c>
      <c r="Q172">
        <f>IF(COUNTIF($A$2:A172, A172)=2, 1, 0)</f>
        <v>0</v>
      </c>
      <c r="R172">
        <f>IF(ISNA(MATCH(C172, Customers!$A:$A, 0)), 1, 0)</f>
        <v>0</v>
      </c>
      <c r="S172" s="94" t="b">
        <f>VLOOKUP(D172, Products!A:F, 6, FALSE)</f>
        <v>1</v>
      </c>
    </row>
    <row r="173" spans="1:19">
      <c r="A173" s="102" t="s">
        <v>481</v>
      </c>
      <c r="B173" s="2">
        <v>45391</v>
      </c>
      <c r="C173" s="1" t="s">
        <v>482</v>
      </c>
      <c r="D173" s="1" t="s">
        <v>292</v>
      </c>
      <c r="E173" s="1" t="s">
        <v>132</v>
      </c>
      <c r="F173" s="83">
        <v>5</v>
      </c>
      <c r="G173" s="92">
        <v>620</v>
      </c>
      <c r="H173" s="3">
        <v>6.9</v>
      </c>
      <c r="I173" s="3">
        <v>2886.1</v>
      </c>
      <c r="J173" s="1" t="s">
        <v>140</v>
      </c>
      <c r="K173" s="1" t="s">
        <v>133</v>
      </c>
      <c r="L173" t="str">
        <f>VLOOKUP(D173, Products!A:C, 3, FALSE)</f>
        <v>Apparel</v>
      </c>
      <c r="M173" t="str">
        <f>VLOOKUP(C173, Customers!A:E, 5, FALSE)</f>
        <v>Corporate</v>
      </c>
      <c r="N173">
        <f>VLOOKUP(C173, Customers!A:E, 3, FALSE)</f>
        <v>52</v>
      </c>
      <c r="O173" s="93" t="str">
        <f>VLOOKUP(E173, Sales_Reps!A:C, 3, FALSE)</f>
        <v>South</v>
      </c>
      <c r="P173">
        <f>VLOOKUP(D173, Products!A:E, 4, FALSE)</f>
        <v>396</v>
      </c>
      <c r="Q173">
        <f>IF(COUNTIF($A$2:A173, A173)=2, 1, 0)</f>
        <v>0</v>
      </c>
      <c r="R173">
        <f>IF(ISNA(MATCH(C173, Customers!$A:$A, 0)), 1, 0)</f>
        <v>0</v>
      </c>
      <c r="S173" s="94" t="b">
        <f>VLOOKUP(D173, Products!A:F, 6, FALSE)</f>
        <v>1</v>
      </c>
    </row>
    <row r="174" spans="1:19">
      <c r="A174" s="102" t="s">
        <v>483</v>
      </c>
      <c r="B174" s="2">
        <v>45419</v>
      </c>
      <c r="C174" s="1" t="s">
        <v>427</v>
      </c>
      <c r="D174" s="1" t="s">
        <v>355</v>
      </c>
      <c r="E174" s="1" t="s">
        <v>343</v>
      </c>
      <c r="F174" s="83">
        <v>8</v>
      </c>
      <c r="G174" s="92">
        <v>2510</v>
      </c>
      <c r="H174" s="3">
        <v>0.7</v>
      </c>
      <c r="I174" s="3">
        <v>19939.439999999999</v>
      </c>
      <c r="J174" s="1" t="s">
        <v>87</v>
      </c>
      <c r="K174" s="1" t="s">
        <v>88</v>
      </c>
      <c r="L174" t="str">
        <f>VLOOKUP(D174, Products!A:C, 3, FALSE)</f>
        <v>Apparel</v>
      </c>
      <c r="M174" t="str">
        <f>VLOOKUP(C174, Customers!A:E, 5, FALSE)</f>
        <v>Corporate</v>
      </c>
      <c r="N174">
        <f>VLOOKUP(C174, Customers!A:E, 3, FALSE)</f>
        <v>48</v>
      </c>
      <c r="O174" s="93" t="str">
        <f>VLOOKUP(E174, Sales_Reps!A:C, 3, FALSE)</f>
        <v>West</v>
      </c>
      <c r="P174">
        <f>VLOOKUP(D174, Products!A:E, 4, FALSE)</f>
        <v>1075</v>
      </c>
      <c r="Q174">
        <f>IF(COUNTIF($A$2:A174, A174)=2, 1, 0)</f>
        <v>0</v>
      </c>
      <c r="R174">
        <f>IF(ISNA(MATCH(C174, Customers!$A:$A, 0)), 1, 0)</f>
        <v>0</v>
      </c>
      <c r="S174" s="94" t="b">
        <f>VLOOKUP(D174, Products!A:F, 6, FALSE)</f>
        <v>0</v>
      </c>
    </row>
    <row r="175" spans="1:19">
      <c r="A175" s="102" t="s">
        <v>484</v>
      </c>
      <c r="B175" s="2">
        <v>45306</v>
      </c>
      <c r="C175" s="1" t="s">
        <v>485</v>
      </c>
      <c r="D175" s="1" t="s">
        <v>173</v>
      </c>
      <c r="E175" s="1" t="s">
        <v>192</v>
      </c>
      <c r="F175" s="83">
        <v>1</v>
      </c>
      <c r="G175" s="92">
        <v>2720</v>
      </c>
      <c r="H175" s="3">
        <v>13.7</v>
      </c>
      <c r="I175" s="3">
        <v>2347.36</v>
      </c>
      <c r="J175" s="1" t="s">
        <v>87</v>
      </c>
      <c r="K175" s="1" t="s">
        <v>88</v>
      </c>
      <c r="L175" t="str">
        <f>VLOOKUP(D175, Products!A:C, 3, FALSE)</f>
        <v>Apparel</v>
      </c>
      <c r="M175" t="str">
        <f>VLOOKUP(C175, Customers!A:E, 5, FALSE)</f>
        <v>Retail</v>
      </c>
      <c r="N175">
        <f>VLOOKUP(C175, Customers!A:E, 3, FALSE)</f>
        <v>49</v>
      </c>
      <c r="O175" s="93" t="str">
        <f>VLOOKUP(E175, Sales_Reps!A:C, 3, FALSE)</f>
        <v>East</v>
      </c>
      <c r="P175">
        <f>VLOOKUP(D175, Products!A:E, 4, FALSE)</f>
        <v>1962</v>
      </c>
      <c r="Q175">
        <f>IF(COUNTIF($A$2:A175, A175)=2, 1, 0)</f>
        <v>0</v>
      </c>
      <c r="R175">
        <f>IF(ISNA(MATCH(C175, Customers!$A:$A, 0)), 1, 0)</f>
        <v>0</v>
      </c>
      <c r="S175" s="94" t="b">
        <f>VLOOKUP(D175, Products!A:F, 6, FALSE)</f>
        <v>1</v>
      </c>
    </row>
    <row r="176" spans="1:19">
      <c r="A176" s="102" t="s">
        <v>486</v>
      </c>
      <c r="B176" s="2">
        <v>45546</v>
      </c>
      <c r="C176" s="1" t="s">
        <v>487</v>
      </c>
      <c r="D176" s="1" t="s">
        <v>97</v>
      </c>
      <c r="E176" s="1" t="s">
        <v>303</v>
      </c>
      <c r="F176" s="83">
        <v>9</v>
      </c>
      <c r="G176" s="92">
        <v>470</v>
      </c>
      <c r="H176" s="3">
        <v>23.6</v>
      </c>
      <c r="I176" s="3">
        <v>3231.72</v>
      </c>
      <c r="J176" s="1" t="s">
        <v>87</v>
      </c>
      <c r="K176" s="1" t="s">
        <v>88</v>
      </c>
      <c r="L176" t="str">
        <f>VLOOKUP(D176, Products!A:C, 3, FALSE)</f>
        <v>Sports</v>
      </c>
      <c r="M176" t="str">
        <f>VLOOKUP(C176, Customers!A:E, 5, FALSE)</f>
        <v>Corporate</v>
      </c>
      <c r="N176">
        <f>VLOOKUP(C176, Customers!A:E, 3, FALSE)</f>
        <v>29</v>
      </c>
      <c r="O176" s="93" t="str">
        <f>VLOOKUP(E176, Sales_Reps!A:C, 3, FALSE)</f>
        <v>East</v>
      </c>
      <c r="P176">
        <f>VLOOKUP(D176, Products!A:E, 4, FALSE)</f>
        <v>302</v>
      </c>
      <c r="Q176">
        <f>IF(COUNTIF($A$2:A176, A176)=2, 1, 0)</f>
        <v>0</v>
      </c>
      <c r="R176">
        <f>IF(ISNA(MATCH(C176, Customers!$A:$A, 0)), 1, 0)</f>
        <v>0</v>
      </c>
      <c r="S176" s="94" t="b">
        <f>VLOOKUP(D176, Products!A:F, 6, FALSE)</f>
        <v>0</v>
      </c>
    </row>
    <row r="177" spans="1:19">
      <c r="A177" s="102" t="s">
        <v>488</v>
      </c>
      <c r="B177" s="2">
        <v>45633</v>
      </c>
      <c r="C177" s="1" t="s">
        <v>312</v>
      </c>
      <c r="D177" s="1" t="s">
        <v>143</v>
      </c>
      <c r="E177" s="1" t="s">
        <v>303</v>
      </c>
      <c r="F177" s="83">
        <v>10</v>
      </c>
      <c r="G177" s="92">
        <v>3250</v>
      </c>
      <c r="H177" s="3">
        <v>21</v>
      </c>
      <c r="I177" s="3">
        <v>25675</v>
      </c>
      <c r="J177" s="1" t="s">
        <v>140</v>
      </c>
      <c r="K177" s="1" t="s">
        <v>133</v>
      </c>
      <c r="L177" t="str">
        <f>VLOOKUP(D177, Products!A:C, 3, FALSE)</f>
        <v>Home</v>
      </c>
      <c r="M177" t="str">
        <f>VLOOKUP(C177, Customers!A:E, 5, FALSE)</f>
        <v>Retail</v>
      </c>
      <c r="N177">
        <f>VLOOKUP(C177, Customers!A:E, 3, FALSE)</f>
        <v>46</v>
      </c>
      <c r="O177" s="93" t="str">
        <f>VLOOKUP(E177, Sales_Reps!A:C, 3, FALSE)</f>
        <v>East</v>
      </c>
      <c r="P177">
        <f>VLOOKUP(D177, Products!A:E, 4, FALSE)</f>
        <v>1556</v>
      </c>
      <c r="Q177">
        <f>IF(COUNTIF($A$2:A177, A177)=2, 1, 0)</f>
        <v>0</v>
      </c>
      <c r="R177">
        <f>IF(ISNA(MATCH(C177, Customers!$A:$A, 0)), 1, 0)</f>
        <v>0</v>
      </c>
      <c r="S177" s="94" t="b">
        <f>VLOOKUP(D177, Products!A:F, 6, FALSE)</f>
        <v>1</v>
      </c>
    </row>
    <row r="178" spans="1:19">
      <c r="A178" s="102" t="s">
        <v>489</v>
      </c>
      <c r="B178" s="2">
        <v>45649</v>
      </c>
      <c r="C178" s="1" t="s">
        <v>490</v>
      </c>
      <c r="D178" s="1" t="s">
        <v>443</v>
      </c>
      <c r="E178" s="1" t="s">
        <v>128</v>
      </c>
      <c r="F178" s="83">
        <v>6</v>
      </c>
      <c r="G178" s="92">
        <v>5080</v>
      </c>
      <c r="H178" s="3">
        <v>16.8</v>
      </c>
      <c r="I178" s="3">
        <v>25359.360000000001</v>
      </c>
      <c r="J178" s="1" t="s">
        <v>93</v>
      </c>
      <c r="K178" s="1" t="s">
        <v>99</v>
      </c>
      <c r="L178" t="str">
        <f>VLOOKUP(D178, Products!A:C, 3, FALSE)</f>
        <v>Home</v>
      </c>
      <c r="M178" t="str">
        <f>VLOOKUP(C178, Customers!A:E, 5, FALSE)</f>
        <v>Retail</v>
      </c>
      <c r="N178">
        <f>VLOOKUP(C178, Customers!A:E, 3, FALSE)</f>
        <v>59</v>
      </c>
      <c r="O178" s="93" t="str">
        <f>VLOOKUP(E178, Sales_Reps!A:C, 3, FALSE)</f>
        <v>West</v>
      </c>
      <c r="P178">
        <f>VLOOKUP(D178, Products!A:E, 4, FALSE)</f>
        <v>2459</v>
      </c>
      <c r="Q178">
        <f>IF(COUNTIF($A$2:A178, A178)=2, 1, 0)</f>
        <v>0</v>
      </c>
      <c r="R178">
        <f>IF(ISNA(MATCH(C178, Customers!$A:$A, 0)), 1, 0)</f>
        <v>0</v>
      </c>
      <c r="S178" s="94" t="b">
        <f>VLOOKUP(D178, Products!A:F, 6, FALSE)</f>
        <v>1</v>
      </c>
    </row>
    <row r="179" spans="1:19">
      <c r="A179" s="102" t="s">
        <v>491</v>
      </c>
      <c r="B179" s="2">
        <v>45312</v>
      </c>
      <c r="C179" s="1" t="s">
        <v>442</v>
      </c>
      <c r="D179" s="1" t="s">
        <v>187</v>
      </c>
      <c r="E179" s="1" t="s">
        <v>325</v>
      </c>
      <c r="F179" s="83">
        <v>2</v>
      </c>
      <c r="G179" s="92">
        <v>3570</v>
      </c>
      <c r="H179" s="3">
        <v>6.7</v>
      </c>
      <c r="I179" s="3">
        <v>6661.62</v>
      </c>
      <c r="J179" s="1" t="s">
        <v>140</v>
      </c>
      <c r="K179" s="1" t="s">
        <v>88</v>
      </c>
      <c r="L179" t="str">
        <f>VLOOKUP(D179, Products!A:C, 3, FALSE)</f>
        <v>Electronics</v>
      </c>
      <c r="M179" t="str">
        <f>VLOOKUP(C179, Customers!A:E, 5, FALSE)</f>
        <v>Retail</v>
      </c>
      <c r="N179">
        <f>VLOOKUP(C179, Customers!A:E, 3, FALSE)</f>
        <v>65</v>
      </c>
      <c r="O179" s="93" t="str">
        <f>VLOOKUP(E179, Sales_Reps!A:C, 3, FALSE)</f>
        <v>South</v>
      </c>
      <c r="P179">
        <f>VLOOKUP(D179, Products!A:E, 4, FALSE)</f>
        <v>1665</v>
      </c>
      <c r="Q179">
        <f>IF(COUNTIF($A$2:A179, A179)=2, 1, 0)</f>
        <v>0</v>
      </c>
      <c r="R179">
        <f>IF(ISNA(MATCH(C179, Customers!$A:$A, 0)), 1, 0)</f>
        <v>0</v>
      </c>
      <c r="S179" s="94" t="b">
        <f>VLOOKUP(D179, Products!A:F, 6, FALSE)</f>
        <v>1</v>
      </c>
    </row>
    <row r="180" spans="1:19">
      <c r="A180" s="102" t="s">
        <v>492</v>
      </c>
      <c r="B180" s="2">
        <v>45382</v>
      </c>
      <c r="C180" s="1" t="s">
        <v>493</v>
      </c>
      <c r="D180" s="1" t="s">
        <v>237</v>
      </c>
      <c r="E180" s="1" t="s">
        <v>325</v>
      </c>
      <c r="F180" s="83">
        <v>4</v>
      </c>
      <c r="G180" s="92">
        <v>3640</v>
      </c>
      <c r="H180" s="3">
        <v>18.399999999999999</v>
      </c>
      <c r="I180" s="3">
        <v>11880.96</v>
      </c>
      <c r="J180" s="1" t="s">
        <v>87</v>
      </c>
      <c r="K180" s="1" t="s">
        <v>88</v>
      </c>
      <c r="L180" t="str">
        <f>VLOOKUP(D180, Products!A:C, 3, FALSE)</f>
        <v>Apparel</v>
      </c>
      <c r="M180" t="str">
        <f>VLOOKUP(C180, Customers!A:E, 5, FALSE)</f>
        <v>Retail</v>
      </c>
      <c r="N180">
        <f>VLOOKUP(C180, Customers!A:E, 3, FALSE)</f>
        <v>57</v>
      </c>
      <c r="O180" s="93" t="str">
        <f>VLOOKUP(E180, Sales_Reps!A:C, 3, FALSE)</f>
        <v>South</v>
      </c>
      <c r="P180">
        <f>VLOOKUP(D180, Products!A:E, 4, FALSE)</f>
        <v>2611</v>
      </c>
      <c r="Q180">
        <f>IF(COUNTIF($A$2:A180, A180)=2, 1, 0)</f>
        <v>0</v>
      </c>
      <c r="R180">
        <f>IF(ISNA(MATCH(C180, Customers!$A:$A, 0)), 1, 0)</f>
        <v>0</v>
      </c>
      <c r="S180" s="94" t="b">
        <f>VLOOKUP(D180, Products!A:F, 6, FALSE)</f>
        <v>1</v>
      </c>
    </row>
    <row r="181" spans="1:19">
      <c r="A181" s="102" t="s">
        <v>494</v>
      </c>
      <c r="B181" s="2">
        <v>45524</v>
      </c>
      <c r="C181" s="1" t="s">
        <v>150</v>
      </c>
      <c r="D181" s="1" t="s">
        <v>264</v>
      </c>
      <c r="E181" s="1" t="s">
        <v>215</v>
      </c>
      <c r="F181" s="83">
        <v>8</v>
      </c>
      <c r="G181" s="92">
        <v>4070</v>
      </c>
      <c r="H181" s="3">
        <v>6.6</v>
      </c>
      <c r="I181" s="3">
        <v>30411.040000000001</v>
      </c>
      <c r="J181" s="1" t="s">
        <v>87</v>
      </c>
      <c r="K181" s="1" t="s">
        <v>88</v>
      </c>
      <c r="L181" t="str">
        <f>VLOOKUP(D181, Products!A:C, 3, FALSE)</f>
        <v>Grocery</v>
      </c>
      <c r="M181" t="str">
        <f>VLOOKUP(C181, Customers!A:E, 5, FALSE)</f>
        <v>Retail</v>
      </c>
      <c r="N181">
        <f>VLOOKUP(C181, Customers!A:E, 3, FALSE)</f>
        <v>63</v>
      </c>
      <c r="O181" s="93" t="str">
        <f>VLOOKUP(E181, Sales_Reps!A:C, 3, FALSE)</f>
        <v>North</v>
      </c>
      <c r="P181">
        <f>VLOOKUP(D181, Products!A:E, 4, FALSE)</f>
        <v>2027</v>
      </c>
      <c r="Q181">
        <f>IF(COUNTIF($A$2:A181, A181)=2, 1, 0)</f>
        <v>0</v>
      </c>
      <c r="R181">
        <f>IF(ISNA(MATCH(C181, Customers!$A:$A, 0)), 1, 0)</f>
        <v>0</v>
      </c>
      <c r="S181" s="94" t="b">
        <f>VLOOKUP(D181, Products!A:F, 6, FALSE)</f>
        <v>1</v>
      </c>
    </row>
    <row r="182" spans="1:19">
      <c r="A182" s="102" t="s">
        <v>495</v>
      </c>
      <c r="B182" s="2">
        <v>45392</v>
      </c>
      <c r="C182" s="1" t="s">
        <v>169</v>
      </c>
      <c r="D182" s="1" t="s">
        <v>452</v>
      </c>
      <c r="E182" s="1" t="s">
        <v>325</v>
      </c>
      <c r="F182" s="83">
        <v>6</v>
      </c>
      <c r="G182" s="92">
        <v>3450</v>
      </c>
      <c r="H182" s="3">
        <v>14.4</v>
      </c>
      <c r="I182" s="3">
        <v>17719.2</v>
      </c>
      <c r="J182" s="1" t="s">
        <v>93</v>
      </c>
      <c r="K182" s="1" t="s">
        <v>112</v>
      </c>
      <c r="L182" t="str">
        <f>VLOOKUP(D182, Products!A:C, 3, FALSE)</f>
        <v>Apparel</v>
      </c>
      <c r="M182" t="str">
        <f>VLOOKUP(C182, Customers!A:E, 5, FALSE)</f>
        <v>Retail</v>
      </c>
      <c r="N182">
        <f>VLOOKUP(C182, Customers!A:E, 3, FALSE)</f>
        <v>34</v>
      </c>
      <c r="O182" s="93" t="str">
        <f>VLOOKUP(E182, Sales_Reps!A:C, 3, FALSE)</f>
        <v>South</v>
      </c>
      <c r="P182">
        <f>VLOOKUP(D182, Products!A:E, 4, FALSE)</f>
        <v>1748</v>
      </c>
      <c r="Q182">
        <f>IF(COUNTIF($A$2:A182, A182)=2, 1, 0)</f>
        <v>0</v>
      </c>
      <c r="R182">
        <f>IF(ISNA(MATCH(C182, Customers!$A:$A, 0)), 1, 0)</f>
        <v>0</v>
      </c>
      <c r="S182" s="94" t="b">
        <f>VLOOKUP(D182, Products!A:F, 6, FALSE)</f>
        <v>1</v>
      </c>
    </row>
    <row r="183" spans="1:19">
      <c r="A183" s="102" t="s">
        <v>496</v>
      </c>
      <c r="B183" s="2">
        <v>45443</v>
      </c>
      <c r="C183" s="1" t="s">
        <v>130</v>
      </c>
      <c r="D183" s="1" t="s">
        <v>443</v>
      </c>
      <c r="E183" s="1" t="s">
        <v>229</v>
      </c>
      <c r="F183" s="83">
        <v>7</v>
      </c>
      <c r="G183" s="92">
        <v>5080</v>
      </c>
      <c r="H183" s="3">
        <v>25.4</v>
      </c>
      <c r="I183" s="3">
        <v>26527.759999999998</v>
      </c>
      <c r="J183" s="1" t="s">
        <v>93</v>
      </c>
      <c r="K183" s="1" t="s">
        <v>133</v>
      </c>
      <c r="L183" t="str">
        <f>VLOOKUP(D183, Products!A:C, 3, FALSE)</f>
        <v>Home</v>
      </c>
      <c r="M183" t="str">
        <f>VLOOKUP(C183, Customers!A:E, 5, FALSE)</f>
        <v>Retail</v>
      </c>
      <c r="N183">
        <f>VLOOKUP(C183, Customers!A:E, 3, FALSE)</f>
        <v>60</v>
      </c>
      <c r="O183" s="93" t="str">
        <f>VLOOKUP(E183, Sales_Reps!A:C, 3, FALSE)</f>
        <v>West</v>
      </c>
      <c r="P183">
        <f>VLOOKUP(D183, Products!A:E, 4, FALSE)</f>
        <v>2459</v>
      </c>
      <c r="Q183">
        <f>IF(COUNTIF($A$2:A183, A183)=2, 1, 0)</f>
        <v>0</v>
      </c>
      <c r="R183">
        <f>IF(ISNA(MATCH(C183, Customers!$A:$A, 0)), 1, 0)</f>
        <v>0</v>
      </c>
      <c r="S183" s="94" t="b">
        <f>VLOOKUP(D183, Products!A:F, 6, FALSE)</f>
        <v>1</v>
      </c>
    </row>
    <row r="184" spans="1:19">
      <c r="A184" s="102" t="s">
        <v>497</v>
      </c>
      <c r="B184" s="2">
        <v>45333</v>
      </c>
      <c r="C184" s="1" t="s">
        <v>324</v>
      </c>
      <c r="D184" s="1" t="s">
        <v>200</v>
      </c>
      <c r="E184" s="1" t="s">
        <v>128</v>
      </c>
      <c r="F184" s="83">
        <v>10</v>
      </c>
      <c r="G184" s="92">
        <v>2760</v>
      </c>
      <c r="H184" s="3">
        <v>20.100000000000001</v>
      </c>
      <c r="I184" s="3">
        <v>22052.400000000001</v>
      </c>
      <c r="J184" s="1" t="s">
        <v>87</v>
      </c>
      <c r="K184" s="1" t="s">
        <v>133</v>
      </c>
      <c r="L184" t="str">
        <f>VLOOKUP(D184, Products!A:C, 3, FALSE)</f>
        <v>Grocery</v>
      </c>
      <c r="M184" t="str">
        <f>VLOOKUP(C184, Customers!A:E, 5, FALSE)</f>
        <v>Retail</v>
      </c>
      <c r="N184">
        <f>VLOOKUP(C184, Customers!A:E, 3, FALSE)</f>
        <v>28</v>
      </c>
      <c r="O184" s="93" t="str">
        <f>VLOOKUP(E184, Sales_Reps!A:C, 3, FALSE)</f>
        <v>West</v>
      </c>
      <c r="P184">
        <f>VLOOKUP(D184, Products!A:E, 4, FALSE)</f>
        <v>1435</v>
      </c>
      <c r="Q184">
        <f>IF(COUNTIF($A$2:A184, A184)=2, 1, 0)</f>
        <v>0</v>
      </c>
      <c r="R184">
        <f>IF(ISNA(MATCH(C184, Customers!$A:$A, 0)), 1, 0)</f>
        <v>0</v>
      </c>
      <c r="S184" s="94" t="b">
        <f>VLOOKUP(D184, Products!A:F, 6, FALSE)</f>
        <v>1</v>
      </c>
    </row>
    <row r="185" spans="1:19">
      <c r="A185" s="102" t="s">
        <v>498</v>
      </c>
      <c r="B185" s="2">
        <v>45456</v>
      </c>
      <c r="C185" s="1" t="s">
        <v>411</v>
      </c>
      <c r="D185" s="1" t="s">
        <v>176</v>
      </c>
      <c r="E185" s="1" t="s">
        <v>346</v>
      </c>
      <c r="F185" s="83">
        <v>6</v>
      </c>
      <c r="G185" s="92">
        <v>1650</v>
      </c>
      <c r="H185" s="3">
        <v>11.3</v>
      </c>
      <c r="I185" s="3">
        <v>8781.2999999999993</v>
      </c>
      <c r="J185" s="1" t="s">
        <v>93</v>
      </c>
      <c r="K185" s="1" t="s">
        <v>112</v>
      </c>
      <c r="L185" t="str">
        <f>VLOOKUP(D185, Products!A:C, 3, FALSE)</f>
        <v>Beauty</v>
      </c>
      <c r="M185" t="str">
        <f>VLOOKUP(C185, Customers!A:E, 5, FALSE)</f>
        <v>Retail</v>
      </c>
      <c r="N185">
        <f>VLOOKUP(C185, Customers!A:E, 3, FALSE)</f>
        <v>61</v>
      </c>
      <c r="O185" s="93" t="str">
        <f>VLOOKUP(E185, Sales_Reps!A:C, 3, FALSE)</f>
        <v>South</v>
      </c>
      <c r="P185">
        <f>VLOOKUP(D185, Products!A:E, 4, FALSE)</f>
        <v>1222</v>
      </c>
      <c r="Q185">
        <f>IF(COUNTIF($A$2:A185, A185)=2, 1, 0)</f>
        <v>0</v>
      </c>
      <c r="R185">
        <f>IF(ISNA(MATCH(C185, Customers!$A:$A, 0)), 1, 0)</f>
        <v>0</v>
      </c>
      <c r="S185" s="94" t="b">
        <f>VLOOKUP(D185, Products!A:F, 6, FALSE)</f>
        <v>1</v>
      </c>
    </row>
    <row r="186" spans="1:19">
      <c r="A186" s="102" t="s">
        <v>499</v>
      </c>
      <c r="B186" s="2">
        <v>45295</v>
      </c>
      <c r="C186" s="1" t="s">
        <v>294</v>
      </c>
      <c r="D186" s="1" t="s">
        <v>248</v>
      </c>
      <c r="E186" s="1" t="s">
        <v>86</v>
      </c>
      <c r="F186" s="83">
        <v>9</v>
      </c>
      <c r="G186" s="92">
        <v>3870</v>
      </c>
      <c r="H186" s="3">
        <v>27.5</v>
      </c>
      <c r="I186" s="3">
        <v>25251.75</v>
      </c>
      <c r="J186" s="1" t="s">
        <v>87</v>
      </c>
      <c r="K186" s="1" t="s">
        <v>133</v>
      </c>
      <c r="L186" t="str">
        <f>VLOOKUP(D186, Products!A:C, 3, FALSE)</f>
        <v>Electronics</v>
      </c>
      <c r="M186" t="str">
        <f>VLOOKUP(C186, Customers!A:E, 5, FALSE)</f>
        <v>SMB</v>
      </c>
      <c r="N186">
        <f>VLOOKUP(C186, Customers!A:E, 3, FALSE)</f>
        <v>43</v>
      </c>
      <c r="O186" s="93" t="str">
        <f>VLOOKUP(E186, Sales_Reps!A:C, 3, FALSE)</f>
        <v>North</v>
      </c>
      <c r="P186">
        <f>VLOOKUP(D186, Products!A:E, 4, FALSE)</f>
        <v>1559</v>
      </c>
      <c r="Q186">
        <f>IF(COUNTIF($A$2:A186, A186)=2, 1, 0)</f>
        <v>0</v>
      </c>
      <c r="R186">
        <f>IF(ISNA(MATCH(C186, Customers!$A:$A, 0)), 1, 0)</f>
        <v>0</v>
      </c>
      <c r="S186" s="94" t="b">
        <f>VLOOKUP(D186, Products!A:F, 6, FALSE)</f>
        <v>1</v>
      </c>
    </row>
    <row r="187" spans="1:19">
      <c r="A187" s="102" t="s">
        <v>500</v>
      </c>
      <c r="B187" s="2">
        <v>45532</v>
      </c>
      <c r="C187" s="1" t="s">
        <v>501</v>
      </c>
      <c r="D187" s="1" t="s">
        <v>502</v>
      </c>
      <c r="E187" s="1" t="s">
        <v>285</v>
      </c>
      <c r="F187" s="83">
        <v>2</v>
      </c>
      <c r="G187" s="92">
        <v>1090</v>
      </c>
      <c r="H187" s="3">
        <v>18.7</v>
      </c>
      <c r="I187" s="3">
        <v>1772.34</v>
      </c>
      <c r="J187" s="1" t="s">
        <v>144</v>
      </c>
      <c r="K187" s="1" t="s">
        <v>133</v>
      </c>
      <c r="L187" t="str">
        <f>VLOOKUP(D187, Products!A:C, 3, FALSE)</f>
        <v>Home</v>
      </c>
      <c r="M187" t="str">
        <f>VLOOKUP(C187, Customers!A:E, 5, FALSE)</f>
        <v>SMB</v>
      </c>
      <c r="N187">
        <f>VLOOKUP(C187, Customers!A:E, 3, FALSE)</f>
        <v>65</v>
      </c>
      <c r="O187" s="93" t="str">
        <f>VLOOKUP(E187, Sales_Reps!A:C, 3, FALSE)</f>
        <v>East</v>
      </c>
      <c r="P187">
        <f>VLOOKUP(D187, Products!A:E, 4, FALSE)</f>
        <v>464</v>
      </c>
      <c r="Q187">
        <f>IF(COUNTIF($A$2:A187, A187)=2, 1, 0)</f>
        <v>0</v>
      </c>
      <c r="R187">
        <f>IF(ISNA(MATCH(C187, Customers!$A:$A, 0)), 1, 0)</f>
        <v>0</v>
      </c>
      <c r="S187" s="94" t="b">
        <f>VLOOKUP(D187, Products!A:F, 6, FALSE)</f>
        <v>1</v>
      </c>
    </row>
    <row r="188" spans="1:19">
      <c r="A188" s="102" t="s">
        <v>503</v>
      </c>
      <c r="B188" s="2">
        <v>45564</v>
      </c>
      <c r="C188" s="1" t="s">
        <v>504</v>
      </c>
      <c r="D188" s="1" t="s">
        <v>380</v>
      </c>
      <c r="E188" s="1" t="s">
        <v>111</v>
      </c>
      <c r="F188" s="83">
        <v>4</v>
      </c>
      <c r="G188" s="92">
        <v>960</v>
      </c>
      <c r="H188" s="3">
        <v>23.4</v>
      </c>
      <c r="I188" s="3">
        <v>2941.44</v>
      </c>
      <c r="J188" s="1" t="s">
        <v>87</v>
      </c>
      <c r="K188" s="1" t="s">
        <v>117</v>
      </c>
      <c r="L188" t="str">
        <f>VLOOKUP(D188, Products!A:C, 3, FALSE)</f>
        <v>Beauty</v>
      </c>
      <c r="M188" t="str">
        <f>VLOOKUP(C188, Customers!A:E, 5, FALSE)</f>
        <v>Corporate</v>
      </c>
      <c r="N188">
        <f>VLOOKUP(C188, Customers!A:E, 3, FALSE)</f>
        <v>36</v>
      </c>
      <c r="O188" s="93" t="str">
        <f>VLOOKUP(E188, Sales_Reps!A:C, 3, FALSE)</f>
        <v>West</v>
      </c>
      <c r="P188">
        <f>VLOOKUP(D188, Products!A:E, 4, FALSE)</f>
        <v>675</v>
      </c>
      <c r="Q188">
        <f>IF(COUNTIF($A$2:A188, A188)=2, 1, 0)</f>
        <v>0</v>
      </c>
      <c r="R188">
        <f>IF(ISNA(MATCH(C188, Customers!$A:$A, 0)), 1, 0)</f>
        <v>0</v>
      </c>
      <c r="S188" s="94" t="b">
        <f>VLOOKUP(D188, Products!A:F, 6, FALSE)</f>
        <v>1</v>
      </c>
    </row>
    <row r="189" spans="1:19">
      <c r="A189" s="102" t="s">
        <v>505</v>
      </c>
      <c r="B189" s="2">
        <v>45539</v>
      </c>
      <c r="C189" s="1" t="s">
        <v>247</v>
      </c>
      <c r="D189" s="1" t="s">
        <v>179</v>
      </c>
      <c r="E189" s="1" t="s">
        <v>158</v>
      </c>
      <c r="F189" s="83">
        <v>3</v>
      </c>
      <c r="G189" s="92">
        <v>3350</v>
      </c>
      <c r="H189" s="3">
        <v>17.899999999999999</v>
      </c>
      <c r="I189" s="3">
        <v>8251.0499999999993</v>
      </c>
      <c r="J189" s="1" t="s">
        <v>87</v>
      </c>
      <c r="K189" s="1" t="s">
        <v>117</v>
      </c>
      <c r="L189" t="str">
        <f>VLOOKUP(D189, Products!A:C, 3, FALSE)</f>
        <v>Beauty</v>
      </c>
      <c r="M189" t="str">
        <f>VLOOKUP(C189, Customers!A:E, 5, FALSE)</f>
        <v>Retail</v>
      </c>
      <c r="N189">
        <f>VLOOKUP(C189, Customers!A:E, 3, FALSE)</f>
        <v>34</v>
      </c>
      <c r="O189" s="93" t="str">
        <f>VLOOKUP(E189, Sales_Reps!A:C, 3, FALSE)</f>
        <v>East</v>
      </c>
      <c r="P189">
        <f>VLOOKUP(D189, Products!A:E, 4, FALSE)</f>
        <v>1728</v>
      </c>
      <c r="Q189">
        <f>IF(COUNTIF($A$2:A189, A189)=2, 1, 0)</f>
        <v>0</v>
      </c>
      <c r="R189">
        <f>IF(ISNA(MATCH(C189, Customers!$A:$A, 0)), 1, 0)</f>
        <v>0</v>
      </c>
      <c r="S189" s="94" t="b">
        <f>VLOOKUP(D189, Products!A:F, 6, FALSE)</f>
        <v>1</v>
      </c>
    </row>
    <row r="190" spans="1:19">
      <c r="A190" s="102" t="s">
        <v>506</v>
      </c>
      <c r="B190" s="2">
        <v>45605</v>
      </c>
      <c r="C190" s="1" t="s">
        <v>507</v>
      </c>
      <c r="D190" s="1" t="s">
        <v>245</v>
      </c>
      <c r="E190" s="1" t="s">
        <v>92</v>
      </c>
      <c r="F190" s="83">
        <v>4</v>
      </c>
      <c r="G190" s="92">
        <v>2270</v>
      </c>
      <c r="H190" s="3">
        <v>29</v>
      </c>
      <c r="I190" s="3">
        <v>6446.8</v>
      </c>
      <c r="J190" s="1" t="s">
        <v>87</v>
      </c>
      <c r="K190" s="1" t="s">
        <v>88</v>
      </c>
      <c r="L190" t="str">
        <f>VLOOKUP(D190, Products!A:C, 3, FALSE)</f>
        <v>Grocery</v>
      </c>
      <c r="M190" t="str">
        <f>VLOOKUP(C190, Customers!A:E, 5, FALSE)</f>
        <v>Retail</v>
      </c>
      <c r="N190">
        <f>VLOOKUP(C190, Customers!A:E, 3, FALSE)</f>
        <v>59</v>
      </c>
      <c r="O190" s="93" t="str">
        <f>VLOOKUP(E190, Sales_Reps!A:C, 3, FALSE)</f>
        <v>North</v>
      </c>
      <c r="P190">
        <f>VLOOKUP(D190, Products!A:E, 4, FALSE)</f>
        <v>1412</v>
      </c>
      <c r="Q190">
        <f>IF(COUNTIF($A$2:A190, A190)=2, 1, 0)</f>
        <v>0</v>
      </c>
      <c r="R190">
        <f>IF(ISNA(MATCH(C190, Customers!$A:$A, 0)), 1, 0)</f>
        <v>0</v>
      </c>
      <c r="S190" s="94" t="b">
        <f>VLOOKUP(D190, Products!A:F, 6, FALSE)</f>
        <v>1</v>
      </c>
    </row>
    <row r="191" spans="1:19">
      <c r="A191" s="102" t="s">
        <v>508</v>
      </c>
      <c r="B191" s="2">
        <v>45460</v>
      </c>
      <c r="C191" s="1" t="s">
        <v>429</v>
      </c>
      <c r="D191" s="1" t="s">
        <v>270</v>
      </c>
      <c r="E191" s="1" t="s">
        <v>154</v>
      </c>
      <c r="F191" s="83">
        <v>9</v>
      </c>
      <c r="G191" s="92">
        <v>4610</v>
      </c>
      <c r="H191" s="3">
        <v>28.3</v>
      </c>
      <c r="I191" s="3">
        <v>29748.33</v>
      </c>
      <c r="J191" s="1" t="s">
        <v>93</v>
      </c>
      <c r="K191" s="1" t="s">
        <v>117</v>
      </c>
      <c r="L191" t="str">
        <f>VLOOKUP(D191, Products!A:C, 3, FALSE)</f>
        <v>Home</v>
      </c>
      <c r="M191" t="str">
        <f>VLOOKUP(C191, Customers!A:E, 5, FALSE)</f>
        <v>Retail</v>
      </c>
      <c r="N191">
        <f>VLOOKUP(C191, Customers!A:E, 3, FALSE)</f>
        <v>55</v>
      </c>
      <c r="O191" s="93" t="str">
        <f>VLOOKUP(E191, Sales_Reps!A:C, 3, FALSE)</f>
        <v>East</v>
      </c>
      <c r="P191">
        <f>VLOOKUP(D191, Products!A:E, 4, FALSE)</f>
        <v>1850</v>
      </c>
      <c r="Q191">
        <f>IF(COUNTIF($A$2:A191, A191)=2, 1, 0)</f>
        <v>0</v>
      </c>
      <c r="R191">
        <f>IF(ISNA(MATCH(C191, Customers!$A:$A, 0)), 1, 0)</f>
        <v>0</v>
      </c>
      <c r="S191" s="94" t="b">
        <f>VLOOKUP(D191, Products!A:F, 6, FALSE)</f>
        <v>1</v>
      </c>
    </row>
    <row r="192" spans="1:19">
      <c r="A192" s="102" t="s">
        <v>509</v>
      </c>
      <c r="B192" s="2">
        <v>45538</v>
      </c>
      <c r="C192" s="1" t="s">
        <v>510</v>
      </c>
      <c r="D192" s="1" t="s">
        <v>106</v>
      </c>
      <c r="E192" s="1" t="s">
        <v>204</v>
      </c>
      <c r="F192" s="83">
        <v>3</v>
      </c>
      <c r="G192" s="92">
        <v>3160</v>
      </c>
      <c r="H192" s="3">
        <v>7.3</v>
      </c>
      <c r="I192" s="3">
        <v>8787.9599999999991</v>
      </c>
      <c r="J192" s="1" t="s">
        <v>87</v>
      </c>
      <c r="K192" s="1" t="s">
        <v>117</v>
      </c>
      <c r="L192" t="str">
        <f>VLOOKUP(D192, Products!A:C, 3, FALSE)</f>
        <v>Apparel</v>
      </c>
      <c r="M192" t="str">
        <f>VLOOKUP(C192, Customers!A:E, 5, FALSE)</f>
        <v>SMB</v>
      </c>
      <c r="N192">
        <f>VLOOKUP(C192, Customers!A:E, 3, FALSE)</f>
        <v>26</v>
      </c>
      <c r="O192" s="93" t="str">
        <f>VLOOKUP(E192, Sales_Reps!A:C, 3, FALSE)</f>
        <v>South</v>
      </c>
      <c r="P192">
        <f>VLOOKUP(D192, Products!A:E, 4, FALSE)</f>
        <v>1886</v>
      </c>
      <c r="Q192">
        <f>IF(COUNTIF($A$2:A192, A192)=2, 1, 0)</f>
        <v>0</v>
      </c>
      <c r="R192">
        <f>IF(ISNA(MATCH(C192, Customers!$A:$A, 0)), 1, 0)</f>
        <v>0</v>
      </c>
      <c r="S192" s="94" t="b">
        <f>VLOOKUP(D192, Products!A:F, 6, FALSE)</f>
        <v>1</v>
      </c>
    </row>
    <row r="193" spans="1:19">
      <c r="A193" s="102" t="s">
        <v>511</v>
      </c>
      <c r="B193" s="2">
        <v>45573</v>
      </c>
      <c r="C193" s="1" t="s">
        <v>512</v>
      </c>
      <c r="D193" s="1" t="s">
        <v>245</v>
      </c>
      <c r="E193" s="1" t="s">
        <v>139</v>
      </c>
      <c r="F193" s="83">
        <v>8</v>
      </c>
      <c r="G193" s="92">
        <v>2270</v>
      </c>
      <c r="H193" s="3">
        <v>15.6</v>
      </c>
      <c r="I193" s="3">
        <v>15327.04</v>
      </c>
      <c r="J193" s="1" t="s">
        <v>87</v>
      </c>
      <c r="K193" s="1" t="s">
        <v>133</v>
      </c>
      <c r="L193" t="str">
        <f>VLOOKUP(D193, Products!A:C, 3, FALSE)</f>
        <v>Grocery</v>
      </c>
      <c r="M193" t="str">
        <f>VLOOKUP(C193, Customers!A:E, 5, FALSE)</f>
        <v>Retail</v>
      </c>
      <c r="N193">
        <f>VLOOKUP(C193, Customers!A:E, 3, FALSE)</f>
        <v>61</v>
      </c>
      <c r="O193" s="93" t="str">
        <f>VLOOKUP(E193, Sales_Reps!A:C, 3, FALSE)</f>
        <v>North</v>
      </c>
      <c r="P193">
        <f>VLOOKUP(D193, Products!A:E, 4, FALSE)</f>
        <v>1412</v>
      </c>
      <c r="Q193">
        <f>IF(COUNTIF($A$2:A193, A193)=2, 1, 0)</f>
        <v>0</v>
      </c>
      <c r="R193">
        <f>IF(ISNA(MATCH(C193, Customers!$A:$A, 0)), 1, 0)</f>
        <v>0</v>
      </c>
      <c r="S193" s="94" t="b">
        <f>VLOOKUP(D193, Products!A:F, 6, FALSE)</f>
        <v>1</v>
      </c>
    </row>
    <row r="194" spans="1:19">
      <c r="A194" s="102" t="s">
        <v>513</v>
      </c>
      <c r="B194" s="2">
        <v>45483</v>
      </c>
      <c r="C194" s="1" t="s">
        <v>126</v>
      </c>
      <c r="D194" s="1" t="s">
        <v>276</v>
      </c>
      <c r="E194" s="1" t="s">
        <v>128</v>
      </c>
      <c r="F194" s="83">
        <v>8</v>
      </c>
      <c r="G194" s="92">
        <v>3020</v>
      </c>
      <c r="H194" s="3">
        <v>16.3</v>
      </c>
      <c r="I194" s="3">
        <v>20221.919999999998</v>
      </c>
      <c r="J194" s="1" t="s">
        <v>140</v>
      </c>
      <c r="K194" s="1" t="s">
        <v>88</v>
      </c>
      <c r="L194" t="str">
        <f>VLOOKUP(D194, Products!A:C, 3, FALSE)</f>
        <v>Beauty</v>
      </c>
      <c r="M194" t="str">
        <f>VLOOKUP(C194, Customers!A:E, 5, FALSE)</f>
        <v>Retail</v>
      </c>
      <c r="N194">
        <f>VLOOKUP(C194, Customers!A:E, 3, FALSE)</f>
        <v>56</v>
      </c>
      <c r="O194" s="93" t="str">
        <f>VLOOKUP(E194, Sales_Reps!A:C, 3, FALSE)</f>
        <v>West</v>
      </c>
      <c r="P194">
        <f>VLOOKUP(D194, Products!A:E, 4, FALSE)</f>
        <v>1626</v>
      </c>
      <c r="Q194">
        <f>IF(COUNTIF($A$2:A194, A194)=2, 1, 0)</f>
        <v>0</v>
      </c>
      <c r="R194">
        <f>IF(ISNA(MATCH(C194, Customers!$A:$A, 0)), 1, 0)</f>
        <v>0</v>
      </c>
      <c r="S194" s="94" t="b">
        <f>VLOOKUP(D194, Products!A:F, 6, FALSE)</f>
        <v>1</v>
      </c>
    </row>
    <row r="195" spans="1:19">
      <c r="A195" s="102" t="s">
        <v>514</v>
      </c>
      <c r="B195" s="2">
        <v>45617</v>
      </c>
      <c r="C195" s="1" t="s">
        <v>153</v>
      </c>
      <c r="D195" s="1" t="s">
        <v>515</v>
      </c>
      <c r="E195" s="1" t="s">
        <v>170</v>
      </c>
      <c r="F195" s="83">
        <v>7</v>
      </c>
      <c r="G195" s="92">
        <v>6940</v>
      </c>
      <c r="H195" s="3">
        <v>8.5</v>
      </c>
      <c r="I195" s="3">
        <v>44450.7</v>
      </c>
      <c r="J195" s="1" t="s">
        <v>87</v>
      </c>
      <c r="K195" s="1" t="s">
        <v>117</v>
      </c>
      <c r="L195" t="str">
        <f>VLOOKUP(D195, Products!A:C, 3, FALSE)</f>
        <v>Sports</v>
      </c>
      <c r="M195" t="str">
        <f>VLOOKUP(C195, Customers!A:E, 5, FALSE)</f>
        <v>SMB</v>
      </c>
      <c r="N195">
        <f>VLOOKUP(C195, Customers!A:E, 3, FALSE)</f>
        <v>46</v>
      </c>
      <c r="O195" s="93" t="str">
        <f>VLOOKUP(E195, Sales_Reps!A:C, 3, FALSE)</f>
        <v>West</v>
      </c>
      <c r="P195">
        <f>VLOOKUP(D195, Products!A:E, 4, FALSE)</f>
        <v>2827</v>
      </c>
      <c r="Q195">
        <f>IF(COUNTIF($A$2:A195, A195)=2, 1, 0)</f>
        <v>0</v>
      </c>
      <c r="R195">
        <f>IF(ISNA(MATCH(C195, Customers!$A:$A, 0)), 1, 0)</f>
        <v>0</v>
      </c>
      <c r="S195" s="94" t="b">
        <f>VLOOKUP(D195, Products!A:F, 6, FALSE)</f>
        <v>1</v>
      </c>
    </row>
    <row r="196" spans="1:19">
      <c r="A196" s="102" t="s">
        <v>516</v>
      </c>
      <c r="B196" s="2">
        <v>45546</v>
      </c>
      <c r="C196" s="1" t="s">
        <v>487</v>
      </c>
      <c r="D196" s="1" t="s">
        <v>259</v>
      </c>
      <c r="E196" s="1" t="s">
        <v>325</v>
      </c>
      <c r="F196" s="83">
        <v>8</v>
      </c>
      <c r="G196" s="92">
        <v>1540</v>
      </c>
      <c r="H196" s="3">
        <v>21</v>
      </c>
      <c r="I196" s="3">
        <v>9732.7999999999993</v>
      </c>
      <c r="J196" s="1" t="s">
        <v>87</v>
      </c>
      <c r="K196" s="1" t="s">
        <v>88</v>
      </c>
      <c r="L196" t="str">
        <f>VLOOKUP(D196, Products!A:C, 3, FALSE)</f>
        <v>Beauty</v>
      </c>
      <c r="M196" t="str">
        <f>VLOOKUP(C196, Customers!A:E, 5, FALSE)</f>
        <v>Corporate</v>
      </c>
      <c r="N196">
        <f>VLOOKUP(C196, Customers!A:E, 3, FALSE)</f>
        <v>29</v>
      </c>
      <c r="O196" s="93" t="str">
        <f>VLOOKUP(E196, Sales_Reps!A:C, 3, FALSE)</f>
        <v>South</v>
      </c>
      <c r="P196">
        <f>VLOOKUP(D196, Products!A:E, 4, FALSE)</f>
        <v>647</v>
      </c>
      <c r="Q196">
        <f>IF(COUNTIF($A$2:A196, A196)=2, 1, 0)</f>
        <v>0</v>
      </c>
      <c r="R196">
        <f>IF(ISNA(MATCH(C196, Customers!$A:$A, 0)), 1, 0)</f>
        <v>0</v>
      </c>
      <c r="S196" s="94" t="b">
        <f>VLOOKUP(D196, Products!A:F, 6, FALSE)</f>
        <v>0</v>
      </c>
    </row>
    <row r="197" spans="1:19">
      <c r="A197" s="102" t="s">
        <v>517</v>
      </c>
      <c r="B197" s="2">
        <v>45380</v>
      </c>
      <c r="C197" s="1" t="s">
        <v>518</v>
      </c>
      <c r="D197" s="1" t="s">
        <v>167</v>
      </c>
      <c r="E197" s="1" t="s">
        <v>229</v>
      </c>
      <c r="F197" s="83">
        <v>6</v>
      </c>
      <c r="G197" s="92">
        <v>2480</v>
      </c>
      <c r="H197" s="3">
        <v>27.9</v>
      </c>
      <c r="I197" s="3">
        <v>10728.48</v>
      </c>
      <c r="J197" s="1" t="s">
        <v>87</v>
      </c>
      <c r="K197" s="1" t="s">
        <v>88</v>
      </c>
      <c r="L197" t="str">
        <f>VLOOKUP(D197, Products!A:C, 3, FALSE)</f>
        <v>Apparel</v>
      </c>
      <c r="M197" t="str">
        <f>VLOOKUP(C197, Customers!A:E, 5, FALSE)</f>
        <v>Retail</v>
      </c>
      <c r="N197">
        <f>VLOOKUP(C197, Customers!A:E, 3, FALSE)</f>
        <v>49</v>
      </c>
      <c r="O197" s="93" t="str">
        <f>VLOOKUP(E197, Sales_Reps!A:C, 3, FALSE)</f>
        <v>West</v>
      </c>
      <c r="P197">
        <f>VLOOKUP(D197, Products!A:E, 4, FALSE)</f>
        <v>1173</v>
      </c>
      <c r="Q197">
        <f>IF(COUNTIF($A$2:A197, A197)=2, 1, 0)</f>
        <v>0</v>
      </c>
      <c r="R197">
        <f>IF(ISNA(MATCH(C197, Customers!$A:$A, 0)), 1, 0)</f>
        <v>0</v>
      </c>
      <c r="S197" s="94" t="b">
        <f>VLOOKUP(D197, Products!A:F, 6, FALSE)</f>
        <v>1</v>
      </c>
    </row>
    <row r="198" spans="1:19">
      <c r="A198" s="102" t="s">
        <v>519</v>
      </c>
      <c r="B198" s="2">
        <v>45320</v>
      </c>
      <c r="C198" s="1" t="s">
        <v>520</v>
      </c>
      <c r="D198" s="1" t="s">
        <v>147</v>
      </c>
      <c r="E198" s="1" t="s">
        <v>285</v>
      </c>
      <c r="F198" s="83">
        <v>4</v>
      </c>
      <c r="G198" s="92">
        <v>190</v>
      </c>
      <c r="H198" s="3">
        <v>21.5</v>
      </c>
      <c r="I198" s="3">
        <v>596.6</v>
      </c>
      <c r="J198" s="1" t="s">
        <v>87</v>
      </c>
      <c r="K198" s="1" t="s">
        <v>112</v>
      </c>
      <c r="L198" t="str">
        <f>VLOOKUP(D198, Products!A:C, 3, FALSE)</f>
        <v>Sports</v>
      </c>
      <c r="M198" t="str">
        <f>VLOOKUP(C198, Customers!A:E, 5, FALSE)</f>
        <v>Corporate</v>
      </c>
      <c r="N198">
        <f>VLOOKUP(C198, Customers!A:E, 3, FALSE)</f>
        <v>35</v>
      </c>
      <c r="O198" s="93" t="str">
        <f>VLOOKUP(E198, Sales_Reps!A:C, 3, FALSE)</f>
        <v>East</v>
      </c>
      <c r="P198">
        <f>VLOOKUP(D198, Products!A:E, 4, FALSE)</f>
        <v>147</v>
      </c>
      <c r="Q198">
        <f>IF(COUNTIF($A$2:A198, A198)=2, 1, 0)</f>
        <v>0</v>
      </c>
      <c r="R198">
        <f>IF(ISNA(MATCH(C198, Customers!$A:$A, 0)), 1, 0)</f>
        <v>0</v>
      </c>
      <c r="S198" s="94" t="b">
        <f>VLOOKUP(D198, Products!A:F, 6, FALSE)</f>
        <v>1</v>
      </c>
    </row>
    <row r="199" spans="1:19">
      <c r="A199" s="102" t="s">
        <v>521</v>
      </c>
      <c r="B199" s="2">
        <v>45355</v>
      </c>
      <c r="C199" s="1" t="s">
        <v>522</v>
      </c>
      <c r="D199" s="1" t="s">
        <v>195</v>
      </c>
      <c r="E199" s="1" t="s">
        <v>98</v>
      </c>
      <c r="F199" s="83">
        <v>1</v>
      </c>
      <c r="G199" s="92">
        <v>2860</v>
      </c>
      <c r="H199" s="3">
        <v>15.3</v>
      </c>
      <c r="I199" s="3">
        <v>2422.42</v>
      </c>
      <c r="J199" s="1" t="s">
        <v>87</v>
      </c>
      <c r="K199" s="1" t="s">
        <v>99</v>
      </c>
      <c r="L199" t="str">
        <f>VLOOKUP(D199, Products!A:C, 3, FALSE)</f>
        <v>Sports</v>
      </c>
      <c r="M199" t="str">
        <f>VLOOKUP(C199, Customers!A:E, 5, FALSE)</f>
        <v>SMB</v>
      </c>
      <c r="N199">
        <f>VLOOKUP(C199, Customers!A:E, 3, FALSE)</f>
        <v>55</v>
      </c>
      <c r="O199" s="93" t="str">
        <f>VLOOKUP(E199, Sales_Reps!A:C, 3, FALSE)</f>
        <v>South</v>
      </c>
      <c r="P199">
        <f>VLOOKUP(D199, Products!A:E, 4, FALSE)</f>
        <v>2028</v>
      </c>
      <c r="Q199">
        <f>IF(COUNTIF($A$2:A199, A199)=2, 1, 0)</f>
        <v>0</v>
      </c>
      <c r="R199">
        <f>IF(ISNA(MATCH(C199, Customers!$A:$A, 0)), 1, 0)</f>
        <v>0</v>
      </c>
      <c r="S199" s="94" t="b">
        <f>VLOOKUP(D199, Products!A:F, 6, FALSE)</f>
        <v>1</v>
      </c>
    </row>
    <row r="200" spans="1:19">
      <c r="A200" s="102" t="s">
        <v>523</v>
      </c>
      <c r="B200" s="2">
        <v>45350</v>
      </c>
      <c r="C200" s="1" t="s">
        <v>524</v>
      </c>
      <c r="D200" s="1" t="s">
        <v>355</v>
      </c>
      <c r="E200" s="1" t="s">
        <v>188</v>
      </c>
      <c r="F200" s="83">
        <v>4</v>
      </c>
      <c r="G200" s="92">
        <v>2510</v>
      </c>
      <c r="H200" s="3">
        <v>10.1</v>
      </c>
      <c r="I200" s="3">
        <v>9025.9599999999991</v>
      </c>
      <c r="J200" s="1" t="s">
        <v>144</v>
      </c>
      <c r="K200" s="1" t="s">
        <v>112</v>
      </c>
      <c r="L200" t="str">
        <f>VLOOKUP(D200, Products!A:C, 3, FALSE)</f>
        <v>Apparel</v>
      </c>
      <c r="M200" t="str">
        <f>VLOOKUP(C200, Customers!A:E, 5, FALSE)</f>
        <v>Corporate</v>
      </c>
      <c r="N200">
        <f>VLOOKUP(C200, Customers!A:E, 3, FALSE)</f>
        <v>55</v>
      </c>
      <c r="O200" s="93" t="str">
        <f>VLOOKUP(E200, Sales_Reps!A:C, 3, FALSE)</f>
        <v>South</v>
      </c>
      <c r="P200">
        <f>VLOOKUP(D200, Products!A:E, 4, FALSE)</f>
        <v>1075</v>
      </c>
      <c r="Q200">
        <f>IF(COUNTIF($A$2:A200, A200)=2, 1, 0)</f>
        <v>0</v>
      </c>
      <c r="R200">
        <f>IF(ISNA(MATCH(C200, Customers!$A:$A, 0)), 1, 0)</f>
        <v>0</v>
      </c>
      <c r="S200" s="94" t="b">
        <f>VLOOKUP(D200, Products!A:F, 6, FALSE)</f>
        <v>0</v>
      </c>
    </row>
    <row r="201" spans="1:19">
      <c r="A201" s="102" t="s">
        <v>525</v>
      </c>
      <c r="B201" s="2">
        <v>45587</v>
      </c>
      <c r="C201" s="1" t="s">
        <v>385</v>
      </c>
      <c r="D201" s="1" t="s">
        <v>187</v>
      </c>
      <c r="E201" s="1" t="s">
        <v>148</v>
      </c>
      <c r="F201" s="83">
        <v>2</v>
      </c>
      <c r="G201" s="92">
        <v>3570</v>
      </c>
      <c r="H201" s="3">
        <v>11.6</v>
      </c>
      <c r="I201" s="3">
        <v>6311.76</v>
      </c>
      <c r="J201" s="1" t="s">
        <v>93</v>
      </c>
      <c r="K201" s="1" t="s">
        <v>117</v>
      </c>
      <c r="L201" t="str">
        <f>VLOOKUP(D201, Products!A:C, 3, FALSE)</f>
        <v>Electronics</v>
      </c>
      <c r="M201" t="str">
        <f>VLOOKUP(C201, Customers!A:E, 5, FALSE)</f>
        <v>Retail</v>
      </c>
      <c r="N201">
        <f>VLOOKUP(C201, Customers!A:E, 3, FALSE)</f>
        <v>23</v>
      </c>
      <c r="O201" s="93" t="str">
        <f>VLOOKUP(E201, Sales_Reps!A:C, 3, FALSE)</f>
        <v>North</v>
      </c>
      <c r="P201">
        <f>VLOOKUP(D201, Products!A:E, 4, FALSE)</f>
        <v>1665</v>
      </c>
      <c r="Q201">
        <f>IF(COUNTIF($A$2:A201, A201)=2, 1, 0)</f>
        <v>0</v>
      </c>
      <c r="R201">
        <f>IF(ISNA(MATCH(C201, Customers!$A:$A, 0)), 1, 0)</f>
        <v>0</v>
      </c>
      <c r="S201" s="94" t="b">
        <f>VLOOKUP(D201, Products!A:F, 6, FALSE)</f>
        <v>1</v>
      </c>
    </row>
    <row r="202" spans="1:19">
      <c r="A202" s="102" t="s">
        <v>526</v>
      </c>
      <c r="B202" s="2">
        <v>45344</v>
      </c>
      <c r="C202" s="1" t="s">
        <v>490</v>
      </c>
      <c r="D202" s="1" t="s">
        <v>226</v>
      </c>
      <c r="E202" s="1" t="s">
        <v>346</v>
      </c>
      <c r="F202" s="83">
        <v>7</v>
      </c>
      <c r="G202" s="92">
        <v>3730</v>
      </c>
      <c r="H202" s="3">
        <v>2.5</v>
      </c>
      <c r="I202" s="3">
        <v>25457.25</v>
      </c>
      <c r="J202" s="1" t="s">
        <v>140</v>
      </c>
      <c r="K202" s="1" t="s">
        <v>99</v>
      </c>
      <c r="L202" t="str">
        <f>VLOOKUP(D202, Products!A:C, 3, FALSE)</f>
        <v>Home</v>
      </c>
      <c r="M202" t="str">
        <f>VLOOKUP(C202, Customers!A:E, 5, FALSE)</f>
        <v>Retail</v>
      </c>
      <c r="N202">
        <f>VLOOKUP(C202, Customers!A:E, 3, FALSE)</f>
        <v>59</v>
      </c>
      <c r="O202" s="93" t="str">
        <f>VLOOKUP(E202, Sales_Reps!A:C, 3, FALSE)</f>
        <v>South</v>
      </c>
      <c r="P202">
        <f>VLOOKUP(D202, Products!A:E, 4, FALSE)</f>
        <v>2135</v>
      </c>
      <c r="Q202">
        <f>IF(COUNTIF($A$2:A202, A202)=2, 1, 0)</f>
        <v>0</v>
      </c>
      <c r="R202">
        <f>IF(ISNA(MATCH(C202, Customers!$A:$A, 0)), 1, 0)</f>
        <v>0</v>
      </c>
      <c r="S202" s="94" t="b">
        <f>VLOOKUP(D202, Products!A:F, 6, FALSE)</f>
        <v>1</v>
      </c>
    </row>
    <row r="203" spans="1:19">
      <c r="A203" s="102" t="s">
        <v>527</v>
      </c>
      <c r="B203" s="2">
        <v>45492</v>
      </c>
      <c r="C203" s="1" t="s">
        <v>528</v>
      </c>
      <c r="D203" s="1" t="s">
        <v>110</v>
      </c>
      <c r="E203" s="1" t="s">
        <v>170</v>
      </c>
      <c r="F203" s="83">
        <v>6</v>
      </c>
      <c r="G203" s="92">
        <v>370</v>
      </c>
      <c r="H203" s="3">
        <v>9.9</v>
      </c>
      <c r="I203" s="3">
        <v>2000.22</v>
      </c>
      <c r="J203" s="1" t="s">
        <v>87</v>
      </c>
      <c r="K203" s="1" t="s">
        <v>112</v>
      </c>
      <c r="L203" t="str">
        <f>VLOOKUP(D203, Products!A:C, 3, FALSE)</f>
        <v>Home</v>
      </c>
      <c r="M203" t="str">
        <f>VLOOKUP(C203, Customers!A:E, 5, FALSE)</f>
        <v>Retail</v>
      </c>
      <c r="N203">
        <f>VLOOKUP(C203, Customers!A:E, 3, FALSE)</f>
        <v>44</v>
      </c>
      <c r="O203" s="93" t="str">
        <f>VLOOKUP(E203, Sales_Reps!A:C, 3, FALSE)</f>
        <v>West</v>
      </c>
      <c r="P203">
        <f>VLOOKUP(D203, Products!A:E, 4, FALSE)</f>
        <v>288</v>
      </c>
      <c r="Q203">
        <f>IF(COUNTIF($A$2:A203, A203)=2, 1, 0)</f>
        <v>0</v>
      </c>
      <c r="R203">
        <f>IF(ISNA(MATCH(C203, Customers!$A:$A, 0)), 1, 0)</f>
        <v>0</v>
      </c>
      <c r="S203" s="94" t="b">
        <f>VLOOKUP(D203, Products!A:F, 6, FALSE)</f>
        <v>1</v>
      </c>
    </row>
    <row r="204" spans="1:19">
      <c r="A204" s="102" t="s">
        <v>529</v>
      </c>
      <c r="B204" s="2">
        <v>45490</v>
      </c>
      <c r="C204" s="1" t="s">
        <v>530</v>
      </c>
      <c r="D204" s="1" t="s">
        <v>279</v>
      </c>
      <c r="E204" s="1" t="s">
        <v>98</v>
      </c>
      <c r="F204" s="83">
        <v>4</v>
      </c>
      <c r="G204" s="92">
        <v>2660</v>
      </c>
      <c r="H204" s="3">
        <v>29.7</v>
      </c>
      <c r="I204" s="3">
        <v>7479.92</v>
      </c>
      <c r="J204" s="1" t="s">
        <v>87</v>
      </c>
      <c r="K204" s="1" t="s">
        <v>99</v>
      </c>
      <c r="L204" t="str">
        <f>VLOOKUP(D204, Products!A:C, 3, FALSE)</f>
        <v>Electronics</v>
      </c>
      <c r="M204" t="str">
        <f>VLOOKUP(C204, Customers!A:E, 5, FALSE)</f>
        <v>Retail</v>
      </c>
      <c r="N204">
        <f>VLOOKUP(C204, Customers!A:E, 3, FALSE)</f>
        <v>45</v>
      </c>
      <c r="O204" s="93" t="str">
        <f>VLOOKUP(E204, Sales_Reps!A:C, 3, FALSE)</f>
        <v>South</v>
      </c>
      <c r="P204">
        <f>VLOOKUP(D204, Products!A:E, 4, FALSE)</f>
        <v>1259</v>
      </c>
      <c r="Q204">
        <f>IF(COUNTIF($A$2:A204, A204)=2, 1, 0)</f>
        <v>0</v>
      </c>
      <c r="R204">
        <f>IF(ISNA(MATCH(C204, Customers!$A:$A, 0)), 1, 0)</f>
        <v>0</v>
      </c>
      <c r="S204" s="94" t="b">
        <f>VLOOKUP(D204, Products!A:F, 6, FALSE)</f>
        <v>0</v>
      </c>
    </row>
    <row r="205" spans="1:19">
      <c r="A205" s="102" t="s">
        <v>531</v>
      </c>
      <c r="B205" s="2">
        <v>45538</v>
      </c>
      <c r="C205" s="1" t="s">
        <v>385</v>
      </c>
      <c r="D205" s="1" t="s">
        <v>200</v>
      </c>
      <c r="E205" s="1" t="s">
        <v>188</v>
      </c>
      <c r="F205" s="83">
        <v>6</v>
      </c>
      <c r="G205" s="92">
        <v>2760</v>
      </c>
      <c r="H205" s="3">
        <v>0.9</v>
      </c>
      <c r="I205" s="3">
        <v>16410.96</v>
      </c>
      <c r="J205" s="1" t="s">
        <v>87</v>
      </c>
      <c r="K205" s="1" t="s">
        <v>117</v>
      </c>
      <c r="L205" t="str">
        <f>VLOOKUP(D205, Products!A:C, 3, FALSE)</f>
        <v>Grocery</v>
      </c>
      <c r="M205" t="str">
        <f>VLOOKUP(C205, Customers!A:E, 5, FALSE)</f>
        <v>Retail</v>
      </c>
      <c r="N205">
        <f>VLOOKUP(C205, Customers!A:E, 3, FALSE)</f>
        <v>23</v>
      </c>
      <c r="O205" s="93" t="str">
        <f>VLOOKUP(E205, Sales_Reps!A:C, 3, FALSE)</f>
        <v>South</v>
      </c>
      <c r="P205">
        <f>VLOOKUP(D205, Products!A:E, 4, FALSE)</f>
        <v>1435</v>
      </c>
      <c r="Q205">
        <f>IF(COUNTIF($A$2:A205, A205)=2, 1, 0)</f>
        <v>0</v>
      </c>
      <c r="R205">
        <f>IF(ISNA(MATCH(C205, Customers!$A:$A, 0)), 1, 0)</f>
        <v>0</v>
      </c>
      <c r="S205" s="94" t="b">
        <f>VLOOKUP(D205, Products!A:F, 6, FALSE)</f>
        <v>1</v>
      </c>
    </row>
    <row r="206" spans="1:19">
      <c r="A206" s="102" t="s">
        <v>532</v>
      </c>
      <c r="B206" s="2">
        <v>45591</v>
      </c>
      <c r="C206" s="1" t="s">
        <v>533</v>
      </c>
      <c r="D206" s="1" t="s">
        <v>179</v>
      </c>
      <c r="E206" s="1" t="s">
        <v>204</v>
      </c>
      <c r="F206" s="83">
        <v>6</v>
      </c>
      <c r="G206" s="92">
        <v>3350</v>
      </c>
      <c r="H206" s="3">
        <v>17.899999999999999</v>
      </c>
      <c r="I206" s="3">
        <v>16502.099999999999</v>
      </c>
      <c r="J206" s="1" t="s">
        <v>87</v>
      </c>
      <c r="K206" s="1" t="s">
        <v>99</v>
      </c>
      <c r="L206" t="str">
        <f>VLOOKUP(D206, Products!A:C, 3, FALSE)</f>
        <v>Beauty</v>
      </c>
      <c r="M206" t="str">
        <f>VLOOKUP(C206, Customers!A:E, 5, FALSE)</f>
        <v>SMB</v>
      </c>
      <c r="N206">
        <f>VLOOKUP(C206, Customers!A:E, 3, FALSE)</f>
        <v>48</v>
      </c>
      <c r="O206" s="93" t="str">
        <f>VLOOKUP(E206, Sales_Reps!A:C, 3, FALSE)</f>
        <v>South</v>
      </c>
      <c r="P206">
        <f>VLOOKUP(D206, Products!A:E, 4, FALSE)</f>
        <v>1728</v>
      </c>
      <c r="Q206">
        <f>IF(COUNTIF($A$2:A206, A206)=2, 1, 0)</f>
        <v>0</v>
      </c>
      <c r="R206">
        <f>IF(ISNA(MATCH(C206, Customers!$A:$A, 0)), 1, 0)</f>
        <v>0</v>
      </c>
      <c r="S206" s="94" t="b">
        <f>VLOOKUP(D206, Products!A:F, 6, FALSE)</f>
        <v>1</v>
      </c>
    </row>
    <row r="207" spans="1:19">
      <c r="A207" s="102" t="s">
        <v>534</v>
      </c>
      <c r="B207" s="2">
        <v>45319</v>
      </c>
      <c r="C207" s="1" t="s">
        <v>440</v>
      </c>
      <c r="D207" s="1" t="s">
        <v>282</v>
      </c>
      <c r="E207" s="1" t="s">
        <v>238</v>
      </c>
      <c r="F207" s="83">
        <v>8</v>
      </c>
      <c r="G207" s="92">
        <v>300</v>
      </c>
      <c r="H207" s="3">
        <v>20.6</v>
      </c>
      <c r="I207" s="3">
        <v>1905.6</v>
      </c>
      <c r="J207" s="1" t="s">
        <v>144</v>
      </c>
      <c r="K207" s="1" t="s">
        <v>88</v>
      </c>
      <c r="L207" t="str">
        <f>VLOOKUP(D207, Products!A:C, 3, FALSE)</f>
        <v>Electronics</v>
      </c>
      <c r="M207" t="str">
        <f>VLOOKUP(C207, Customers!A:E, 5, FALSE)</f>
        <v>SMB</v>
      </c>
      <c r="N207">
        <f>VLOOKUP(C207, Customers!A:E, 3, FALSE)</f>
        <v>30</v>
      </c>
      <c r="O207" s="93" t="str">
        <f>VLOOKUP(E207, Sales_Reps!A:C, 3, FALSE)</f>
        <v>East</v>
      </c>
      <c r="P207">
        <f>VLOOKUP(D207, Products!A:E, 4, FALSE)</f>
        <v>128</v>
      </c>
      <c r="Q207">
        <f>IF(COUNTIF($A$2:A207, A207)=2, 1, 0)</f>
        <v>0</v>
      </c>
      <c r="R207">
        <f>IF(ISNA(MATCH(C207, Customers!$A:$A, 0)), 1, 0)</f>
        <v>0</v>
      </c>
      <c r="S207" s="94" t="b">
        <f>VLOOKUP(D207, Products!A:F, 6, FALSE)</f>
        <v>1</v>
      </c>
    </row>
    <row r="208" spans="1:19">
      <c r="A208" s="102" t="s">
        <v>535</v>
      </c>
      <c r="B208" s="2">
        <v>45527</v>
      </c>
      <c r="C208" s="1" t="s">
        <v>528</v>
      </c>
      <c r="D208" s="1" t="s">
        <v>173</v>
      </c>
      <c r="E208" s="1" t="s">
        <v>297</v>
      </c>
      <c r="F208" s="83">
        <v>5</v>
      </c>
      <c r="G208" s="92">
        <v>2720</v>
      </c>
      <c r="H208" s="3">
        <v>17.100000000000001</v>
      </c>
      <c r="I208" s="3">
        <v>11274.4</v>
      </c>
      <c r="J208" s="1" t="s">
        <v>93</v>
      </c>
      <c r="K208" s="1" t="s">
        <v>112</v>
      </c>
      <c r="L208" t="str">
        <f>VLOOKUP(D208, Products!A:C, 3, FALSE)</f>
        <v>Apparel</v>
      </c>
      <c r="M208" t="str">
        <f>VLOOKUP(C208, Customers!A:E, 5, FALSE)</f>
        <v>Retail</v>
      </c>
      <c r="N208">
        <f>VLOOKUP(C208, Customers!A:E, 3, FALSE)</f>
        <v>44</v>
      </c>
      <c r="O208" s="93" t="str">
        <f>VLOOKUP(E208, Sales_Reps!A:C, 3, FALSE)</f>
        <v>North</v>
      </c>
      <c r="P208">
        <f>VLOOKUP(D208, Products!A:E, 4, FALSE)</f>
        <v>1962</v>
      </c>
      <c r="Q208">
        <f>IF(COUNTIF($A$2:A208, A208)=2, 1, 0)</f>
        <v>0</v>
      </c>
      <c r="R208">
        <f>IF(ISNA(MATCH(C208, Customers!$A:$A, 0)), 1, 0)</f>
        <v>0</v>
      </c>
      <c r="S208" s="94" t="b">
        <f>VLOOKUP(D208, Products!A:F, 6, FALSE)</f>
        <v>1</v>
      </c>
    </row>
    <row r="209" spans="1:19">
      <c r="A209" s="102" t="s">
        <v>536</v>
      </c>
      <c r="B209" s="2">
        <v>45572</v>
      </c>
      <c r="C209" s="1" t="s">
        <v>537</v>
      </c>
      <c r="D209" s="1" t="s">
        <v>248</v>
      </c>
      <c r="E209" s="1" t="s">
        <v>188</v>
      </c>
      <c r="F209" s="83">
        <v>1</v>
      </c>
      <c r="G209" s="92">
        <v>3870</v>
      </c>
      <c r="H209" s="3">
        <v>23.5</v>
      </c>
      <c r="I209" s="3">
        <v>2960.55</v>
      </c>
      <c r="J209" s="1" t="s">
        <v>93</v>
      </c>
      <c r="K209" s="1" t="s">
        <v>133</v>
      </c>
      <c r="L209" t="str">
        <f>VLOOKUP(D209, Products!A:C, 3, FALSE)</f>
        <v>Electronics</v>
      </c>
      <c r="M209" t="str">
        <f>VLOOKUP(C209, Customers!A:E, 5, FALSE)</f>
        <v>SMB</v>
      </c>
      <c r="N209">
        <f>VLOOKUP(C209, Customers!A:E, 3, FALSE)</f>
        <v>48</v>
      </c>
      <c r="O209" s="93" t="str">
        <f>VLOOKUP(E209, Sales_Reps!A:C, 3, FALSE)</f>
        <v>South</v>
      </c>
      <c r="P209">
        <f>VLOOKUP(D209, Products!A:E, 4, FALSE)</f>
        <v>1559</v>
      </c>
      <c r="Q209">
        <f>IF(COUNTIF($A$2:A209, A209)=2, 1, 0)</f>
        <v>0</v>
      </c>
      <c r="R209">
        <f>IF(ISNA(MATCH(C209, Customers!$A:$A, 0)), 1, 0)</f>
        <v>0</v>
      </c>
      <c r="S209" s="94" t="b">
        <f>VLOOKUP(D209, Products!A:F, 6, FALSE)</f>
        <v>1</v>
      </c>
    </row>
    <row r="210" spans="1:19">
      <c r="A210" s="102" t="s">
        <v>538</v>
      </c>
      <c r="B210" s="2">
        <v>45637</v>
      </c>
      <c r="C210" s="1" t="s">
        <v>539</v>
      </c>
      <c r="D210" s="1" t="s">
        <v>226</v>
      </c>
      <c r="E210" s="1" t="s">
        <v>325</v>
      </c>
      <c r="F210" s="83">
        <v>3</v>
      </c>
      <c r="G210" s="92">
        <v>3730</v>
      </c>
      <c r="H210" s="3">
        <v>0.7</v>
      </c>
      <c r="I210" s="3">
        <v>11111.67</v>
      </c>
      <c r="J210" s="1" t="s">
        <v>93</v>
      </c>
      <c r="K210" s="1" t="s">
        <v>133</v>
      </c>
      <c r="L210" t="str">
        <f>VLOOKUP(D210, Products!A:C, 3, FALSE)</f>
        <v>Home</v>
      </c>
      <c r="M210" t="str">
        <f>VLOOKUP(C210, Customers!A:E, 5, FALSE)</f>
        <v>Retail</v>
      </c>
      <c r="N210">
        <f>VLOOKUP(C210, Customers!A:E, 3, FALSE)</f>
        <v>38</v>
      </c>
      <c r="O210" s="93" t="str">
        <f>VLOOKUP(E210, Sales_Reps!A:C, 3, FALSE)</f>
        <v>South</v>
      </c>
      <c r="P210">
        <f>VLOOKUP(D210, Products!A:E, 4, FALSE)</f>
        <v>2135</v>
      </c>
      <c r="Q210">
        <f>IF(COUNTIF($A$2:A210, A210)=2, 1, 0)</f>
        <v>0</v>
      </c>
      <c r="R210">
        <f>IF(ISNA(MATCH(C210, Customers!$A:$A, 0)), 1, 0)</f>
        <v>0</v>
      </c>
      <c r="S210" s="94" t="b">
        <f>VLOOKUP(D210, Products!A:F, 6, FALSE)</f>
        <v>1</v>
      </c>
    </row>
    <row r="211" spans="1:19">
      <c r="A211" s="102" t="s">
        <v>540</v>
      </c>
      <c r="B211" s="2">
        <v>45315</v>
      </c>
      <c r="C211" s="1" t="s">
        <v>541</v>
      </c>
      <c r="D211" s="1" t="s">
        <v>167</v>
      </c>
      <c r="E211" s="1" t="s">
        <v>325</v>
      </c>
      <c r="F211" s="83">
        <v>8</v>
      </c>
      <c r="G211" s="92">
        <v>2480</v>
      </c>
      <c r="H211" s="3">
        <v>18.2</v>
      </c>
      <c r="I211" s="3">
        <v>16229.12</v>
      </c>
      <c r="J211" s="1" t="s">
        <v>140</v>
      </c>
      <c r="K211" s="1" t="s">
        <v>94</v>
      </c>
      <c r="L211" t="str">
        <f>VLOOKUP(D211, Products!A:C, 3, FALSE)</f>
        <v>Apparel</v>
      </c>
      <c r="M211" t="str">
        <f>VLOOKUP(C211, Customers!A:E, 5, FALSE)</f>
        <v>Corporate</v>
      </c>
      <c r="N211">
        <f>VLOOKUP(C211, Customers!A:E, 3, FALSE)</f>
        <v>34</v>
      </c>
      <c r="O211" s="93" t="str">
        <f>VLOOKUP(E211, Sales_Reps!A:C, 3, FALSE)</f>
        <v>South</v>
      </c>
      <c r="P211">
        <f>VLOOKUP(D211, Products!A:E, 4, FALSE)</f>
        <v>1173</v>
      </c>
      <c r="Q211">
        <f>IF(COUNTIF($A$2:A211, A211)=2, 1, 0)</f>
        <v>0</v>
      </c>
      <c r="R211">
        <f>IF(ISNA(MATCH(C211, Customers!$A:$A, 0)), 1, 0)</f>
        <v>0</v>
      </c>
      <c r="S211" s="94" t="b">
        <f>VLOOKUP(D211, Products!A:F, 6, FALSE)</f>
        <v>1</v>
      </c>
    </row>
    <row r="212" spans="1:19">
      <c r="A212" s="102" t="s">
        <v>542</v>
      </c>
      <c r="B212" s="2">
        <v>45374</v>
      </c>
      <c r="C212" s="1" t="s">
        <v>388</v>
      </c>
      <c r="D212" s="1" t="s">
        <v>115</v>
      </c>
      <c r="E212" s="1" t="s">
        <v>121</v>
      </c>
      <c r="F212" s="83">
        <v>2</v>
      </c>
      <c r="G212" s="92">
        <v>960</v>
      </c>
      <c r="H212" s="3">
        <v>2.2000000000000002</v>
      </c>
      <c r="I212" s="3">
        <v>1877.76</v>
      </c>
      <c r="J212" s="1" t="s">
        <v>87</v>
      </c>
      <c r="K212" s="1" t="s">
        <v>133</v>
      </c>
      <c r="L212" t="str">
        <f>VLOOKUP(D212, Products!A:C, 3, FALSE)</f>
        <v>Sports</v>
      </c>
      <c r="M212" t="str">
        <f>VLOOKUP(C212, Customers!A:E, 5, FALSE)</f>
        <v>Retail</v>
      </c>
      <c r="N212">
        <f>VLOOKUP(C212, Customers!A:E, 3, FALSE)</f>
        <v>44</v>
      </c>
      <c r="O212" s="93" t="str">
        <f>VLOOKUP(E212, Sales_Reps!A:C, 3, FALSE)</f>
        <v>East</v>
      </c>
      <c r="P212">
        <f>VLOOKUP(D212, Products!A:E, 4, FALSE)</f>
        <v>705</v>
      </c>
      <c r="Q212">
        <f>IF(COUNTIF($A$2:A212, A212)=2, 1, 0)</f>
        <v>0</v>
      </c>
      <c r="R212">
        <f>IF(ISNA(MATCH(C212, Customers!$A:$A, 0)), 1, 0)</f>
        <v>0</v>
      </c>
      <c r="S212" s="94" t="b">
        <f>VLOOKUP(D212, Products!A:F, 6, FALSE)</f>
        <v>1</v>
      </c>
    </row>
    <row r="213" spans="1:19">
      <c r="A213" s="102" t="s">
        <v>543</v>
      </c>
      <c r="B213" s="2">
        <v>45335</v>
      </c>
      <c r="C213" s="1" t="s">
        <v>544</v>
      </c>
      <c r="D213" s="1" t="s">
        <v>184</v>
      </c>
      <c r="E213" s="1" t="s">
        <v>303</v>
      </c>
      <c r="F213" s="83">
        <v>8</v>
      </c>
      <c r="G213" s="92">
        <v>4880</v>
      </c>
      <c r="H213" s="3">
        <v>11.9</v>
      </c>
      <c r="I213" s="3">
        <v>34394.239999999998</v>
      </c>
      <c r="J213" s="1" t="s">
        <v>87</v>
      </c>
      <c r="K213" s="1" t="s">
        <v>133</v>
      </c>
      <c r="L213" t="str">
        <f>VLOOKUP(D213, Products!A:C, 3, FALSE)</f>
        <v>Beauty</v>
      </c>
      <c r="M213" t="str">
        <f>VLOOKUP(C213, Customers!A:E, 5, FALSE)</f>
        <v>Retail</v>
      </c>
      <c r="N213">
        <f>VLOOKUP(C213, Customers!A:E, 3, FALSE)</f>
        <v>25</v>
      </c>
      <c r="O213" s="93" t="str">
        <f>VLOOKUP(E213, Sales_Reps!A:C, 3, FALSE)</f>
        <v>East</v>
      </c>
      <c r="P213">
        <f>VLOOKUP(D213, Products!A:E, 4, FALSE)</f>
        <v>2768</v>
      </c>
      <c r="Q213">
        <f>IF(COUNTIF($A$2:A213, A213)=2, 1, 0)</f>
        <v>0</v>
      </c>
      <c r="R213">
        <f>IF(ISNA(MATCH(C213, Customers!$A:$A, 0)), 1, 0)</f>
        <v>0</v>
      </c>
      <c r="S213" s="94" t="b">
        <f>VLOOKUP(D213, Products!A:F, 6, FALSE)</f>
        <v>1</v>
      </c>
    </row>
    <row r="214" spans="1:19">
      <c r="A214" s="102" t="s">
        <v>545</v>
      </c>
      <c r="B214" s="2">
        <v>45656</v>
      </c>
      <c r="C214" s="1" t="s">
        <v>546</v>
      </c>
      <c r="D214" s="1" t="s">
        <v>85</v>
      </c>
      <c r="E214" s="1" t="s">
        <v>170</v>
      </c>
      <c r="F214" s="83">
        <v>2</v>
      </c>
      <c r="G214" s="92">
        <v>3620</v>
      </c>
      <c r="H214" s="3">
        <v>1.1000000000000001</v>
      </c>
      <c r="I214" s="3">
        <v>7160.36</v>
      </c>
      <c r="J214" s="1" t="s">
        <v>93</v>
      </c>
      <c r="K214" s="1" t="s">
        <v>99</v>
      </c>
      <c r="L214" t="str">
        <f>VLOOKUP(D214, Products!A:C, 3, FALSE)</f>
        <v>Apparel</v>
      </c>
      <c r="M214" t="str">
        <f>VLOOKUP(C214, Customers!A:E, 5, FALSE)</f>
        <v>SMB</v>
      </c>
      <c r="N214">
        <f>VLOOKUP(C214, Customers!A:E, 3, FALSE)</f>
        <v>29</v>
      </c>
      <c r="O214" s="93" t="str">
        <f>VLOOKUP(E214, Sales_Reps!A:C, 3, FALSE)</f>
        <v>West</v>
      </c>
      <c r="P214">
        <f>VLOOKUP(D214, Products!A:E, 4, FALSE)</f>
        <v>2509</v>
      </c>
      <c r="Q214">
        <f>IF(COUNTIF($A$2:A214, A214)=2, 1, 0)</f>
        <v>0</v>
      </c>
      <c r="R214">
        <f>IF(ISNA(MATCH(C214, Customers!$A:$A, 0)), 1, 0)</f>
        <v>0</v>
      </c>
      <c r="S214" s="94" t="b">
        <f>VLOOKUP(D214, Products!A:F, 6, FALSE)</f>
        <v>1</v>
      </c>
    </row>
    <row r="215" spans="1:19">
      <c r="A215" s="102" t="s">
        <v>547</v>
      </c>
      <c r="B215" s="2">
        <v>45573</v>
      </c>
      <c r="C215" s="1" t="s">
        <v>291</v>
      </c>
      <c r="D215" s="1" t="s">
        <v>408</v>
      </c>
      <c r="E215" s="1" t="s">
        <v>107</v>
      </c>
      <c r="F215" s="83">
        <v>8</v>
      </c>
      <c r="G215" s="92">
        <v>3970</v>
      </c>
      <c r="H215" s="3">
        <v>18.100000000000001</v>
      </c>
      <c r="I215" s="3">
        <v>26011.439999999999</v>
      </c>
      <c r="J215" s="1" t="s">
        <v>87</v>
      </c>
      <c r="K215" s="1" t="s">
        <v>99</v>
      </c>
      <c r="L215" t="str">
        <f>VLOOKUP(D215, Products!A:C, 3, FALSE)</f>
        <v>Electronics</v>
      </c>
      <c r="M215" t="str">
        <f>VLOOKUP(C215, Customers!A:E, 5, FALSE)</f>
        <v>Retail</v>
      </c>
      <c r="N215">
        <f>VLOOKUP(C215, Customers!A:E, 3, FALSE)</f>
        <v>35</v>
      </c>
      <c r="O215" s="93" t="str">
        <f>VLOOKUP(E215, Sales_Reps!A:C, 3, FALSE)</f>
        <v>North</v>
      </c>
      <c r="P215">
        <f>VLOOKUP(D215, Products!A:E, 4, FALSE)</f>
        <v>2865</v>
      </c>
      <c r="Q215">
        <f>IF(COUNTIF($A$2:A215, A215)=2, 1, 0)</f>
        <v>0</v>
      </c>
      <c r="R215">
        <f>IF(ISNA(MATCH(C215, Customers!$A:$A, 0)), 1, 0)</f>
        <v>0</v>
      </c>
      <c r="S215" s="94" t="b">
        <f>VLOOKUP(D215, Products!A:F, 6, FALSE)</f>
        <v>1</v>
      </c>
    </row>
    <row r="216" spans="1:19">
      <c r="A216" s="102" t="s">
        <v>548</v>
      </c>
      <c r="B216" s="2">
        <v>45534</v>
      </c>
      <c r="C216" s="1" t="s">
        <v>166</v>
      </c>
      <c r="D216" s="1" t="s">
        <v>245</v>
      </c>
      <c r="E216" s="1" t="s">
        <v>201</v>
      </c>
      <c r="F216" s="83">
        <v>8</v>
      </c>
      <c r="G216" s="92">
        <v>2270</v>
      </c>
      <c r="H216" s="3">
        <v>19.600000000000001</v>
      </c>
      <c r="I216" s="3">
        <v>14600.64</v>
      </c>
      <c r="J216" s="1" t="s">
        <v>87</v>
      </c>
      <c r="K216" s="1" t="s">
        <v>133</v>
      </c>
      <c r="L216" t="str">
        <f>VLOOKUP(D216, Products!A:C, 3, FALSE)</f>
        <v>Grocery</v>
      </c>
      <c r="M216" t="str">
        <f>VLOOKUP(C216, Customers!A:E, 5, FALSE)</f>
        <v>Retail</v>
      </c>
      <c r="N216">
        <f>VLOOKUP(C216, Customers!A:E, 3, FALSE)</f>
        <v>32</v>
      </c>
      <c r="O216" s="93" t="str">
        <f>VLOOKUP(E216, Sales_Reps!A:C, 3, FALSE)</f>
        <v>West</v>
      </c>
      <c r="P216">
        <f>VLOOKUP(D216, Products!A:E, 4, FALSE)</f>
        <v>1412</v>
      </c>
      <c r="Q216">
        <f>IF(COUNTIF($A$2:A216, A216)=2, 1, 0)</f>
        <v>0</v>
      </c>
      <c r="R216">
        <f>IF(ISNA(MATCH(C216, Customers!$A:$A, 0)), 1, 0)</f>
        <v>0</v>
      </c>
      <c r="S216" s="94" t="b">
        <f>VLOOKUP(D216, Products!A:F, 6, FALSE)</f>
        <v>1</v>
      </c>
    </row>
    <row r="217" spans="1:19">
      <c r="A217" s="102" t="s">
        <v>549</v>
      </c>
      <c r="B217" s="2">
        <v>45639</v>
      </c>
      <c r="C217" s="1" t="s">
        <v>266</v>
      </c>
      <c r="D217" s="1" t="s">
        <v>234</v>
      </c>
      <c r="E217" s="1" t="s">
        <v>252</v>
      </c>
      <c r="F217" s="83">
        <v>1</v>
      </c>
      <c r="G217" s="92">
        <v>3780</v>
      </c>
      <c r="H217" s="3">
        <v>22.6</v>
      </c>
      <c r="I217" s="3">
        <v>2925.72</v>
      </c>
      <c r="J217" s="1" t="s">
        <v>87</v>
      </c>
      <c r="K217" s="1" t="s">
        <v>99</v>
      </c>
      <c r="L217" t="str">
        <f>VLOOKUP(D217, Products!A:C, 3, FALSE)</f>
        <v>Grocery</v>
      </c>
      <c r="M217" t="str">
        <f>VLOOKUP(C217, Customers!A:E, 5, FALSE)</f>
        <v>Corporate</v>
      </c>
      <c r="N217">
        <f>VLOOKUP(C217, Customers!A:E, 3, FALSE)</f>
        <v>55</v>
      </c>
      <c r="O217" s="93" t="str">
        <f>VLOOKUP(E217, Sales_Reps!A:C, 3, FALSE)</f>
        <v>South</v>
      </c>
      <c r="P217">
        <f>VLOOKUP(D217, Products!A:E, 4, FALSE)</f>
        <v>2436</v>
      </c>
      <c r="Q217">
        <f>IF(COUNTIF($A$2:A217, A217)=2, 1, 0)</f>
        <v>0</v>
      </c>
      <c r="R217">
        <f>IF(ISNA(MATCH(C217, Customers!$A:$A, 0)), 1, 0)</f>
        <v>0</v>
      </c>
      <c r="S217" s="94" t="b">
        <f>VLOOKUP(D217, Products!A:F, 6, FALSE)</f>
        <v>1</v>
      </c>
    </row>
    <row r="218" spans="1:19">
      <c r="A218" s="102" t="s">
        <v>550</v>
      </c>
      <c r="B218" s="2">
        <v>45653</v>
      </c>
      <c r="C218" s="1" t="s">
        <v>551</v>
      </c>
      <c r="D218" s="1" t="s">
        <v>264</v>
      </c>
      <c r="E218" s="1" t="s">
        <v>285</v>
      </c>
      <c r="F218" s="83">
        <v>9</v>
      </c>
      <c r="G218" s="92">
        <v>4070</v>
      </c>
      <c r="H218" s="3">
        <v>28.2</v>
      </c>
      <c r="I218" s="3">
        <v>26300.34</v>
      </c>
      <c r="J218" s="1" t="s">
        <v>87</v>
      </c>
      <c r="K218" s="1" t="s">
        <v>112</v>
      </c>
      <c r="L218" t="str">
        <f>VLOOKUP(D218, Products!A:C, 3, FALSE)</f>
        <v>Grocery</v>
      </c>
      <c r="M218" t="str">
        <f>VLOOKUP(C218, Customers!A:E, 5, FALSE)</f>
        <v>Corporate</v>
      </c>
      <c r="N218">
        <f>VLOOKUP(C218, Customers!A:E, 3, FALSE)</f>
        <v>60</v>
      </c>
      <c r="O218" s="93" t="str">
        <f>VLOOKUP(E218, Sales_Reps!A:C, 3, FALSE)</f>
        <v>East</v>
      </c>
      <c r="P218">
        <f>VLOOKUP(D218, Products!A:E, 4, FALSE)</f>
        <v>2027</v>
      </c>
      <c r="Q218">
        <f>IF(COUNTIF($A$2:A218, A218)=2, 1, 0)</f>
        <v>0</v>
      </c>
      <c r="R218">
        <f>IF(ISNA(MATCH(C218, Customers!$A:$A, 0)), 1, 0)</f>
        <v>0</v>
      </c>
      <c r="S218" s="94" t="b">
        <f>VLOOKUP(D218, Products!A:F, 6, FALSE)</f>
        <v>1</v>
      </c>
    </row>
    <row r="219" spans="1:19">
      <c r="A219" s="102" t="s">
        <v>552</v>
      </c>
      <c r="B219" s="2">
        <v>45424</v>
      </c>
      <c r="C219" s="1" t="s">
        <v>553</v>
      </c>
      <c r="D219" s="1" t="s">
        <v>279</v>
      </c>
      <c r="E219" s="1" t="s">
        <v>103</v>
      </c>
      <c r="F219" s="83">
        <v>9</v>
      </c>
      <c r="G219" s="92">
        <v>2660</v>
      </c>
      <c r="H219" s="3">
        <v>13.1</v>
      </c>
      <c r="I219" s="3">
        <v>20803.86</v>
      </c>
      <c r="J219" s="1" t="s">
        <v>93</v>
      </c>
      <c r="K219" s="1" t="s">
        <v>112</v>
      </c>
      <c r="L219" t="str">
        <f>VLOOKUP(D219, Products!A:C, 3, FALSE)</f>
        <v>Electronics</v>
      </c>
      <c r="M219" t="str">
        <f>VLOOKUP(C219, Customers!A:E, 5, FALSE)</f>
        <v>Retail</v>
      </c>
      <c r="N219">
        <f>VLOOKUP(C219, Customers!A:E, 3, FALSE)</f>
        <v>65</v>
      </c>
      <c r="O219" s="93" t="str">
        <f>VLOOKUP(E219, Sales_Reps!A:C, 3, FALSE)</f>
        <v>North</v>
      </c>
      <c r="P219">
        <f>VLOOKUP(D219, Products!A:E, 4, FALSE)</f>
        <v>1259</v>
      </c>
      <c r="Q219">
        <f>IF(COUNTIF($A$2:A219, A219)=2, 1, 0)</f>
        <v>0</v>
      </c>
      <c r="R219">
        <f>IF(ISNA(MATCH(C219, Customers!$A:$A, 0)), 1, 0)</f>
        <v>0</v>
      </c>
      <c r="S219" s="94" t="b">
        <f>VLOOKUP(D219, Products!A:F, 6, FALSE)</f>
        <v>0</v>
      </c>
    </row>
    <row r="220" spans="1:19">
      <c r="A220" s="102" t="s">
        <v>554</v>
      </c>
      <c r="B220" s="2">
        <v>45400</v>
      </c>
      <c r="C220" s="1" t="s">
        <v>555</v>
      </c>
      <c r="D220" s="1" t="s">
        <v>187</v>
      </c>
      <c r="E220" s="1" t="s">
        <v>139</v>
      </c>
      <c r="F220" s="83">
        <v>4</v>
      </c>
      <c r="G220" s="92">
        <v>3570</v>
      </c>
      <c r="H220" s="3">
        <v>1.5</v>
      </c>
      <c r="I220" s="3">
        <v>14065.8</v>
      </c>
      <c r="J220" s="1" t="s">
        <v>140</v>
      </c>
      <c r="K220" s="1" t="s">
        <v>112</v>
      </c>
      <c r="L220" t="str">
        <f>VLOOKUP(D220, Products!A:C, 3, FALSE)</f>
        <v>Electronics</v>
      </c>
      <c r="M220" t="str">
        <f>VLOOKUP(C220, Customers!A:E, 5, FALSE)</f>
        <v>Retail</v>
      </c>
      <c r="N220">
        <f>VLOOKUP(C220, Customers!A:E, 3, FALSE)</f>
        <v>37</v>
      </c>
      <c r="O220" s="93" t="str">
        <f>VLOOKUP(E220, Sales_Reps!A:C, 3, FALSE)</f>
        <v>North</v>
      </c>
      <c r="P220">
        <f>VLOOKUP(D220, Products!A:E, 4, FALSE)</f>
        <v>1665</v>
      </c>
      <c r="Q220">
        <f>IF(COUNTIF($A$2:A220, A220)=2, 1, 0)</f>
        <v>0</v>
      </c>
      <c r="R220">
        <f>IF(ISNA(MATCH(C220, Customers!$A:$A, 0)), 1, 0)</f>
        <v>0</v>
      </c>
      <c r="S220" s="94" t="b">
        <f>VLOOKUP(D220, Products!A:F, 6, FALSE)</f>
        <v>1</v>
      </c>
    </row>
    <row r="221" spans="1:19">
      <c r="A221" s="102" t="s">
        <v>556</v>
      </c>
      <c r="B221" s="2">
        <v>45531</v>
      </c>
      <c r="C221" s="1" t="s">
        <v>557</v>
      </c>
      <c r="D221" s="1" t="s">
        <v>380</v>
      </c>
      <c r="E221" s="1" t="s">
        <v>215</v>
      </c>
      <c r="F221" s="83">
        <v>2</v>
      </c>
      <c r="G221" s="92">
        <v>960</v>
      </c>
      <c r="H221" s="3">
        <v>18.600000000000001</v>
      </c>
      <c r="I221" s="3">
        <v>1562.88</v>
      </c>
      <c r="J221" s="1" t="s">
        <v>87</v>
      </c>
      <c r="K221" s="1" t="s">
        <v>112</v>
      </c>
      <c r="L221" t="str">
        <f>VLOOKUP(D221, Products!A:C, 3, FALSE)</f>
        <v>Beauty</v>
      </c>
      <c r="M221" t="str">
        <f>VLOOKUP(C221, Customers!A:E, 5, FALSE)</f>
        <v>Retail</v>
      </c>
      <c r="N221">
        <f>VLOOKUP(C221, Customers!A:E, 3, FALSE)</f>
        <v>65</v>
      </c>
      <c r="O221" s="93" t="str">
        <f>VLOOKUP(E221, Sales_Reps!A:C, 3, FALSE)</f>
        <v>North</v>
      </c>
      <c r="P221">
        <f>VLOOKUP(D221, Products!A:E, 4, FALSE)</f>
        <v>675</v>
      </c>
      <c r="Q221">
        <f>IF(COUNTIF($A$2:A221, A221)=2, 1, 0)</f>
        <v>0</v>
      </c>
      <c r="R221">
        <f>IF(ISNA(MATCH(C221, Customers!$A:$A, 0)), 1, 0)</f>
        <v>0</v>
      </c>
      <c r="S221" s="94" t="b">
        <f>VLOOKUP(D221, Products!A:F, 6, FALSE)</f>
        <v>1</v>
      </c>
    </row>
    <row r="222" spans="1:19">
      <c r="A222" s="102" t="s">
        <v>558</v>
      </c>
      <c r="B222" s="2">
        <v>45546</v>
      </c>
      <c r="C222" s="1" t="s">
        <v>559</v>
      </c>
      <c r="D222" s="1" t="s">
        <v>157</v>
      </c>
      <c r="E222" s="1" t="s">
        <v>303</v>
      </c>
      <c r="F222" s="83">
        <v>2</v>
      </c>
      <c r="G222" s="92">
        <v>3450</v>
      </c>
      <c r="H222" s="3">
        <v>3.7</v>
      </c>
      <c r="I222" s="3">
        <v>6644.7</v>
      </c>
      <c r="J222" s="1" t="s">
        <v>87</v>
      </c>
      <c r="K222" s="1" t="s">
        <v>88</v>
      </c>
      <c r="L222" t="str">
        <f>VLOOKUP(D222, Products!A:C, 3, FALSE)</f>
        <v>Beauty</v>
      </c>
      <c r="M222" t="str">
        <f>VLOOKUP(C222, Customers!A:E, 5, FALSE)</f>
        <v>Retail</v>
      </c>
      <c r="N222">
        <f>VLOOKUP(C222, Customers!A:E, 3, FALSE)</f>
        <v>62</v>
      </c>
      <c r="O222" s="93" t="str">
        <f>VLOOKUP(E222, Sales_Reps!A:C, 3, FALSE)</f>
        <v>East</v>
      </c>
      <c r="P222">
        <f>VLOOKUP(D222, Products!A:E, 4, FALSE)</f>
        <v>2420</v>
      </c>
      <c r="Q222">
        <f>IF(COUNTIF($A$2:A222, A222)=2, 1, 0)</f>
        <v>0</v>
      </c>
      <c r="R222">
        <f>IF(ISNA(MATCH(C222, Customers!$A:$A, 0)), 1, 0)</f>
        <v>0</v>
      </c>
      <c r="S222" s="94" t="b">
        <f>VLOOKUP(D222, Products!A:F, 6, FALSE)</f>
        <v>1</v>
      </c>
    </row>
    <row r="223" spans="1:19">
      <c r="A223" s="102" t="s">
        <v>560</v>
      </c>
      <c r="B223" s="2">
        <v>45608</v>
      </c>
      <c r="C223" s="1" t="s">
        <v>561</v>
      </c>
      <c r="D223" s="1" t="s">
        <v>191</v>
      </c>
      <c r="E223" s="1" t="s">
        <v>86</v>
      </c>
      <c r="F223" s="83">
        <v>6</v>
      </c>
      <c r="G223" s="92">
        <v>5100</v>
      </c>
      <c r="H223" s="3">
        <v>1.2</v>
      </c>
      <c r="I223" s="3">
        <v>30232.799999999999</v>
      </c>
      <c r="J223" s="1" t="s">
        <v>87</v>
      </c>
      <c r="K223" s="1" t="s">
        <v>133</v>
      </c>
      <c r="L223" t="str">
        <f>VLOOKUP(D223, Products!A:C, 3, FALSE)</f>
        <v>Beauty</v>
      </c>
      <c r="M223" t="str">
        <f>VLOOKUP(C223, Customers!A:E, 5, FALSE)</f>
        <v>SMB</v>
      </c>
      <c r="N223">
        <f>VLOOKUP(C223, Customers!A:E, 3, FALSE)</f>
        <v>43</v>
      </c>
      <c r="O223" s="93" t="str">
        <f>VLOOKUP(E223, Sales_Reps!A:C, 3, FALSE)</f>
        <v>North</v>
      </c>
      <c r="P223">
        <f>VLOOKUP(D223, Products!A:E, 4, FALSE)</f>
        <v>2237</v>
      </c>
      <c r="Q223">
        <f>IF(COUNTIF($A$2:A223, A223)=2, 1, 0)</f>
        <v>0</v>
      </c>
      <c r="R223">
        <f>IF(ISNA(MATCH(C223, Customers!$A:$A, 0)), 1, 0)</f>
        <v>0</v>
      </c>
      <c r="S223" s="94" t="b">
        <f>VLOOKUP(D223, Products!A:F, 6, FALSE)</f>
        <v>1</v>
      </c>
    </row>
    <row r="224" spans="1:19">
      <c r="A224" s="102" t="s">
        <v>562</v>
      </c>
      <c r="B224" s="2">
        <v>45614</v>
      </c>
      <c r="C224" s="1" t="s">
        <v>563</v>
      </c>
      <c r="D224" s="1" t="s">
        <v>282</v>
      </c>
      <c r="E224" s="1" t="s">
        <v>92</v>
      </c>
      <c r="F224" s="83">
        <v>9</v>
      </c>
      <c r="G224" s="92">
        <v>300</v>
      </c>
      <c r="H224" s="3">
        <v>25.4</v>
      </c>
      <c r="I224" s="3">
        <v>2014.2</v>
      </c>
      <c r="J224" s="1" t="s">
        <v>140</v>
      </c>
      <c r="K224" s="1" t="s">
        <v>88</v>
      </c>
      <c r="L224" t="str">
        <f>VLOOKUP(D224, Products!A:C, 3, FALSE)</f>
        <v>Electronics</v>
      </c>
      <c r="M224" t="str">
        <f>VLOOKUP(C224, Customers!A:E, 5, FALSE)</f>
        <v>SMB</v>
      </c>
      <c r="N224">
        <f>VLOOKUP(C224, Customers!A:E, 3, FALSE)</f>
        <v>24</v>
      </c>
      <c r="O224" s="93" t="str">
        <f>VLOOKUP(E224, Sales_Reps!A:C, 3, FALSE)</f>
        <v>North</v>
      </c>
      <c r="P224">
        <f>VLOOKUP(D224, Products!A:E, 4, FALSE)</f>
        <v>128</v>
      </c>
      <c r="Q224">
        <f>IF(COUNTIF($A$2:A224, A224)=2, 1, 0)</f>
        <v>0</v>
      </c>
      <c r="R224">
        <f>IF(ISNA(MATCH(C224, Customers!$A:$A, 0)), 1, 0)</f>
        <v>0</v>
      </c>
      <c r="S224" s="94" t="b">
        <f>VLOOKUP(D224, Products!A:F, 6, FALSE)</f>
        <v>1</v>
      </c>
    </row>
    <row r="225" spans="1:19">
      <c r="A225" s="102" t="s">
        <v>564</v>
      </c>
      <c r="B225" s="2">
        <v>45405</v>
      </c>
      <c r="C225" s="1" t="s">
        <v>565</v>
      </c>
      <c r="D225" s="1" t="s">
        <v>184</v>
      </c>
      <c r="E225" s="1" t="s">
        <v>192</v>
      </c>
      <c r="F225" s="83">
        <v>7</v>
      </c>
      <c r="G225" s="92">
        <v>4880</v>
      </c>
      <c r="H225" s="3">
        <v>16.899999999999999</v>
      </c>
      <c r="I225" s="3">
        <v>28386.959999999999</v>
      </c>
      <c r="J225" s="1" t="s">
        <v>93</v>
      </c>
      <c r="K225" s="1" t="s">
        <v>112</v>
      </c>
      <c r="L225" t="str">
        <f>VLOOKUP(D225, Products!A:C, 3, FALSE)</f>
        <v>Beauty</v>
      </c>
      <c r="M225" t="str">
        <f>VLOOKUP(C225, Customers!A:E, 5, FALSE)</f>
        <v>SMB</v>
      </c>
      <c r="N225">
        <f>VLOOKUP(C225, Customers!A:E, 3, FALSE)</f>
        <v>61</v>
      </c>
      <c r="O225" s="93" t="str">
        <f>VLOOKUP(E225, Sales_Reps!A:C, 3, FALSE)</f>
        <v>East</v>
      </c>
      <c r="P225">
        <f>VLOOKUP(D225, Products!A:E, 4, FALSE)</f>
        <v>2768</v>
      </c>
      <c r="Q225">
        <f>IF(COUNTIF($A$2:A225, A225)=2, 1, 0)</f>
        <v>0</v>
      </c>
      <c r="R225">
        <f>IF(ISNA(MATCH(C225, Customers!$A:$A, 0)), 1, 0)</f>
        <v>0</v>
      </c>
      <c r="S225" s="94" t="b">
        <f>VLOOKUP(D225, Products!A:F, 6, FALSE)</f>
        <v>1</v>
      </c>
    </row>
    <row r="226" spans="1:19">
      <c r="A226" s="102" t="s">
        <v>566</v>
      </c>
      <c r="B226" s="2">
        <v>45504</v>
      </c>
      <c r="C226" s="1" t="s">
        <v>567</v>
      </c>
      <c r="D226" s="1" t="s">
        <v>143</v>
      </c>
      <c r="E226" s="1" t="s">
        <v>154</v>
      </c>
      <c r="F226" s="83">
        <v>9</v>
      </c>
      <c r="G226" s="92">
        <v>3250</v>
      </c>
      <c r="H226" s="3">
        <v>10.8</v>
      </c>
      <c r="I226" s="3">
        <v>26091</v>
      </c>
      <c r="J226" s="1" t="s">
        <v>140</v>
      </c>
      <c r="K226" s="1" t="s">
        <v>117</v>
      </c>
      <c r="L226" t="str">
        <f>VLOOKUP(D226, Products!A:C, 3, FALSE)</f>
        <v>Home</v>
      </c>
      <c r="M226" t="str">
        <f>VLOOKUP(C226, Customers!A:E, 5, FALSE)</f>
        <v>Corporate</v>
      </c>
      <c r="N226">
        <f>VLOOKUP(C226, Customers!A:E, 3, FALSE)</f>
        <v>41</v>
      </c>
      <c r="O226" s="93" t="str">
        <f>VLOOKUP(E226, Sales_Reps!A:C, 3, FALSE)</f>
        <v>East</v>
      </c>
      <c r="P226">
        <f>VLOOKUP(D226, Products!A:E, 4, FALSE)</f>
        <v>1556</v>
      </c>
      <c r="Q226">
        <f>IF(COUNTIF($A$2:A226, A226)=2, 1, 0)</f>
        <v>0</v>
      </c>
      <c r="R226">
        <f>IF(ISNA(MATCH(C226, Customers!$A:$A, 0)), 1, 0)</f>
        <v>0</v>
      </c>
      <c r="S226" s="94" t="b">
        <f>VLOOKUP(D226, Products!A:F, 6, FALSE)</f>
        <v>1</v>
      </c>
    </row>
    <row r="227" spans="1:19">
      <c r="A227" s="102" t="s">
        <v>568</v>
      </c>
      <c r="B227" s="2">
        <v>45298</v>
      </c>
      <c r="C227" s="1" t="s">
        <v>442</v>
      </c>
      <c r="D227" s="1" t="s">
        <v>157</v>
      </c>
      <c r="E227" s="1" t="s">
        <v>103</v>
      </c>
      <c r="F227" s="83">
        <v>3</v>
      </c>
      <c r="G227" s="92">
        <v>3450</v>
      </c>
      <c r="H227" s="3">
        <v>5.4</v>
      </c>
      <c r="I227" s="3">
        <v>9791.1</v>
      </c>
      <c r="J227" s="1" t="s">
        <v>93</v>
      </c>
      <c r="K227" s="1" t="s">
        <v>88</v>
      </c>
      <c r="L227" t="str">
        <f>VLOOKUP(D227, Products!A:C, 3, FALSE)</f>
        <v>Beauty</v>
      </c>
      <c r="M227" t="str">
        <f>VLOOKUP(C227, Customers!A:E, 5, FALSE)</f>
        <v>Retail</v>
      </c>
      <c r="N227">
        <f>VLOOKUP(C227, Customers!A:E, 3, FALSE)</f>
        <v>65</v>
      </c>
      <c r="O227" s="93" t="str">
        <f>VLOOKUP(E227, Sales_Reps!A:C, 3, FALSE)</f>
        <v>North</v>
      </c>
      <c r="P227">
        <f>VLOOKUP(D227, Products!A:E, 4, FALSE)</f>
        <v>2420</v>
      </c>
      <c r="Q227">
        <f>IF(COUNTIF($A$2:A227, A227)=2, 1, 0)</f>
        <v>0</v>
      </c>
      <c r="R227">
        <f>IF(ISNA(MATCH(C227, Customers!$A:$A, 0)), 1, 0)</f>
        <v>0</v>
      </c>
      <c r="S227" s="94" t="b">
        <f>VLOOKUP(D227, Products!A:F, 6, FALSE)</f>
        <v>1</v>
      </c>
    </row>
    <row r="228" spans="1:19">
      <c r="A228" s="102" t="s">
        <v>569</v>
      </c>
      <c r="B228" s="2">
        <v>45346</v>
      </c>
      <c r="C228" s="1" t="s">
        <v>570</v>
      </c>
      <c r="D228" s="1" t="s">
        <v>241</v>
      </c>
      <c r="E228" s="1" t="s">
        <v>158</v>
      </c>
      <c r="F228" s="83">
        <v>5</v>
      </c>
      <c r="G228" s="92">
        <v>6080</v>
      </c>
      <c r="H228" s="3">
        <v>18</v>
      </c>
      <c r="I228" s="3">
        <v>24928</v>
      </c>
      <c r="J228" s="1" t="s">
        <v>87</v>
      </c>
      <c r="K228" s="1" t="s">
        <v>99</v>
      </c>
      <c r="L228" t="str">
        <f>VLOOKUP(D228, Products!A:C, 3, FALSE)</f>
        <v>Beauty</v>
      </c>
      <c r="M228" t="str">
        <f>VLOOKUP(C228, Customers!A:E, 5, FALSE)</f>
        <v>Corporate</v>
      </c>
      <c r="N228">
        <f>VLOOKUP(C228, Customers!A:E, 3, FALSE)</f>
        <v>47</v>
      </c>
      <c r="O228" s="93" t="str">
        <f>VLOOKUP(E228, Sales_Reps!A:C, 3, FALSE)</f>
        <v>East</v>
      </c>
      <c r="P228">
        <f>VLOOKUP(D228, Products!A:E, 4, FALSE)</f>
        <v>2617</v>
      </c>
      <c r="Q228">
        <f>IF(COUNTIF($A$2:A228, A228)=2, 1, 0)</f>
        <v>0</v>
      </c>
      <c r="R228">
        <f>IF(ISNA(MATCH(C228, Customers!$A:$A, 0)), 1, 0)</f>
        <v>0</v>
      </c>
      <c r="S228" s="94" t="b">
        <f>VLOOKUP(D228, Products!A:F, 6, FALSE)</f>
        <v>1</v>
      </c>
    </row>
    <row r="229" spans="1:19">
      <c r="A229" s="102" t="s">
        <v>571</v>
      </c>
      <c r="B229" s="2">
        <v>45487</v>
      </c>
      <c r="C229" s="1" t="s">
        <v>440</v>
      </c>
      <c r="D229" s="1" t="s">
        <v>241</v>
      </c>
      <c r="E229" s="1" t="s">
        <v>285</v>
      </c>
      <c r="F229" s="83">
        <v>7</v>
      </c>
      <c r="G229" s="92">
        <v>6080</v>
      </c>
      <c r="H229" s="3">
        <v>9.1999999999999993</v>
      </c>
      <c r="I229" s="3">
        <v>38644.480000000003</v>
      </c>
      <c r="J229" s="1" t="s">
        <v>87</v>
      </c>
      <c r="K229" s="1" t="s">
        <v>88</v>
      </c>
      <c r="L229" t="str">
        <f>VLOOKUP(D229, Products!A:C, 3, FALSE)</f>
        <v>Beauty</v>
      </c>
      <c r="M229" t="str">
        <f>VLOOKUP(C229, Customers!A:E, 5, FALSE)</f>
        <v>SMB</v>
      </c>
      <c r="N229">
        <f>VLOOKUP(C229, Customers!A:E, 3, FALSE)</f>
        <v>30</v>
      </c>
      <c r="O229" s="93" t="str">
        <f>VLOOKUP(E229, Sales_Reps!A:C, 3, FALSE)</f>
        <v>East</v>
      </c>
      <c r="P229">
        <f>VLOOKUP(D229, Products!A:E, 4, FALSE)</f>
        <v>2617</v>
      </c>
      <c r="Q229">
        <f>IF(COUNTIF($A$2:A229, A229)=2, 1, 0)</f>
        <v>0</v>
      </c>
      <c r="R229">
        <f>IF(ISNA(MATCH(C229, Customers!$A:$A, 0)), 1, 0)</f>
        <v>0</v>
      </c>
      <c r="S229" s="94" t="b">
        <f>VLOOKUP(D229, Products!A:F, 6, FALSE)</f>
        <v>1</v>
      </c>
    </row>
    <row r="230" spans="1:19">
      <c r="A230" s="102" t="s">
        <v>572</v>
      </c>
      <c r="B230" s="2">
        <v>45585</v>
      </c>
      <c r="C230" s="1" t="s">
        <v>539</v>
      </c>
      <c r="D230" s="1" t="s">
        <v>131</v>
      </c>
      <c r="E230" s="1" t="s">
        <v>98</v>
      </c>
      <c r="F230" s="83">
        <v>5</v>
      </c>
      <c r="G230" s="92">
        <v>2270</v>
      </c>
      <c r="H230" s="3">
        <v>0.4</v>
      </c>
      <c r="I230" s="3">
        <v>11304.6</v>
      </c>
      <c r="J230" s="1" t="s">
        <v>140</v>
      </c>
      <c r="K230" s="1" t="s">
        <v>133</v>
      </c>
      <c r="L230" t="str">
        <f>VLOOKUP(D230, Products!A:C, 3, FALSE)</f>
        <v>Grocery</v>
      </c>
      <c r="M230" t="str">
        <f>VLOOKUP(C230, Customers!A:E, 5, FALSE)</f>
        <v>Retail</v>
      </c>
      <c r="N230">
        <f>VLOOKUP(C230, Customers!A:E, 3, FALSE)</f>
        <v>38</v>
      </c>
      <c r="O230" s="93" t="str">
        <f>VLOOKUP(E230, Sales_Reps!A:C, 3, FALSE)</f>
        <v>South</v>
      </c>
      <c r="P230">
        <f>VLOOKUP(D230, Products!A:E, 4, FALSE)</f>
        <v>1203</v>
      </c>
      <c r="Q230">
        <f>IF(COUNTIF($A$2:A230, A230)=2, 1, 0)</f>
        <v>0</v>
      </c>
      <c r="R230">
        <f>IF(ISNA(MATCH(C230, Customers!$A:$A, 0)), 1, 0)</f>
        <v>0</v>
      </c>
      <c r="S230" s="94" t="b">
        <f>VLOOKUP(D230, Products!A:F, 6, FALSE)</f>
        <v>1</v>
      </c>
    </row>
    <row r="231" spans="1:19">
      <c r="A231" s="102" t="s">
        <v>573</v>
      </c>
      <c r="B231" s="2">
        <v>45373</v>
      </c>
      <c r="C231" s="1" t="s">
        <v>371</v>
      </c>
      <c r="D231" s="1" t="s">
        <v>184</v>
      </c>
      <c r="E231" s="1" t="s">
        <v>346</v>
      </c>
      <c r="F231" s="83">
        <v>10</v>
      </c>
      <c r="G231" s="92">
        <v>4880</v>
      </c>
      <c r="H231" s="3">
        <v>24.5</v>
      </c>
      <c r="I231" s="3">
        <v>36844</v>
      </c>
      <c r="J231" s="1" t="s">
        <v>144</v>
      </c>
      <c r="K231" s="1" t="s">
        <v>112</v>
      </c>
      <c r="L231" t="str">
        <f>VLOOKUP(D231, Products!A:C, 3, FALSE)</f>
        <v>Beauty</v>
      </c>
      <c r="M231" t="str">
        <f>VLOOKUP(C231, Customers!A:E, 5, FALSE)</f>
        <v>Retail</v>
      </c>
      <c r="N231">
        <f>VLOOKUP(C231, Customers!A:E, 3, FALSE)</f>
        <v>42</v>
      </c>
      <c r="O231" s="93" t="str">
        <f>VLOOKUP(E231, Sales_Reps!A:C, 3, FALSE)</f>
        <v>South</v>
      </c>
      <c r="P231">
        <f>VLOOKUP(D231, Products!A:E, 4, FALSE)</f>
        <v>2768</v>
      </c>
      <c r="Q231">
        <f>IF(COUNTIF($A$2:A231, A231)=2, 1, 0)</f>
        <v>0</v>
      </c>
      <c r="R231">
        <f>IF(ISNA(MATCH(C231, Customers!$A:$A, 0)), 1, 0)</f>
        <v>0</v>
      </c>
      <c r="S231" s="94" t="b">
        <f>VLOOKUP(D231, Products!A:F, 6, FALSE)</f>
        <v>1</v>
      </c>
    </row>
    <row r="232" spans="1:19">
      <c r="A232" s="102" t="s">
        <v>574</v>
      </c>
      <c r="B232" s="2">
        <v>45293</v>
      </c>
      <c r="C232" s="1" t="s">
        <v>178</v>
      </c>
      <c r="D232" s="1" t="s">
        <v>367</v>
      </c>
      <c r="E232" s="1" t="s">
        <v>297</v>
      </c>
      <c r="F232" s="83">
        <v>2</v>
      </c>
      <c r="G232" s="92">
        <v>2380</v>
      </c>
      <c r="H232" s="3">
        <v>2.2999999999999998</v>
      </c>
      <c r="I232" s="3">
        <v>4650.5200000000004</v>
      </c>
      <c r="J232" s="1" t="s">
        <v>87</v>
      </c>
      <c r="K232" s="1" t="s">
        <v>94</v>
      </c>
      <c r="L232" t="str">
        <f>VLOOKUP(D232, Products!A:C, 3, FALSE)</f>
        <v>Grocery</v>
      </c>
      <c r="M232" t="str">
        <f>VLOOKUP(C232, Customers!A:E, 5, FALSE)</f>
        <v>Corporate</v>
      </c>
      <c r="N232">
        <f>VLOOKUP(C232, Customers!A:E, 3, FALSE)</f>
        <v>55</v>
      </c>
      <c r="O232" s="93" t="str">
        <f>VLOOKUP(E232, Sales_Reps!A:C, 3, FALSE)</f>
        <v>North</v>
      </c>
      <c r="P232">
        <f>VLOOKUP(D232, Products!A:E, 4, FALSE)</f>
        <v>1182</v>
      </c>
      <c r="Q232">
        <f>IF(COUNTIF($A$2:A232, A232)=2, 1, 0)</f>
        <v>0</v>
      </c>
      <c r="R232">
        <f>IF(ISNA(MATCH(C232, Customers!$A:$A, 0)), 1, 0)</f>
        <v>0</v>
      </c>
      <c r="S232" s="94" t="b">
        <f>VLOOKUP(D232, Products!A:F, 6, FALSE)</f>
        <v>1</v>
      </c>
    </row>
    <row r="233" spans="1:19">
      <c r="A233" s="102" t="s">
        <v>575</v>
      </c>
      <c r="B233" s="2">
        <v>45498</v>
      </c>
      <c r="C233" s="1" t="s">
        <v>289</v>
      </c>
      <c r="D233" s="1" t="s">
        <v>182</v>
      </c>
      <c r="E233" s="1" t="s">
        <v>111</v>
      </c>
      <c r="F233" s="83">
        <v>1</v>
      </c>
      <c r="G233" s="92">
        <v>1010</v>
      </c>
      <c r="H233" s="3">
        <v>29.9</v>
      </c>
      <c r="I233" s="3">
        <v>708.01</v>
      </c>
      <c r="J233" s="1" t="s">
        <v>87</v>
      </c>
      <c r="K233" s="1" t="s">
        <v>94</v>
      </c>
      <c r="L233" t="str">
        <f>VLOOKUP(D233, Products!A:C, 3, FALSE)</f>
        <v>Sports</v>
      </c>
      <c r="M233" t="str">
        <f>VLOOKUP(C233, Customers!A:E, 5, FALSE)</f>
        <v>Retail</v>
      </c>
      <c r="N233">
        <f>VLOOKUP(C233, Customers!A:E, 3, FALSE)</f>
        <v>38</v>
      </c>
      <c r="O233" s="93" t="str">
        <f>VLOOKUP(E233, Sales_Reps!A:C, 3, FALSE)</f>
        <v>West</v>
      </c>
      <c r="P233">
        <f>VLOOKUP(D233, Products!A:E, 4, FALSE)</f>
        <v>516</v>
      </c>
      <c r="Q233">
        <f>IF(COUNTIF($A$2:A233, A233)=2, 1, 0)</f>
        <v>0</v>
      </c>
      <c r="R233">
        <f>IF(ISNA(MATCH(C233, Customers!$A:$A, 0)), 1, 0)</f>
        <v>0</v>
      </c>
      <c r="S233" s="94" t="b">
        <f>VLOOKUP(D233, Products!A:F, 6, FALSE)</f>
        <v>1</v>
      </c>
    </row>
    <row r="234" spans="1:19">
      <c r="A234" s="102" t="s">
        <v>576</v>
      </c>
      <c r="B234" s="2">
        <v>45643</v>
      </c>
      <c r="C234" s="1" t="s">
        <v>312</v>
      </c>
      <c r="D234" s="1" t="s">
        <v>515</v>
      </c>
      <c r="E234" s="1" t="s">
        <v>229</v>
      </c>
      <c r="F234" s="83">
        <v>7</v>
      </c>
      <c r="G234" s="92">
        <v>6940</v>
      </c>
      <c r="H234" s="3">
        <v>25.8</v>
      </c>
      <c r="I234" s="3">
        <v>36046.36</v>
      </c>
      <c r="J234" s="1" t="s">
        <v>87</v>
      </c>
      <c r="K234" s="1" t="s">
        <v>133</v>
      </c>
      <c r="L234" t="str">
        <f>VLOOKUP(D234, Products!A:C, 3, FALSE)</f>
        <v>Sports</v>
      </c>
      <c r="M234" t="str">
        <f>VLOOKUP(C234, Customers!A:E, 5, FALSE)</f>
        <v>Retail</v>
      </c>
      <c r="N234">
        <f>VLOOKUP(C234, Customers!A:E, 3, FALSE)</f>
        <v>46</v>
      </c>
      <c r="O234" s="93" t="str">
        <f>VLOOKUP(E234, Sales_Reps!A:C, 3, FALSE)</f>
        <v>West</v>
      </c>
      <c r="P234">
        <f>VLOOKUP(D234, Products!A:E, 4, FALSE)</f>
        <v>2827</v>
      </c>
      <c r="Q234">
        <f>IF(COUNTIF($A$2:A234, A234)=2, 1, 0)</f>
        <v>0</v>
      </c>
      <c r="R234">
        <f>IF(ISNA(MATCH(C234, Customers!$A:$A, 0)), 1, 0)</f>
        <v>0</v>
      </c>
      <c r="S234" s="94" t="b">
        <f>VLOOKUP(D234, Products!A:F, 6, FALSE)</f>
        <v>1</v>
      </c>
    </row>
    <row r="235" spans="1:19">
      <c r="A235" s="102" t="s">
        <v>577</v>
      </c>
      <c r="B235" s="2">
        <v>45542</v>
      </c>
      <c r="C235" s="1" t="s">
        <v>553</v>
      </c>
      <c r="D235" s="1" t="s">
        <v>386</v>
      </c>
      <c r="E235" s="1" t="s">
        <v>116</v>
      </c>
      <c r="F235" s="83">
        <v>6</v>
      </c>
      <c r="G235" s="92">
        <v>2290</v>
      </c>
      <c r="H235" s="3">
        <v>25.9</v>
      </c>
      <c r="I235" s="3">
        <v>10181.34</v>
      </c>
      <c r="J235" s="1" t="s">
        <v>93</v>
      </c>
      <c r="K235" s="1" t="s">
        <v>112</v>
      </c>
      <c r="L235" t="str">
        <f>VLOOKUP(D235, Products!A:C, 3, FALSE)</f>
        <v>Beauty</v>
      </c>
      <c r="M235" t="str">
        <f>VLOOKUP(C235, Customers!A:E, 5, FALSE)</f>
        <v>Retail</v>
      </c>
      <c r="N235">
        <f>VLOOKUP(C235, Customers!A:E, 3, FALSE)</f>
        <v>65</v>
      </c>
      <c r="O235" s="93" t="str">
        <f>VLOOKUP(E235, Sales_Reps!A:C, 3, FALSE)</f>
        <v>West</v>
      </c>
      <c r="P235">
        <f>VLOOKUP(D235, Products!A:E, 4, FALSE)</f>
        <v>1219</v>
      </c>
      <c r="Q235">
        <f>IF(COUNTIF($A$2:A235, A235)=2, 1, 0)</f>
        <v>0</v>
      </c>
      <c r="R235">
        <f>IF(ISNA(MATCH(C235, Customers!$A:$A, 0)), 1, 0)</f>
        <v>0</v>
      </c>
      <c r="S235" s="94" t="b">
        <f>VLOOKUP(D235, Products!A:F, 6, FALSE)</f>
        <v>1</v>
      </c>
    </row>
    <row r="236" spans="1:19">
      <c r="A236" s="102" t="s">
        <v>578</v>
      </c>
      <c r="B236" s="2">
        <v>45508</v>
      </c>
      <c r="C236" s="1" t="s">
        <v>137</v>
      </c>
      <c r="D236" s="1" t="s">
        <v>110</v>
      </c>
      <c r="E236" s="1" t="s">
        <v>98</v>
      </c>
      <c r="F236" s="83">
        <v>2</v>
      </c>
      <c r="G236" s="92">
        <v>370</v>
      </c>
      <c r="H236" s="3">
        <v>3.9</v>
      </c>
      <c r="I236" s="3">
        <v>711.14</v>
      </c>
      <c r="J236" s="1" t="s">
        <v>87</v>
      </c>
      <c r="K236" s="1" t="s">
        <v>99</v>
      </c>
      <c r="L236" t="str">
        <f>VLOOKUP(D236, Products!A:C, 3, FALSE)</f>
        <v>Home</v>
      </c>
      <c r="M236" t="str">
        <f>VLOOKUP(C236, Customers!A:E, 5, FALSE)</f>
        <v>SMB</v>
      </c>
      <c r="N236">
        <f>VLOOKUP(C236, Customers!A:E, 3, FALSE)</f>
        <v>27</v>
      </c>
      <c r="O236" s="93" t="str">
        <f>VLOOKUP(E236, Sales_Reps!A:C, 3, FALSE)</f>
        <v>South</v>
      </c>
      <c r="P236">
        <f>VLOOKUP(D236, Products!A:E, 4, FALSE)</f>
        <v>288</v>
      </c>
      <c r="Q236">
        <f>IF(COUNTIF($A$2:A236, A236)=2, 1, 0)</f>
        <v>0</v>
      </c>
      <c r="R236">
        <f>IF(ISNA(MATCH(C236, Customers!$A:$A, 0)), 1, 0)</f>
        <v>0</v>
      </c>
      <c r="S236" s="94" t="b">
        <f>VLOOKUP(D236, Products!A:F, 6, FALSE)</f>
        <v>1</v>
      </c>
    </row>
    <row r="237" spans="1:19">
      <c r="A237" s="102" t="s">
        <v>579</v>
      </c>
      <c r="B237" s="2">
        <v>45353</v>
      </c>
      <c r="C237" s="1" t="s">
        <v>580</v>
      </c>
      <c r="D237" s="1" t="s">
        <v>245</v>
      </c>
      <c r="E237" s="1" t="s">
        <v>192</v>
      </c>
      <c r="F237" s="83">
        <v>1</v>
      </c>
      <c r="G237" s="92">
        <v>2270</v>
      </c>
      <c r="H237" s="3">
        <v>25.3</v>
      </c>
      <c r="I237" s="3">
        <v>1695.69</v>
      </c>
      <c r="J237" s="1" t="s">
        <v>87</v>
      </c>
      <c r="K237" s="1" t="s">
        <v>88</v>
      </c>
      <c r="L237" t="str">
        <f>VLOOKUP(D237, Products!A:C, 3, FALSE)</f>
        <v>Grocery</v>
      </c>
      <c r="M237" t="str">
        <f>VLOOKUP(C237, Customers!A:E, 5, FALSE)</f>
        <v>Corporate</v>
      </c>
      <c r="N237">
        <f>VLOOKUP(C237, Customers!A:E, 3, FALSE)</f>
        <v>40</v>
      </c>
      <c r="O237" s="93" t="str">
        <f>VLOOKUP(E237, Sales_Reps!A:C, 3, FALSE)</f>
        <v>East</v>
      </c>
      <c r="P237">
        <f>VLOOKUP(D237, Products!A:E, 4, FALSE)</f>
        <v>1412</v>
      </c>
      <c r="Q237">
        <f>IF(COUNTIF($A$2:A237, A237)=2, 1, 0)</f>
        <v>0</v>
      </c>
      <c r="R237">
        <f>IF(ISNA(MATCH(C237, Customers!$A:$A, 0)), 1, 0)</f>
        <v>0</v>
      </c>
      <c r="S237" s="94" t="b">
        <f>VLOOKUP(D237, Products!A:F, 6, FALSE)</f>
        <v>1</v>
      </c>
    </row>
    <row r="238" spans="1:19">
      <c r="A238" s="102" t="s">
        <v>581</v>
      </c>
      <c r="B238" s="2">
        <v>45344</v>
      </c>
      <c r="C238" s="1" t="s">
        <v>582</v>
      </c>
      <c r="D238" s="1" t="s">
        <v>241</v>
      </c>
      <c r="E238" s="1" t="s">
        <v>297</v>
      </c>
      <c r="F238" s="83">
        <v>4</v>
      </c>
      <c r="G238" s="92">
        <v>6080</v>
      </c>
      <c r="H238" s="3">
        <v>28.8</v>
      </c>
      <c r="I238" s="3">
        <v>17315.84</v>
      </c>
      <c r="J238" s="1" t="s">
        <v>93</v>
      </c>
      <c r="K238" s="1" t="s">
        <v>94</v>
      </c>
      <c r="L238" t="str">
        <f>VLOOKUP(D238, Products!A:C, 3, FALSE)</f>
        <v>Beauty</v>
      </c>
      <c r="M238" t="str">
        <f>VLOOKUP(C238, Customers!A:E, 5, FALSE)</f>
        <v>SMB</v>
      </c>
      <c r="N238">
        <f>VLOOKUP(C238, Customers!A:E, 3, FALSE)</f>
        <v>59</v>
      </c>
      <c r="O238" s="93" t="str">
        <f>VLOOKUP(E238, Sales_Reps!A:C, 3, FALSE)</f>
        <v>North</v>
      </c>
      <c r="P238">
        <f>VLOOKUP(D238, Products!A:E, 4, FALSE)</f>
        <v>2617</v>
      </c>
      <c r="Q238">
        <f>IF(COUNTIF($A$2:A238, A238)=2, 1, 0)</f>
        <v>0</v>
      </c>
      <c r="R238">
        <f>IF(ISNA(MATCH(C238, Customers!$A:$A, 0)), 1, 0)</f>
        <v>0</v>
      </c>
      <c r="S238" s="94" t="b">
        <f>VLOOKUP(D238, Products!A:F, 6, FALSE)</f>
        <v>1</v>
      </c>
    </row>
    <row r="239" spans="1:19">
      <c r="A239" s="102" t="s">
        <v>583</v>
      </c>
      <c r="B239" s="2">
        <v>45389</v>
      </c>
      <c r="C239" s="1" t="s">
        <v>247</v>
      </c>
      <c r="D239" s="1" t="s">
        <v>364</v>
      </c>
      <c r="E239" s="1" t="s">
        <v>303</v>
      </c>
      <c r="F239" s="83">
        <v>2</v>
      </c>
      <c r="G239" s="92">
        <v>5330</v>
      </c>
      <c r="H239" s="3">
        <v>23.8</v>
      </c>
      <c r="I239" s="3">
        <v>8122.92</v>
      </c>
      <c r="J239" s="1" t="s">
        <v>93</v>
      </c>
      <c r="K239" s="1" t="s">
        <v>117</v>
      </c>
      <c r="L239" t="str">
        <f>VLOOKUP(D239, Products!A:C, 3, FALSE)</f>
        <v>Electronics</v>
      </c>
      <c r="M239" t="str">
        <f>VLOOKUP(C239, Customers!A:E, 5, FALSE)</f>
        <v>Retail</v>
      </c>
      <c r="N239">
        <f>VLOOKUP(C239, Customers!A:E, 3, FALSE)</f>
        <v>34</v>
      </c>
      <c r="O239" s="93" t="str">
        <f>VLOOKUP(E239, Sales_Reps!A:C, 3, FALSE)</f>
        <v>East</v>
      </c>
      <c r="P239">
        <f>VLOOKUP(D239, Products!A:E, 4, FALSE)</f>
        <v>2405</v>
      </c>
      <c r="Q239">
        <f>IF(COUNTIF($A$2:A239, A239)=2, 1, 0)</f>
        <v>0</v>
      </c>
      <c r="R239">
        <f>IF(ISNA(MATCH(C239, Customers!$A:$A, 0)), 1, 0)</f>
        <v>0</v>
      </c>
      <c r="S239" s="94" t="b">
        <f>VLOOKUP(D239, Products!A:F, 6, FALSE)</f>
        <v>1</v>
      </c>
    </row>
    <row r="240" spans="1:19">
      <c r="A240" s="102" t="s">
        <v>584</v>
      </c>
      <c r="B240" s="2">
        <v>45344</v>
      </c>
      <c r="C240" s="1" t="s">
        <v>585</v>
      </c>
      <c r="D240" s="1" t="s">
        <v>264</v>
      </c>
      <c r="E240" s="1" t="s">
        <v>116</v>
      </c>
      <c r="F240" s="83">
        <v>2</v>
      </c>
      <c r="G240" s="92">
        <v>4070</v>
      </c>
      <c r="H240" s="3">
        <v>4.3</v>
      </c>
      <c r="I240" s="3">
        <v>7789.98</v>
      </c>
      <c r="J240" s="1" t="s">
        <v>87</v>
      </c>
      <c r="K240" s="1" t="s">
        <v>94</v>
      </c>
      <c r="L240" t="str">
        <f>VLOOKUP(D240, Products!A:C, 3, FALSE)</f>
        <v>Grocery</v>
      </c>
      <c r="M240" t="str">
        <f>VLOOKUP(C240, Customers!A:E, 5, FALSE)</f>
        <v>Retail</v>
      </c>
      <c r="N240">
        <f>VLOOKUP(C240, Customers!A:E, 3, FALSE)</f>
        <v>26</v>
      </c>
      <c r="O240" s="93" t="str">
        <f>VLOOKUP(E240, Sales_Reps!A:C, 3, FALSE)</f>
        <v>West</v>
      </c>
      <c r="P240">
        <f>VLOOKUP(D240, Products!A:E, 4, FALSE)</f>
        <v>2027</v>
      </c>
      <c r="Q240">
        <f>IF(COUNTIF($A$2:A240, A240)=2, 1, 0)</f>
        <v>0</v>
      </c>
      <c r="R240">
        <f>IF(ISNA(MATCH(C240, Customers!$A:$A, 0)), 1, 0)</f>
        <v>0</v>
      </c>
      <c r="S240" s="94" t="b">
        <f>VLOOKUP(D240, Products!A:F, 6, FALSE)</f>
        <v>1</v>
      </c>
    </row>
    <row r="241" spans="1:19">
      <c r="A241" s="102" t="s">
        <v>586</v>
      </c>
      <c r="B241" s="2">
        <v>45480</v>
      </c>
      <c r="C241" s="1" t="s">
        <v>460</v>
      </c>
      <c r="D241" s="1" t="s">
        <v>282</v>
      </c>
      <c r="E241" s="1" t="s">
        <v>139</v>
      </c>
      <c r="F241" s="83">
        <v>6</v>
      </c>
      <c r="G241" s="92">
        <v>300</v>
      </c>
      <c r="H241" s="3">
        <v>17.399999999999999</v>
      </c>
      <c r="I241" s="3">
        <v>1486.8</v>
      </c>
      <c r="J241" s="1" t="s">
        <v>140</v>
      </c>
      <c r="K241" s="1" t="s">
        <v>88</v>
      </c>
      <c r="L241" t="str">
        <f>VLOOKUP(D241, Products!A:C, 3, FALSE)</f>
        <v>Electronics</v>
      </c>
      <c r="M241" t="str">
        <f>VLOOKUP(C241, Customers!A:E, 5, FALSE)</f>
        <v>Corporate</v>
      </c>
      <c r="N241">
        <f>VLOOKUP(C241, Customers!A:E, 3, FALSE)</f>
        <v>37</v>
      </c>
      <c r="O241" s="93" t="str">
        <f>VLOOKUP(E241, Sales_Reps!A:C, 3, FALSE)</f>
        <v>North</v>
      </c>
      <c r="P241">
        <f>VLOOKUP(D241, Products!A:E, 4, FALSE)</f>
        <v>128</v>
      </c>
      <c r="Q241">
        <f>IF(COUNTIF($A$2:A241, A241)=2, 1, 0)</f>
        <v>0</v>
      </c>
      <c r="R241">
        <f>IF(ISNA(MATCH(C241, Customers!$A:$A, 0)), 1, 0)</f>
        <v>0</v>
      </c>
      <c r="S241" s="94" t="b">
        <f>VLOOKUP(D241, Products!A:F, 6, FALSE)</f>
        <v>1</v>
      </c>
    </row>
    <row r="242" spans="1:19">
      <c r="A242" s="102" t="s">
        <v>587</v>
      </c>
      <c r="B242" s="2">
        <v>45488</v>
      </c>
      <c r="C242" s="1" t="s">
        <v>126</v>
      </c>
      <c r="D242" s="1" t="s">
        <v>184</v>
      </c>
      <c r="E242" s="1" t="s">
        <v>98</v>
      </c>
      <c r="F242" s="83">
        <v>1</v>
      </c>
      <c r="G242" s="92">
        <v>4880</v>
      </c>
      <c r="H242" s="3">
        <v>17.5</v>
      </c>
      <c r="I242" s="3">
        <v>4026</v>
      </c>
      <c r="J242" s="1" t="s">
        <v>87</v>
      </c>
      <c r="K242" s="1" t="s">
        <v>88</v>
      </c>
      <c r="L242" t="str">
        <f>VLOOKUP(D242, Products!A:C, 3, FALSE)</f>
        <v>Beauty</v>
      </c>
      <c r="M242" t="str">
        <f>VLOOKUP(C242, Customers!A:E, 5, FALSE)</f>
        <v>Retail</v>
      </c>
      <c r="N242">
        <f>VLOOKUP(C242, Customers!A:E, 3, FALSE)</f>
        <v>56</v>
      </c>
      <c r="O242" s="93" t="str">
        <f>VLOOKUP(E242, Sales_Reps!A:C, 3, FALSE)</f>
        <v>South</v>
      </c>
      <c r="P242">
        <f>VLOOKUP(D242, Products!A:E, 4, FALSE)</f>
        <v>2768</v>
      </c>
      <c r="Q242">
        <f>IF(COUNTIF($A$2:A242, A242)=2, 1, 0)</f>
        <v>0</v>
      </c>
      <c r="R242">
        <f>IF(ISNA(MATCH(C242, Customers!$A:$A, 0)), 1, 0)</f>
        <v>0</v>
      </c>
      <c r="S242" s="94" t="b">
        <f>VLOOKUP(D242, Products!A:F, 6, FALSE)</f>
        <v>1</v>
      </c>
    </row>
    <row r="243" spans="1:19">
      <c r="A243" s="102" t="s">
        <v>588</v>
      </c>
      <c r="B243" s="2">
        <v>45326</v>
      </c>
      <c r="C243" s="1" t="s">
        <v>589</v>
      </c>
      <c r="D243" s="1" t="s">
        <v>195</v>
      </c>
      <c r="E243" s="1" t="s">
        <v>343</v>
      </c>
      <c r="F243" s="83">
        <v>3</v>
      </c>
      <c r="G243" s="92">
        <v>2860</v>
      </c>
      <c r="H243" s="3">
        <v>20.100000000000001</v>
      </c>
      <c r="I243" s="3">
        <v>6855.42</v>
      </c>
      <c r="J243" s="1" t="s">
        <v>87</v>
      </c>
      <c r="K243" s="1" t="s">
        <v>94</v>
      </c>
      <c r="L243" t="str">
        <f>VLOOKUP(D243, Products!A:C, 3, FALSE)</f>
        <v>Sports</v>
      </c>
      <c r="M243" t="str">
        <f>VLOOKUP(C243, Customers!A:E, 5, FALSE)</f>
        <v>Corporate</v>
      </c>
      <c r="N243">
        <f>VLOOKUP(C243, Customers!A:E, 3, FALSE)</f>
        <v>30</v>
      </c>
      <c r="O243" s="93" t="str">
        <f>VLOOKUP(E243, Sales_Reps!A:C, 3, FALSE)</f>
        <v>West</v>
      </c>
      <c r="P243">
        <f>VLOOKUP(D243, Products!A:E, 4, FALSE)</f>
        <v>2028</v>
      </c>
      <c r="Q243">
        <f>IF(COUNTIF($A$2:A243, A243)=2, 1, 0)</f>
        <v>0</v>
      </c>
      <c r="R243">
        <f>IF(ISNA(MATCH(C243, Customers!$A:$A, 0)), 1, 0)</f>
        <v>0</v>
      </c>
      <c r="S243" s="94" t="b">
        <f>VLOOKUP(D243, Products!A:F, 6, FALSE)</f>
        <v>1</v>
      </c>
    </row>
    <row r="244" spans="1:19">
      <c r="A244" s="102" t="s">
        <v>590</v>
      </c>
      <c r="B244" s="2">
        <v>45627</v>
      </c>
      <c r="C244" s="1" t="s">
        <v>308</v>
      </c>
      <c r="D244" s="1" t="s">
        <v>259</v>
      </c>
      <c r="E244" s="1" t="s">
        <v>297</v>
      </c>
      <c r="F244" s="83">
        <v>3</v>
      </c>
      <c r="G244" s="92">
        <v>1540</v>
      </c>
      <c r="H244" s="3">
        <v>20.9</v>
      </c>
      <c r="I244" s="3">
        <v>3654.42</v>
      </c>
      <c r="J244" s="1" t="s">
        <v>87</v>
      </c>
      <c r="K244" s="1" t="s">
        <v>88</v>
      </c>
      <c r="L244" t="str">
        <f>VLOOKUP(D244, Products!A:C, 3, FALSE)</f>
        <v>Beauty</v>
      </c>
      <c r="M244" t="str">
        <f>VLOOKUP(C244, Customers!A:E, 5, FALSE)</f>
        <v>SMB</v>
      </c>
      <c r="N244">
        <f>VLOOKUP(C244, Customers!A:E, 3, FALSE)</f>
        <v>54</v>
      </c>
      <c r="O244" s="93" t="str">
        <f>VLOOKUP(E244, Sales_Reps!A:C, 3, FALSE)</f>
        <v>North</v>
      </c>
      <c r="P244">
        <f>VLOOKUP(D244, Products!A:E, 4, FALSE)</f>
        <v>647</v>
      </c>
      <c r="Q244">
        <f>IF(COUNTIF($A$2:A244, A244)=2, 1, 0)</f>
        <v>0</v>
      </c>
      <c r="R244">
        <f>IF(ISNA(MATCH(C244, Customers!$A:$A, 0)), 1, 0)</f>
        <v>0</v>
      </c>
      <c r="S244" s="94" t="b">
        <f>VLOOKUP(D244, Products!A:F, 6, FALSE)</f>
        <v>0</v>
      </c>
    </row>
    <row r="245" spans="1:19">
      <c r="A245" s="102" t="s">
        <v>591</v>
      </c>
      <c r="B245" s="2">
        <v>45576</v>
      </c>
      <c r="C245" s="1" t="s">
        <v>592</v>
      </c>
      <c r="D245" s="1" t="s">
        <v>135</v>
      </c>
      <c r="E245" s="1" t="s">
        <v>132</v>
      </c>
      <c r="F245" s="83">
        <v>10</v>
      </c>
      <c r="G245" s="92">
        <v>2640</v>
      </c>
      <c r="H245" s="3">
        <v>11.2</v>
      </c>
      <c r="I245" s="3">
        <v>23443.200000000001</v>
      </c>
      <c r="J245" s="1" t="s">
        <v>93</v>
      </c>
      <c r="K245" s="1" t="s">
        <v>133</v>
      </c>
      <c r="L245" t="str">
        <f>VLOOKUP(D245, Products!A:C, 3, FALSE)</f>
        <v>Electronics</v>
      </c>
      <c r="M245" t="str">
        <f>VLOOKUP(C245, Customers!A:E, 5, FALSE)</f>
        <v>Retail</v>
      </c>
      <c r="N245">
        <f>VLOOKUP(C245, Customers!A:E, 3, FALSE)</f>
        <v>22</v>
      </c>
      <c r="O245" s="93" t="str">
        <f>VLOOKUP(E245, Sales_Reps!A:C, 3, FALSE)</f>
        <v>South</v>
      </c>
      <c r="P245">
        <f>VLOOKUP(D245, Products!A:E, 4, FALSE)</f>
        <v>1149</v>
      </c>
      <c r="Q245">
        <f>IF(COUNTIF($A$2:A245, A245)=2, 1, 0)</f>
        <v>0</v>
      </c>
      <c r="R245">
        <f>IF(ISNA(MATCH(C245, Customers!$A:$A, 0)), 1, 0)</f>
        <v>0</v>
      </c>
      <c r="S245" s="94" t="b">
        <f>VLOOKUP(D245, Products!A:F, 6, FALSE)</f>
        <v>1</v>
      </c>
    </row>
    <row r="246" spans="1:19">
      <c r="A246" s="102" t="s">
        <v>593</v>
      </c>
      <c r="B246" s="2">
        <v>45317</v>
      </c>
      <c r="C246" s="1" t="s">
        <v>416</v>
      </c>
      <c r="D246" s="1" t="s">
        <v>106</v>
      </c>
      <c r="E246" s="1" t="s">
        <v>252</v>
      </c>
      <c r="F246" s="83">
        <v>1</v>
      </c>
      <c r="G246" s="92">
        <v>3160</v>
      </c>
      <c r="H246" s="3">
        <v>11.5</v>
      </c>
      <c r="I246" s="3">
        <v>2796.6</v>
      </c>
      <c r="J246" s="1" t="s">
        <v>87</v>
      </c>
      <c r="K246" s="1" t="s">
        <v>117</v>
      </c>
      <c r="L246" t="str">
        <f>VLOOKUP(D246, Products!A:C, 3, FALSE)</f>
        <v>Apparel</v>
      </c>
      <c r="M246" t="str">
        <f>VLOOKUP(C246, Customers!A:E, 5, FALSE)</f>
        <v>Corporate</v>
      </c>
      <c r="N246">
        <f>VLOOKUP(C246, Customers!A:E, 3, FALSE)</f>
        <v>42</v>
      </c>
      <c r="O246" s="93" t="str">
        <f>VLOOKUP(E246, Sales_Reps!A:C, 3, FALSE)</f>
        <v>South</v>
      </c>
      <c r="P246">
        <f>VLOOKUP(D246, Products!A:E, 4, FALSE)</f>
        <v>1886</v>
      </c>
      <c r="Q246">
        <f>IF(COUNTIF($A$2:A246, A246)=2, 1, 0)</f>
        <v>0</v>
      </c>
      <c r="R246">
        <f>IF(ISNA(MATCH(C246, Customers!$A:$A, 0)), 1, 0)</f>
        <v>0</v>
      </c>
      <c r="S246" s="94" t="b">
        <f>VLOOKUP(D246, Products!A:F, 6, FALSE)</f>
        <v>1</v>
      </c>
    </row>
    <row r="247" spans="1:19">
      <c r="A247" s="102" t="s">
        <v>594</v>
      </c>
      <c r="B247" s="2">
        <v>45650</v>
      </c>
      <c r="C247" s="1" t="s">
        <v>595</v>
      </c>
      <c r="D247" s="1" t="s">
        <v>164</v>
      </c>
      <c r="E247" s="1" t="s">
        <v>86</v>
      </c>
      <c r="F247" s="83">
        <v>4</v>
      </c>
      <c r="G247" s="92">
        <v>1080</v>
      </c>
      <c r="H247" s="3">
        <v>20.7</v>
      </c>
      <c r="I247" s="3">
        <v>3425.76</v>
      </c>
      <c r="J247" s="1" t="s">
        <v>93</v>
      </c>
      <c r="K247" s="1" t="s">
        <v>99</v>
      </c>
      <c r="L247" t="str">
        <f>VLOOKUP(D247, Products!A:C, 3, FALSE)</f>
        <v>Home</v>
      </c>
      <c r="M247" t="str">
        <f>VLOOKUP(C247, Customers!A:E, 5, FALSE)</f>
        <v>SMB</v>
      </c>
      <c r="N247">
        <f>VLOOKUP(C247, Customers!A:E, 3, FALSE)</f>
        <v>48</v>
      </c>
      <c r="O247" s="93" t="str">
        <f>VLOOKUP(E247, Sales_Reps!A:C, 3, FALSE)</f>
        <v>North</v>
      </c>
      <c r="P247">
        <f>VLOOKUP(D247, Products!A:E, 4, FALSE)</f>
        <v>519</v>
      </c>
      <c r="Q247">
        <f>IF(COUNTIF($A$2:A247, A247)=2, 1, 0)</f>
        <v>0</v>
      </c>
      <c r="R247">
        <f>IF(ISNA(MATCH(C247, Customers!$A:$A, 0)), 1, 0)</f>
        <v>0</v>
      </c>
      <c r="S247" s="94" t="b">
        <f>VLOOKUP(D247, Products!A:F, 6, FALSE)</f>
        <v>1</v>
      </c>
    </row>
    <row r="248" spans="1:19">
      <c r="A248" s="102" t="s">
        <v>596</v>
      </c>
      <c r="B248" s="2">
        <v>45585</v>
      </c>
      <c r="C248" s="1" t="s">
        <v>597</v>
      </c>
      <c r="D248" s="1" t="s">
        <v>182</v>
      </c>
      <c r="E248" s="1" t="s">
        <v>252</v>
      </c>
      <c r="F248" s="83">
        <v>4</v>
      </c>
      <c r="G248" s="92">
        <v>1010</v>
      </c>
      <c r="H248" s="3">
        <v>29.5</v>
      </c>
      <c r="I248" s="3">
        <v>2848.2</v>
      </c>
      <c r="J248" s="1" t="s">
        <v>93</v>
      </c>
      <c r="K248" s="1" t="s">
        <v>112</v>
      </c>
      <c r="L248" t="str">
        <f>VLOOKUP(D248, Products!A:C, 3, FALSE)</f>
        <v>Sports</v>
      </c>
      <c r="M248" t="str">
        <f>VLOOKUP(C248, Customers!A:E, 5, FALSE)</f>
        <v>Retail</v>
      </c>
      <c r="N248">
        <f>VLOOKUP(C248, Customers!A:E, 3, FALSE)</f>
        <v>39</v>
      </c>
      <c r="O248" s="93" t="str">
        <f>VLOOKUP(E248, Sales_Reps!A:C, 3, FALSE)</f>
        <v>South</v>
      </c>
      <c r="P248">
        <f>VLOOKUP(D248, Products!A:E, 4, FALSE)</f>
        <v>516</v>
      </c>
      <c r="Q248">
        <f>IF(COUNTIF($A$2:A248, A248)=2, 1, 0)</f>
        <v>0</v>
      </c>
      <c r="R248">
        <f>IF(ISNA(MATCH(C248, Customers!$A:$A, 0)), 1, 0)</f>
        <v>0</v>
      </c>
      <c r="S248" s="94" t="b">
        <f>VLOOKUP(D248, Products!A:F, 6, FALSE)</f>
        <v>1</v>
      </c>
    </row>
    <row r="249" spans="1:19">
      <c r="A249" s="102" t="s">
        <v>598</v>
      </c>
      <c r="B249" s="2">
        <v>45545</v>
      </c>
      <c r="C249" s="1" t="s">
        <v>599</v>
      </c>
      <c r="D249" s="1" t="s">
        <v>138</v>
      </c>
      <c r="E249" s="1" t="s">
        <v>343</v>
      </c>
      <c r="F249" s="83">
        <v>7</v>
      </c>
      <c r="G249" s="92">
        <v>2600</v>
      </c>
      <c r="H249" s="3">
        <v>6.6</v>
      </c>
      <c r="I249" s="3">
        <v>16998.8</v>
      </c>
      <c r="J249" s="1" t="s">
        <v>87</v>
      </c>
      <c r="K249" s="1" t="s">
        <v>117</v>
      </c>
      <c r="L249" t="str">
        <f>VLOOKUP(D249, Products!A:C, 3, FALSE)</f>
        <v>Electronics</v>
      </c>
      <c r="M249" t="str">
        <f>VLOOKUP(C249, Customers!A:E, 5, FALSE)</f>
        <v>Corporate</v>
      </c>
      <c r="N249">
        <f>VLOOKUP(C249, Customers!A:E, 3, FALSE)</f>
        <v>26</v>
      </c>
      <c r="O249" s="93" t="str">
        <f>VLOOKUP(E249, Sales_Reps!A:C, 3, FALSE)</f>
        <v>West</v>
      </c>
      <c r="P249">
        <f>VLOOKUP(D249, Products!A:E, 4, FALSE)</f>
        <v>1052</v>
      </c>
      <c r="Q249">
        <f>IF(COUNTIF($A$2:A249, A249)=2, 1, 0)</f>
        <v>0</v>
      </c>
      <c r="R249">
        <f>IF(ISNA(MATCH(C249, Customers!$A:$A, 0)), 1, 0)</f>
        <v>0</v>
      </c>
      <c r="S249" s="94" t="b">
        <f>VLOOKUP(D249, Products!A:F, 6, FALSE)</f>
        <v>1</v>
      </c>
    </row>
    <row r="250" spans="1:19">
      <c r="A250" s="102" t="s">
        <v>600</v>
      </c>
      <c r="B250" s="2">
        <v>45395</v>
      </c>
      <c r="C250" s="1" t="s">
        <v>258</v>
      </c>
      <c r="D250" s="1" t="s">
        <v>355</v>
      </c>
      <c r="E250" s="1" t="s">
        <v>204</v>
      </c>
      <c r="F250" s="83">
        <v>4</v>
      </c>
      <c r="G250" s="92">
        <v>2510</v>
      </c>
      <c r="H250" s="3">
        <v>1</v>
      </c>
      <c r="I250" s="3">
        <v>9939.6</v>
      </c>
      <c r="J250" s="1" t="s">
        <v>87</v>
      </c>
      <c r="K250" s="1" t="s">
        <v>99</v>
      </c>
      <c r="L250" t="str">
        <f>VLOOKUP(D250, Products!A:C, 3, FALSE)</f>
        <v>Apparel</v>
      </c>
      <c r="M250" t="str">
        <f>VLOOKUP(C250, Customers!A:E, 5, FALSE)</f>
        <v>SMB</v>
      </c>
      <c r="N250">
        <f>VLOOKUP(C250, Customers!A:E, 3, FALSE)</f>
        <v>55</v>
      </c>
      <c r="O250" s="93" t="str">
        <f>VLOOKUP(E250, Sales_Reps!A:C, 3, FALSE)</f>
        <v>South</v>
      </c>
      <c r="P250">
        <f>VLOOKUP(D250, Products!A:E, 4, FALSE)</f>
        <v>1075</v>
      </c>
      <c r="Q250">
        <f>IF(COUNTIF($A$2:A250, A250)=2, 1, 0)</f>
        <v>0</v>
      </c>
      <c r="R250">
        <f>IF(ISNA(MATCH(C250, Customers!$A:$A, 0)), 1, 0)</f>
        <v>0</v>
      </c>
      <c r="S250" s="94" t="b">
        <f>VLOOKUP(D250, Products!A:F, 6, FALSE)</f>
        <v>0</v>
      </c>
    </row>
    <row r="251" spans="1:19">
      <c r="A251" s="102" t="s">
        <v>601</v>
      </c>
      <c r="B251" s="2">
        <v>45636</v>
      </c>
      <c r="C251" s="1" t="s">
        <v>602</v>
      </c>
      <c r="D251" s="1" t="s">
        <v>264</v>
      </c>
      <c r="E251" s="1" t="s">
        <v>285</v>
      </c>
      <c r="F251" s="83">
        <v>9</v>
      </c>
      <c r="G251" s="92">
        <v>4070</v>
      </c>
      <c r="H251" s="3">
        <v>6.7</v>
      </c>
      <c r="I251" s="3">
        <v>34175.79</v>
      </c>
      <c r="J251" s="1" t="s">
        <v>140</v>
      </c>
      <c r="K251" s="1" t="s">
        <v>94</v>
      </c>
      <c r="L251" t="str">
        <f>VLOOKUP(D251, Products!A:C, 3, FALSE)</f>
        <v>Grocery</v>
      </c>
      <c r="M251" t="str">
        <f>VLOOKUP(C251, Customers!A:E, 5, FALSE)</f>
        <v>Retail</v>
      </c>
      <c r="N251">
        <f>VLOOKUP(C251, Customers!A:E, 3, FALSE)</f>
        <v>61</v>
      </c>
      <c r="O251" s="93" t="str">
        <f>VLOOKUP(E251, Sales_Reps!A:C, 3, FALSE)</f>
        <v>East</v>
      </c>
      <c r="P251">
        <f>VLOOKUP(D251, Products!A:E, 4, FALSE)</f>
        <v>2027</v>
      </c>
      <c r="Q251">
        <f>IF(COUNTIF($A$2:A251, A251)=2, 1, 0)</f>
        <v>0</v>
      </c>
      <c r="R251">
        <f>IF(ISNA(MATCH(C251, Customers!$A:$A, 0)), 1, 0)</f>
        <v>0</v>
      </c>
      <c r="S251" s="94" t="b">
        <f>VLOOKUP(D251, Products!A:F, 6, FALSE)</f>
        <v>1</v>
      </c>
    </row>
    <row r="252" spans="1:19">
      <c r="A252" s="102" t="s">
        <v>603</v>
      </c>
      <c r="B252" s="2">
        <v>45612</v>
      </c>
      <c r="C252" s="1" t="s">
        <v>604</v>
      </c>
      <c r="D252" s="1" t="s">
        <v>91</v>
      </c>
      <c r="E252" s="1" t="s">
        <v>132</v>
      </c>
      <c r="F252" s="83">
        <v>6</v>
      </c>
      <c r="G252" s="92">
        <v>820</v>
      </c>
      <c r="H252" s="3">
        <v>14</v>
      </c>
      <c r="I252" s="3">
        <v>4231.2</v>
      </c>
      <c r="J252" s="1" t="s">
        <v>87</v>
      </c>
      <c r="K252" s="1" t="s">
        <v>117</v>
      </c>
      <c r="L252" t="str">
        <f>VLOOKUP(D252, Products!A:C, 3, FALSE)</f>
        <v>Apparel</v>
      </c>
      <c r="M252" t="str">
        <f>VLOOKUP(C252, Customers!A:E, 5, FALSE)</f>
        <v>Retail</v>
      </c>
      <c r="N252">
        <f>VLOOKUP(C252, Customers!A:E, 3, FALSE)</f>
        <v>34</v>
      </c>
      <c r="O252" s="93" t="str">
        <f>VLOOKUP(E252, Sales_Reps!A:C, 3, FALSE)</f>
        <v>South</v>
      </c>
      <c r="P252">
        <f>VLOOKUP(D252, Products!A:E, 4, FALSE)</f>
        <v>391</v>
      </c>
      <c r="Q252">
        <f>IF(COUNTIF($A$2:A252, A252)=2, 1, 0)</f>
        <v>0</v>
      </c>
      <c r="R252">
        <f>IF(ISNA(MATCH(C252, Customers!$A:$A, 0)), 1, 0)</f>
        <v>0</v>
      </c>
      <c r="S252" s="94" t="b">
        <f>VLOOKUP(D252, Products!A:F, 6, FALSE)</f>
        <v>1</v>
      </c>
    </row>
    <row r="253" spans="1:19">
      <c r="A253" s="102" t="s">
        <v>605</v>
      </c>
      <c r="B253" s="2">
        <v>45495</v>
      </c>
      <c r="C253" s="1" t="s">
        <v>606</v>
      </c>
      <c r="D253" s="1" t="s">
        <v>127</v>
      </c>
      <c r="E253" s="1" t="s">
        <v>92</v>
      </c>
      <c r="F253" s="83">
        <v>2</v>
      </c>
      <c r="G253" s="92">
        <v>970</v>
      </c>
      <c r="H253" s="3">
        <v>23.8</v>
      </c>
      <c r="I253" s="3">
        <v>1478.28</v>
      </c>
      <c r="J253" s="1" t="s">
        <v>87</v>
      </c>
      <c r="K253" s="1" t="s">
        <v>112</v>
      </c>
      <c r="L253" t="str">
        <f>VLOOKUP(D253, Products!A:C, 3, FALSE)</f>
        <v>Grocery</v>
      </c>
      <c r="M253" t="str">
        <f>VLOOKUP(C253, Customers!A:E, 5, FALSE)</f>
        <v>Retail</v>
      </c>
      <c r="N253">
        <f>VLOOKUP(C253, Customers!A:E, 3, FALSE)</f>
        <v>52</v>
      </c>
      <c r="O253" s="93" t="str">
        <f>VLOOKUP(E253, Sales_Reps!A:C, 3, FALSE)</f>
        <v>North</v>
      </c>
      <c r="P253">
        <f>VLOOKUP(D253, Products!A:E, 4, FALSE)</f>
        <v>434</v>
      </c>
      <c r="Q253">
        <f>IF(COUNTIF($A$2:A253, A253)=2, 1, 0)</f>
        <v>0</v>
      </c>
      <c r="R253">
        <f>IF(ISNA(MATCH(C253, Customers!$A:$A, 0)), 1, 0)</f>
        <v>0</v>
      </c>
      <c r="S253" s="94" t="b">
        <f>VLOOKUP(D253, Products!A:F, 6, FALSE)</f>
        <v>1</v>
      </c>
    </row>
    <row r="254" spans="1:19">
      <c r="A254" s="102" t="s">
        <v>607</v>
      </c>
      <c r="B254" s="2">
        <v>45337</v>
      </c>
      <c r="C254" s="1" t="s">
        <v>608</v>
      </c>
      <c r="D254" s="1" t="s">
        <v>264</v>
      </c>
      <c r="E254" s="1" t="s">
        <v>325</v>
      </c>
      <c r="F254" s="83">
        <v>4</v>
      </c>
      <c r="G254" s="92">
        <v>4070</v>
      </c>
      <c r="H254" s="3">
        <v>19</v>
      </c>
      <c r="I254" s="3">
        <v>13186.8</v>
      </c>
      <c r="J254" s="1" t="s">
        <v>93</v>
      </c>
      <c r="K254" s="1" t="s">
        <v>88</v>
      </c>
      <c r="L254" t="str">
        <f>VLOOKUP(D254, Products!A:C, 3, FALSE)</f>
        <v>Grocery</v>
      </c>
      <c r="M254" t="str">
        <f>VLOOKUP(C254, Customers!A:E, 5, FALSE)</f>
        <v>Corporate</v>
      </c>
      <c r="N254">
        <f>VLOOKUP(C254, Customers!A:E, 3, FALSE)</f>
        <v>40</v>
      </c>
      <c r="O254" s="93" t="str">
        <f>VLOOKUP(E254, Sales_Reps!A:C, 3, FALSE)</f>
        <v>South</v>
      </c>
      <c r="P254">
        <f>VLOOKUP(D254, Products!A:E, 4, FALSE)</f>
        <v>2027</v>
      </c>
      <c r="Q254">
        <f>IF(COUNTIF($A$2:A254, A254)=2, 1, 0)</f>
        <v>0</v>
      </c>
      <c r="R254">
        <f>IF(ISNA(MATCH(C254, Customers!$A:$A, 0)), 1, 0)</f>
        <v>0</v>
      </c>
      <c r="S254" s="94" t="b">
        <f>VLOOKUP(D254, Products!A:F, 6, FALSE)</f>
        <v>1</v>
      </c>
    </row>
    <row r="255" spans="1:19">
      <c r="A255" s="102" t="s">
        <v>609</v>
      </c>
      <c r="B255" s="2">
        <v>45333</v>
      </c>
      <c r="C255" s="1" t="s">
        <v>610</v>
      </c>
      <c r="D255" s="1" t="s">
        <v>157</v>
      </c>
      <c r="E255" s="1" t="s">
        <v>238</v>
      </c>
      <c r="F255" s="83">
        <v>3</v>
      </c>
      <c r="G255" s="92">
        <v>3450</v>
      </c>
      <c r="H255" s="3">
        <v>4.4000000000000004</v>
      </c>
      <c r="I255" s="3">
        <v>9894.6</v>
      </c>
      <c r="J255" s="1" t="s">
        <v>140</v>
      </c>
      <c r="K255" s="1" t="s">
        <v>117</v>
      </c>
      <c r="L255" t="str">
        <f>VLOOKUP(D255, Products!A:C, 3, FALSE)</f>
        <v>Beauty</v>
      </c>
      <c r="M255" t="str">
        <f>VLOOKUP(C255, Customers!A:E, 5, FALSE)</f>
        <v>SMB</v>
      </c>
      <c r="N255">
        <f>VLOOKUP(C255, Customers!A:E, 3, FALSE)</f>
        <v>42</v>
      </c>
      <c r="O255" s="93" t="str">
        <f>VLOOKUP(E255, Sales_Reps!A:C, 3, FALSE)</f>
        <v>East</v>
      </c>
      <c r="P255">
        <f>VLOOKUP(D255, Products!A:E, 4, FALSE)</f>
        <v>2420</v>
      </c>
      <c r="Q255">
        <f>IF(COUNTIF($A$2:A255, A255)=2, 1, 0)</f>
        <v>0</v>
      </c>
      <c r="R255">
        <f>IF(ISNA(MATCH(C255, Customers!$A:$A, 0)), 1, 0)</f>
        <v>0</v>
      </c>
      <c r="S255" s="94" t="b">
        <f>VLOOKUP(D255, Products!A:F, 6, FALSE)</f>
        <v>1</v>
      </c>
    </row>
    <row r="256" spans="1:19">
      <c r="A256" s="102" t="s">
        <v>611</v>
      </c>
      <c r="B256" s="2">
        <v>45511</v>
      </c>
      <c r="C256" s="1" t="s">
        <v>336</v>
      </c>
      <c r="D256" s="1" t="s">
        <v>234</v>
      </c>
      <c r="E256" s="1" t="s">
        <v>132</v>
      </c>
      <c r="F256" s="83">
        <v>5</v>
      </c>
      <c r="G256" s="92">
        <v>3780</v>
      </c>
      <c r="H256" s="3">
        <v>13.5</v>
      </c>
      <c r="I256" s="3">
        <v>16348.5</v>
      </c>
      <c r="J256" s="1" t="s">
        <v>87</v>
      </c>
      <c r="K256" s="1" t="s">
        <v>112</v>
      </c>
      <c r="L256" t="str">
        <f>VLOOKUP(D256, Products!A:C, 3, FALSE)</f>
        <v>Grocery</v>
      </c>
      <c r="M256" t="str">
        <f>VLOOKUP(C256, Customers!A:E, 5, FALSE)</f>
        <v>Retail</v>
      </c>
      <c r="N256">
        <f>VLOOKUP(C256, Customers!A:E, 3, FALSE)</f>
        <v>49</v>
      </c>
      <c r="O256" s="93" t="str">
        <f>VLOOKUP(E256, Sales_Reps!A:C, 3, FALSE)</f>
        <v>South</v>
      </c>
      <c r="P256">
        <f>VLOOKUP(D256, Products!A:E, 4, FALSE)</f>
        <v>2436</v>
      </c>
      <c r="Q256">
        <f>IF(COUNTIF($A$2:A256, A256)=2, 1, 0)</f>
        <v>0</v>
      </c>
      <c r="R256">
        <f>IF(ISNA(MATCH(C256, Customers!$A:$A, 0)), 1, 0)</f>
        <v>0</v>
      </c>
      <c r="S256" s="94" t="b">
        <f>VLOOKUP(D256, Products!A:F, 6, FALSE)</f>
        <v>1</v>
      </c>
    </row>
    <row r="257" spans="1:19">
      <c r="A257" s="102" t="s">
        <v>612</v>
      </c>
      <c r="B257" s="2">
        <v>45595</v>
      </c>
      <c r="C257" s="1" t="s">
        <v>613</v>
      </c>
      <c r="D257" s="1" t="s">
        <v>115</v>
      </c>
      <c r="E257" s="1" t="s">
        <v>139</v>
      </c>
      <c r="F257" s="83">
        <v>1</v>
      </c>
      <c r="G257" s="92">
        <v>960</v>
      </c>
      <c r="H257" s="3">
        <v>29.2</v>
      </c>
      <c r="I257" s="3">
        <v>679.68</v>
      </c>
      <c r="J257" s="1" t="s">
        <v>87</v>
      </c>
      <c r="K257" s="1" t="s">
        <v>112</v>
      </c>
      <c r="L257" t="str">
        <f>VLOOKUP(D257, Products!A:C, 3, FALSE)</f>
        <v>Sports</v>
      </c>
      <c r="M257" t="str">
        <f>VLOOKUP(C257, Customers!A:E, 5, FALSE)</f>
        <v>Retail</v>
      </c>
      <c r="N257">
        <f>VLOOKUP(C257, Customers!A:E, 3, FALSE)</f>
        <v>44</v>
      </c>
      <c r="O257" s="93" t="str">
        <f>VLOOKUP(E257, Sales_Reps!A:C, 3, FALSE)</f>
        <v>North</v>
      </c>
      <c r="P257">
        <f>VLOOKUP(D257, Products!A:E, 4, FALSE)</f>
        <v>705</v>
      </c>
      <c r="Q257">
        <f>IF(COUNTIF($A$2:A257, A257)=2, 1, 0)</f>
        <v>0</v>
      </c>
      <c r="R257">
        <f>IF(ISNA(MATCH(C257, Customers!$A:$A, 0)), 1, 0)</f>
        <v>0</v>
      </c>
      <c r="S257" s="94" t="b">
        <f>VLOOKUP(D257, Products!A:F, 6, FALSE)</f>
        <v>1</v>
      </c>
    </row>
    <row r="258" spans="1:19">
      <c r="A258" s="102" t="s">
        <v>614</v>
      </c>
      <c r="B258" s="2">
        <v>45321</v>
      </c>
      <c r="C258" s="1" t="s">
        <v>615</v>
      </c>
      <c r="D258" s="1" t="s">
        <v>187</v>
      </c>
      <c r="E258" s="1" t="s">
        <v>285</v>
      </c>
      <c r="F258" s="83">
        <v>10</v>
      </c>
      <c r="G258" s="92">
        <v>3570</v>
      </c>
      <c r="H258" s="3">
        <v>10.7</v>
      </c>
      <c r="I258" s="3">
        <v>31880.1</v>
      </c>
      <c r="J258" s="1" t="s">
        <v>87</v>
      </c>
      <c r="K258" s="1" t="s">
        <v>112</v>
      </c>
      <c r="L258" t="str">
        <f>VLOOKUP(D258, Products!A:C, 3, FALSE)</f>
        <v>Electronics</v>
      </c>
      <c r="M258" t="str">
        <f>VLOOKUP(C258, Customers!A:E, 5, FALSE)</f>
        <v>Retail</v>
      </c>
      <c r="N258">
        <f>VLOOKUP(C258, Customers!A:E, 3, FALSE)</f>
        <v>53</v>
      </c>
      <c r="O258" s="93" t="str">
        <f>VLOOKUP(E258, Sales_Reps!A:C, 3, FALSE)</f>
        <v>East</v>
      </c>
      <c r="P258">
        <f>VLOOKUP(D258, Products!A:E, 4, FALSE)</f>
        <v>1665</v>
      </c>
      <c r="Q258">
        <f>IF(COUNTIF($A$2:A258, A258)=2, 1, 0)</f>
        <v>0</v>
      </c>
      <c r="R258">
        <f>IF(ISNA(MATCH(C258, Customers!$A:$A, 0)), 1, 0)</f>
        <v>0</v>
      </c>
      <c r="S258" s="94" t="b">
        <f>VLOOKUP(D258, Products!A:F, 6, FALSE)</f>
        <v>1</v>
      </c>
    </row>
    <row r="259" spans="1:19">
      <c r="A259" s="102" t="s">
        <v>616</v>
      </c>
      <c r="B259" s="2">
        <v>45511</v>
      </c>
      <c r="C259" s="1" t="s">
        <v>617</v>
      </c>
      <c r="D259" s="1" t="s">
        <v>187</v>
      </c>
      <c r="E259" s="1" t="s">
        <v>116</v>
      </c>
      <c r="F259" s="83">
        <v>7</v>
      </c>
      <c r="G259" s="92">
        <v>3570</v>
      </c>
      <c r="H259" s="3">
        <v>12.2</v>
      </c>
      <c r="I259" s="3">
        <v>21941.22</v>
      </c>
      <c r="J259" s="1" t="s">
        <v>87</v>
      </c>
      <c r="K259" s="1" t="s">
        <v>112</v>
      </c>
      <c r="L259" t="str">
        <f>VLOOKUP(D259, Products!A:C, 3, FALSE)</f>
        <v>Electronics</v>
      </c>
      <c r="M259" t="str">
        <f>VLOOKUP(C259, Customers!A:E, 5, FALSE)</f>
        <v>SMB</v>
      </c>
      <c r="N259">
        <f>VLOOKUP(C259, Customers!A:E, 3, FALSE)</f>
        <v>65</v>
      </c>
      <c r="O259" s="93" t="str">
        <f>VLOOKUP(E259, Sales_Reps!A:C, 3, FALSE)</f>
        <v>West</v>
      </c>
      <c r="P259">
        <f>VLOOKUP(D259, Products!A:E, 4, FALSE)</f>
        <v>1665</v>
      </c>
      <c r="Q259">
        <f>IF(COUNTIF($A$2:A259, A259)=2, 1, 0)</f>
        <v>0</v>
      </c>
      <c r="R259">
        <f>IF(ISNA(MATCH(C259, Customers!$A:$A, 0)), 1, 0)</f>
        <v>0</v>
      </c>
      <c r="S259" s="94" t="b">
        <f>VLOOKUP(D259, Products!A:F, 6, FALSE)</f>
        <v>1</v>
      </c>
    </row>
    <row r="260" spans="1:19">
      <c r="A260" s="102" t="s">
        <v>618</v>
      </c>
      <c r="B260" s="2">
        <v>45575</v>
      </c>
      <c r="C260" s="1" t="s">
        <v>510</v>
      </c>
      <c r="D260" s="1" t="s">
        <v>164</v>
      </c>
      <c r="E260" s="1" t="s">
        <v>98</v>
      </c>
      <c r="F260" s="83">
        <v>6</v>
      </c>
      <c r="G260" s="92">
        <v>1080</v>
      </c>
      <c r="H260" s="3">
        <v>19.8</v>
      </c>
      <c r="I260" s="3">
        <v>5196.96</v>
      </c>
      <c r="J260" s="1" t="s">
        <v>87</v>
      </c>
      <c r="K260" s="1" t="s">
        <v>117</v>
      </c>
      <c r="L260" t="str">
        <f>VLOOKUP(D260, Products!A:C, 3, FALSE)</f>
        <v>Home</v>
      </c>
      <c r="M260" t="str">
        <f>VLOOKUP(C260, Customers!A:E, 5, FALSE)</f>
        <v>SMB</v>
      </c>
      <c r="N260">
        <f>VLOOKUP(C260, Customers!A:E, 3, FALSE)</f>
        <v>26</v>
      </c>
      <c r="O260" s="93" t="str">
        <f>VLOOKUP(E260, Sales_Reps!A:C, 3, FALSE)</f>
        <v>South</v>
      </c>
      <c r="P260">
        <f>VLOOKUP(D260, Products!A:E, 4, FALSE)</f>
        <v>519</v>
      </c>
      <c r="Q260">
        <f>IF(COUNTIF($A$2:A260, A260)=2, 1, 0)</f>
        <v>0</v>
      </c>
      <c r="R260">
        <f>IF(ISNA(MATCH(C260, Customers!$A:$A, 0)), 1, 0)</f>
        <v>0</v>
      </c>
      <c r="S260" s="94" t="b">
        <f>VLOOKUP(D260, Products!A:F, 6, FALSE)</f>
        <v>1</v>
      </c>
    </row>
    <row r="261" spans="1:19">
      <c r="A261" s="102" t="s">
        <v>619</v>
      </c>
      <c r="B261" s="2">
        <v>45649</v>
      </c>
      <c r="C261" s="1" t="s">
        <v>175</v>
      </c>
      <c r="D261" s="1" t="s">
        <v>452</v>
      </c>
      <c r="E261" s="1" t="s">
        <v>132</v>
      </c>
      <c r="F261" s="83">
        <v>8</v>
      </c>
      <c r="G261" s="92">
        <v>3450</v>
      </c>
      <c r="H261" s="3">
        <v>19</v>
      </c>
      <c r="I261" s="3">
        <v>22356</v>
      </c>
      <c r="J261" s="1" t="s">
        <v>87</v>
      </c>
      <c r="K261" s="1" t="s">
        <v>133</v>
      </c>
      <c r="L261" t="str">
        <f>VLOOKUP(D261, Products!A:C, 3, FALSE)</f>
        <v>Apparel</v>
      </c>
      <c r="M261" t="str">
        <f>VLOOKUP(C261, Customers!A:E, 5, FALSE)</f>
        <v>SMB</v>
      </c>
      <c r="N261">
        <f>VLOOKUP(C261, Customers!A:E, 3, FALSE)</f>
        <v>40</v>
      </c>
      <c r="O261" s="93" t="str">
        <f>VLOOKUP(E261, Sales_Reps!A:C, 3, FALSE)</f>
        <v>South</v>
      </c>
      <c r="P261">
        <f>VLOOKUP(D261, Products!A:E, 4, FALSE)</f>
        <v>1748</v>
      </c>
      <c r="Q261">
        <f>IF(COUNTIF($A$2:A261, A261)=2, 1, 0)</f>
        <v>0</v>
      </c>
      <c r="R261">
        <f>IF(ISNA(MATCH(C261, Customers!$A:$A, 0)), 1, 0)</f>
        <v>0</v>
      </c>
      <c r="S261" s="94" t="b">
        <f>VLOOKUP(D261, Products!A:F, 6, FALSE)</f>
        <v>1</v>
      </c>
    </row>
    <row r="262" spans="1:19">
      <c r="A262" s="102" t="s">
        <v>620</v>
      </c>
      <c r="B262" s="2">
        <v>45371</v>
      </c>
      <c r="C262" s="1" t="s">
        <v>621</v>
      </c>
      <c r="D262" s="1" t="s">
        <v>279</v>
      </c>
      <c r="E262" s="1" t="s">
        <v>154</v>
      </c>
      <c r="F262" s="83">
        <v>4</v>
      </c>
      <c r="G262" s="92">
        <v>2660</v>
      </c>
      <c r="H262" s="3">
        <v>18.8</v>
      </c>
      <c r="I262" s="3">
        <v>8639.68</v>
      </c>
      <c r="J262" s="1" t="s">
        <v>93</v>
      </c>
      <c r="K262" s="1" t="s">
        <v>94</v>
      </c>
      <c r="L262" t="str">
        <f>VLOOKUP(D262, Products!A:C, 3, FALSE)</f>
        <v>Electronics</v>
      </c>
      <c r="M262" t="str">
        <f>VLOOKUP(C262, Customers!A:E, 5, FALSE)</f>
        <v>Corporate</v>
      </c>
      <c r="N262">
        <f>VLOOKUP(C262, Customers!A:E, 3, FALSE)</f>
        <v>22</v>
      </c>
      <c r="O262" s="93" t="str">
        <f>VLOOKUP(E262, Sales_Reps!A:C, 3, FALSE)</f>
        <v>East</v>
      </c>
      <c r="P262">
        <f>VLOOKUP(D262, Products!A:E, 4, FALSE)</f>
        <v>1259</v>
      </c>
      <c r="Q262">
        <f>IF(COUNTIF($A$2:A262, A262)=2, 1, 0)</f>
        <v>0</v>
      </c>
      <c r="R262">
        <f>IF(ISNA(MATCH(C262, Customers!$A:$A, 0)), 1, 0)</f>
        <v>0</v>
      </c>
      <c r="S262" s="94" t="b">
        <f>VLOOKUP(D262, Products!A:F, 6, FALSE)</f>
        <v>0</v>
      </c>
    </row>
    <row r="263" spans="1:19">
      <c r="A263" s="102" t="s">
        <v>622</v>
      </c>
      <c r="B263" s="2">
        <v>45522</v>
      </c>
      <c r="C263" s="1" t="s">
        <v>305</v>
      </c>
      <c r="D263" s="1" t="s">
        <v>151</v>
      </c>
      <c r="E263" s="1" t="s">
        <v>204</v>
      </c>
      <c r="F263" s="83">
        <v>4</v>
      </c>
      <c r="G263" s="92">
        <v>2400</v>
      </c>
      <c r="H263" s="3">
        <v>5.6</v>
      </c>
      <c r="I263" s="3">
        <v>9062.4</v>
      </c>
      <c r="J263" s="1" t="s">
        <v>87</v>
      </c>
      <c r="K263" s="1" t="s">
        <v>133</v>
      </c>
      <c r="L263" t="str">
        <f>VLOOKUP(D263, Products!A:C, 3, FALSE)</f>
        <v>Sports</v>
      </c>
      <c r="M263" t="str">
        <f>VLOOKUP(C263, Customers!A:E, 5, FALSE)</f>
        <v>Corporate</v>
      </c>
      <c r="N263">
        <f>VLOOKUP(C263, Customers!A:E, 3, FALSE)</f>
        <v>46</v>
      </c>
      <c r="O263" s="93" t="str">
        <f>VLOOKUP(E263, Sales_Reps!A:C, 3, FALSE)</f>
        <v>South</v>
      </c>
      <c r="P263">
        <f>VLOOKUP(D263, Products!A:E, 4, FALSE)</f>
        <v>974</v>
      </c>
      <c r="Q263">
        <f>IF(COUNTIF($A$2:A263, A263)=2, 1, 0)</f>
        <v>0</v>
      </c>
      <c r="R263">
        <f>IF(ISNA(MATCH(C263, Customers!$A:$A, 0)), 1, 0)</f>
        <v>0</v>
      </c>
      <c r="S263" s="94" t="b">
        <f>VLOOKUP(D263, Products!A:F, 6, FALSE)</f>
        <v>1</v>
      </c>
    </row>
    <row r="264" spans="1:19">
      <c r="A264" s="102" t="s">
        <v>623</v>
      </c>
      <c r="B264" s="2">
        <v>45513</v>
      </c>
      <c r="C264" s="1" t="s">
        <v>624</v>
      </c>
      <c r="D264" s="1" t="s">
        <v>138</v>
      </c>
      <c r="E264" s="1" t="s">
        <v>148</v>
      </c>
      <c r="F264" s="83">
        <v>10</v>
      </c>
      <c r="G264" s="92">
        <v>2600</v>
      </c>
      <c r="H264" s="3">
        <v>24.7</v>
      </c>
      <c r="I264" s="3">
        <v>19578</v>
      </c>
      <c r="J264" s="1" t="s">
        <v>87</v>
      </c>
      <c r="K264" s="1" t="s">
        <v>88</v>
      </c>
      <c r="L264" t="str">
        <f>VLOOKUP(D264, Products!A:C, 3, FALSE)</f>
        <v>Electronics</v>
      </c>
      <c r="M264" t="str">
        <f>VLOOKUP(C264, Customers!A:E, 5, FALSE)</f>
        <v>Corporate</v>
      </c>
      <c r="N264">
        <f>VLOOKUP(C264, Customers!A:E, 3, FALSE)</f>
        <v>31</v>
      </c>
      <c r="O264" s="93" t="str">
        <f>VLOOKUP(E264, Sales_Reps!A:C, 3, FALSE)</f>
        <v>North</v>
      </c>
      <c r="P264">
        <f>VLOOKUP(D264, Products!A:E, 4, FALSE)</f>
        <v>1052</v>
      </c>
      <c r="Q264">
        <f>IF(COUNTIF($A$2:A264, A264)=2, 1, 0)</f>
        <v>0</v>
      </c>
      <c r="R264">
        <f>IF(ISNA(MATCH(C264, Customers!$A:$A, 0)), 1, 0)</f>
        <v>0</v>
      </c>
      <c r="S264" s="94" t="b">
        <f>VLOOKUP(D264, Products!A:F, 6, FALSE)</f>
        <v>1</v>
      </c>
    </row>
    <row r="265" spans="1:19">
      <c r="A265" s="102" t="s">
        <v>625</v>
      </c>
      <c r="B265" s="2">
        <v>45513</v>
      </c>
      <c r="C265" s="1" t="s">
        <v>626</v>
      </c>
      <c r="D265" s="1" t="s">
        <v>351</v>
      </c>
      <c r="E265" s="1" t="s">
        <v>139</v>
      </c>
      <c r="F265" s="83">
        <v>3</v>
      </c>
      <c r="G265" s="92">
        <v>4060</v>
      </c>
      <c r="H265" s="3">
        <v>6.9</v>
      </c>
      <c r="I265" s="3">
        <v>11339.58</v>
      </c>
      <c r="J265" s="1" t="s">
        <v>87</v>
      </c>
      <c r="K265" s="1" t="s">
        <v>99</v>
      </c>
      <c r="L265" t="str">
        <f>VLOOKUP(D265, Products!A:C, 3, FALSE)</f>
        <v>Grocery</v>
      </c>
      <c r="M265" t="str">
        <f>VLOOKUP(C265, Customers!A:E, 5, FALSE)</f>
        <v>Retail</v>
      </c>
      <c r="N265">
        <f>VLOOKUP(C265, Customers!A:E, 3, FALSE)</f>
        <v>40</v>
      </c>
      <c r="O265" s="93" t="str">
        <f>VLOOKUP(E265, Sales_Reps!A:C, 3, FALSE)</f>
        <v>North</v>
      </c>
      <c r="P265">
        <f>VLOOKUP(D265, Products!A:E, 4, FALSE)</f>
        <v>2911</v>
      </c>
      <c r="Q265">
        <f>IF(COUNTIF($A$2:A265, A265)=2, 1, 0)</f>
        <v>0</v>
      </c>
      <c r="R265">
        <f>IF(ISNA(MATCH(C265, Customers!$A:$A, 0)), 1, 0)</f>
        <v>0</v>
      </c>
      <c r="S265" s="94" t="b">
        <f>VLOOKUP(D265, Products!A:F, 6, FALSE)</f>
        <v>1</v>
      </c>
    </row>
    <row r="266" spans="1:19">
      <c r="A266" s="102" t="s">
        <v>627</v>
      </c>
      <c r="B266" s="2">
        <v>45465</v>
      </c>
      <c r="C266" s="1" t="s">
        <v>628</v>
      </c>
      <c r="D266" s="1" t="s">
        <v>124</v>
      </c>
      <c r="E266" s="1" t="s">
        <v>154</v>
      </c>
      <c r="F266" s="83">
        <v>6</v>
      </c>
      <c r="G266" s="92">
        <v>5490</v>
      </c>
      <c r="H266" s="3">
        <v>8.4</v>
      </c>
      <c r="I266" s="3">
        <v>30173.040000000001</v>
      </c>
      <c r="J266" s="1" t="s">
        <v>87</v>
      </c>
      <c r="K266" s="1" t="s">
        <v>133</v>
      </c>
      <c r="L266" t="str">
        <f>VLOOKUP(D266, Products!A:C, 3, FALSE)</f>
        <v>Home</v>
      </c>
      <c r="M266" t="str">
        <f>VLOOKUP(C266, Customers!A:E, 5, FALSE)</f>
        <v>Corporate</v>
      </c>
      <c r="N266">
        <f>VLOOKUP(C266, Customers!A:E, 3, FALSE)</f>
        <v>22</v>
      </c>
      <c r="O266" s="93" t="str">
        <f>VLOOKUP(E266, Sales_Reps!A:C, 3, FALSE)</f>
        <v>East</v>
      </c>
      <c r="P266">
        <f>VLOOKUP(D266, Products!A:E, 4, FALSE)</f>
        <v>2549</v>
      </c>
      <c r="Q266">
        <f>IF(COUNTIF($A$2:A266, A266)=2, 1, 0)</f>
        <v>0</v>
      </c>
      <c r="R266">
        <f>IF(ISNA(MATCH(C266, Customers!$A:$A, 0)), 1, 0)</f>
        <v>0</v>
      </c>
      <c r="S266" s="94" t="b">
        <f>VLOOKUP(D266, Products!A:F, 6, FALSE)</f>
        <v>1</v>
      </c>
    </row>
    <row r="267" spans="1:19">
      <c r="A267" s="102" t="s">
        <v>629</v>
      </c>
      <c r="B267" s="2">
        <v>45407</v>
      </c>
      <c r="C267" s="1" t="s">
        <v>485</v>
      </c>
      <c r="D267" s="1" t="s">
        <v>110</v>
      </c>
      <c r="E267" s="1" t="s">
        <v>303</v>
      </c>
      <c r="F267" s="83">
        <v>6</v>
      </c>
      <c r="G267" s="92">
        <v>370</v>
      </c>
      <c r="H267" s="3">
        <v>15.1</v>
      </c>
      <c r="I267" s="3">
        <v>1884.78</v>
      </c>
      <c r="J267" s="1" t="s">
        <v>87</v>
      </c>
      <c r="K267" s="1" t="s">
        <v>88</v>
      </c>
      <c r="L267" t="str">
        <f>VLOOKUP(D267, Products!A:C, 3, FALSE)</f>
        <v>Home</v>
      </c>
      <c r="M267" t="str">
        <f>VLOOKUP(C267, Customers!A:E, 5, FALSE)</f>
        <v>Retail</v>
      </c>
      <c r="N267">
        <f>VLOOKUP(C267, Customers!A:E, 3, FALSE)</f>
        <v>49</v>
      </c>
      <c r="O267" s="93" t="str">
        <f>VLOOKUP(E267, Sales_Reps!A:C, 3, FALSE)</f>
        <v>East</v>
      </c>
      <c r="P267">
        <f>VLOOKUP(D267, Products!A:E, 4, FALSE)</f>
        <v>288</v>
      </c>
      <c r="Q267">
        <f>IF(COUNTIF($A$2:A267, A267)=2, 1, 0)</f>
        <v>0</v>
      </c>
      <c r="R267">
        <f>IF(ISNA(MATCH(C267, Customers!$A:$A, 0)), 1, 0)</f>
        <v>0</v>
      </c>
      <c r="S267" s="94" t="b">
        <f>VLOOKUP(D267, Products!A:F, 6, FALSE)</f>
        <v>1</v>
      </c>
    </row>
    <row r="268" spans="1:19">
      <c r="A268" s="102" t="s">
        <v>630</v>
      </c>
      <c r="B268" s="2">
        <v>45405</v>
      </c>
      <c r="C268" s="1" t="s">
        <v>357</v>
      </c>
      <c r="D268" s="1" t="s">
        <v>292</v>
      </c>
      <c r="E268" s="1" t="s">
        <v>154</v>
      </c>
      <c r="F268" s="83">
        <v>5</v>
      </c>
      <c r="G268" s="92">
        <v>620</v>
      </c>
      <c r="H268" s="3">
        <v>13.1</v>
      </c>
      <c r="I268" s="3">
        <v>2693.9</v>
      </c>
      <c r="J268" s="1" t="s">
        <v>140</v>
      </c>
      <c r="K268" s="1" t="s">
        <v>99</v>
      </c>
      <c r="L268" t="str">
        <f>VLOOKUP(D268, Products!A:C, 3, FALSE)</f>
        <v>Apparel</v>
      </c>
      <c r="M268" t="str">
        <f>VLOOKUP(C268, Customers!A:E, 5, FALSE)</f>
        <v>SMB</v>
      </c>
      <c r="N268">
        <f>VLOOKUP(C268, Customers!A:E, 3, FALSE)</f>
        <v>38</v>
      </c>
      <c r="O268" s="93" t="str">
        <f>VLOOKUP(E268, Sales_Reps!A:C, 3, FALSE)</f>
        <v>East</v>
      </c>
      <c r="P268">
        <f>VLOOKUP(D268, Products!A:E, 4, FALSE)</f>
        <v>396</v>
      </c>
      <c r="Q268">
        <f>IF(COUNTIF($A$2:A268, A268)=2, 1, 0)</f>
        <v>0</v>
      </c>
      <c r="R268">
        <f>IF(ISNA(MATCH(C268, Customers!$A:$A, 0)), 1, 0)</f>
        <v>0</v>
      </c>
      <c r="S268" s="94" t="b">
        <f>VLOOKUP(D268, Products!A:F, 6, FALSE)</f>
        <v>1</v>
      </c>
    </row>
    <row r="269" spans="1:19">
      <c r="A269" s="102" t="s">
        <v>631</v>
      </c>
      <c r="B269" s="2">
        <v>45332</v>
      </c>
      <c r="C269" s="1" t="s">
        <v>342</v>
      </c>
      <c r="D269" s="1" t="s">
        <v>143</v>
      </c>
      <c r="E269" s="1" t="s">
        <v>229</v>
      </c>
      <c r="F269" s="83">
        <v>9</v>
      </c>
      <c r="G269" s="92">
        <v>3250</v>
      </c>
      <c r="H269" s="3">
        <v>16.5</v>
      </c>
      <c r="I269" s="3">
        <v>24423.75</v>
      </c>
      <c r="J269" s="1" t="s">
        <v>87</v>
      </c>
      <c r="K269" s="1" t="s">
        <v>94</v>
      </c>
      <c r="L269" t="str">
        <f>VLOOKUP(D269, Products!A:C, 3, FALSE)</f>
        <v>Home</v>
      </c>
      <c r="M269" t="str">
        <f>VLOOKUP(C269, Customers!A:E, 5, FALSE)</f>
        <v>Retail</v>
      </c>
      <c r="N269">
        <f>VLOOKUP(C269, Customers!A:E, 3, FALSE)</f>
        <v>26</v>
      </c>
      <c r="O269" s="93" t="str">
        <f>VLOOKUP(E269, Sales_Reps!A:C, 3, FALSE)</f>
        <v>West</v>
      </c>
      <c r="P269">
        <f>VLOOKUP(D269, Products!A:E, 4, FALSE)</f>
        <v>1556</v>
      </c>
      <c r="Q269">
        <f>IF(COUNTIF($A$2:A269, A269)=2, 1, 0)</f>
        <v>0</v>
      </c>
      <c r="R269">
        <f>IF(ISNA(MATCH(C269, Customers!$A:$A, 0)), 1, 0)</f>
        <v>0</v>
      </c>
      <c r="S269" s="94" t="b">
        <f>VLOOKUP(D269, Products!A:F, 6, FALSE)</f>
        <v>1</v>
      </c>
    </row>
    <row r="270" spans="1:19">
      <c r="A270" s="102" t="s">
        <v>632</v>
      </c>
      <c r="B270" s="2">
        <v>45299</v>
      </c>
      <c r="C270" s="1" t="s">
        <v>228</v>
      </c>
      <c r="D270" s="1" t="s">
        <v>241</v>
      </c>
      <c r="E270" s="1" t="s">
        <v>273</v>
      </c>
      <c r="F270" s="83">
        <v>1</v>
      </c>
      <c r="G270" s="92">
        <v>6080</v>
      </c>
      <c r="H270" s="3">
        <v>0.1</v>
      </c>
      <c r="I270" s="3">
        <v>6073.92</v>
      </c>
      <c r="J270" s="1" t="s">
        <v>87</v>
      </c>
      <c r="K270" s="1" t="s">
        <v>112</v>
      </c>
      <c r="L270" t="str">
        <f>VLOOKUP(D270, Products!A:C, 3, FALSE)</f>
        <v>Beauty</v>
      </c>
      <c r="M270" t="str">
        <f>VLOOKUP(C270, Customers!A:E, 5, FALSE)</f>
        <v>SMB</v>
      </c>
      <c r="N270">
        <f>VLOOKUP(C270, Customers!A:E, 3, FALSE)</f>
        <v>54</v>
      </c>
      <c r="O270" s="93" t="str">
        <f>VLOOKUP(E270, Sales_Reps!A:C, 3, FALSE)</f>
        <v>South</v>
      </c>
      <c r="P270">
        <f>VLOOKUP(D270, Products!A:E, 4, FALSE)</f>
        <v>2617</v>
      </c>
      <c r="Q270">
        <f>IF(COUNTIF($A$2:A270, A270)=2, 1, 0)</f>
        <v>0</v>
      </c>
      <c r="R270">
        <f>IF(ISNA(MATCH(C270, Customers!$A:$A, 0)), 1, 0)</f>
        <v>0</v>
      </c>
      <c r="S270" s="94" t="b">
        <f>VLOOKUP(D270, Products!A:F, 6, FALSE)</f>
        <v>1</v>
      </c>
    </row>
    <row r="271" spans="1:19">
      <c r="A271" s="102" t="s">
        <v>633</v>
      </c>
      <c r="B271" s="2">
        <v>45386</v>
      </c>
      <c r="C271" s="1" t="s">
        <v>589</v>
      </c>
      <c r="D271" s="1" t="s">
        <v>237</v>
      </c>
      <c r="E271" s="1" t="s">
        <v>98</v>
      </c>
      <c r="F271" s="83">
        <v>8</v>
      </c>
      <c r="G271" s="92">
        <v>3640</v>
      </c>
      <c r="H271" s="3">
        <v>13.5</v>
      </c>
      <c r="I271" s="3">
        <v>25188.799999999999</v>
      </c>
      <c r="J271" s="1" t="s">
        <v>87</v>
      </c>
      <c r="K271" s="1" t="s">
        <v>94</v>
      </c>
      <c r="L271" t="str">
        <f>VLOOKUP(D271, Products!A:C, 3, FALSE)</f>
        <v>Apparel</v>
      </c>
      <c r="M271" t="str">
        <f>VLOOKUP(C271, Customers!A:E, 5, FALSE)</f>
        <v>Corporate</v>
      </c>
      <c r="N271">
        <f>VLOOKUP(C271, Customers!A:E, 3, FALSE)</f>
        <v>30</v>
      </c>
      <c r="O271" s="93" t="str">
        <f>VLOOKUP(E271, Sales_Reps!A:C, 3, FALSE)</f>
        <v>South</v>
      </c>
      <c r="P271">
        <f>VLOOKUP(D271, Products!A:E, 4, FALSE)</f>
        <v>2611</v>
      </c>
      <c r="Q271">
        <f>IF(COUNTIF($A$2:A271, A271)=2, 1, 0)</f>
        <v>0</v>
      </c>
      <c r="R271">
        <f>IF(ISNA(MATCH(C271, Customers!$A:$A, 0)), 1, 0)</f>
        <v>0</v>
      </c>
      <c r="S271" s="94" t="b">
        <f>VLOOKUP(D271, Products!A:F, 6, FALSE)</f>
        <v>1</v>
      </c>
    </row>
    <row r="272" spans="1:19">
      <c r="A272" s="102" t="s">
        <v>634</v>
      </c>
      <c r="B272" s="2">
        <v>45472</v>
      </c>
      <c r="C272" s="1" t="s">
        <v>635</v>
      </c>
      <c r="D272" s="1" t="s">
        <v>106</v>
      </c>
      <c r="E272" s="1" t="s">
        <v>92</v>
      </c>
      <c r="F272" s="83">
        <v>9</v>
      </c>
      <c r="G272" s="92">
        <v>3160</v>
      </c>
      <c r="H272" s="3">
        <v>29.7</v>
      </c>
      <c r="I272" s="3">
        <v>19993.32</v>
      </c>
      <c r="J272" s="1" t="s">
        <v>87</v>
      </c>
      <c r="K272" s="1" t="s">
        <v>99</v>
      </c>
      <c r="L272" t="str">
        <f>VLOOKUP(D272, Products!A:C, 3, FALSE)</f>
        <v>Apparel</v>
      </c>
      <c r="M272" t="str">
        <f>VLOOKUP(C272, Customers!A:E, 5, FALSE)</f>
        <v>Retail</v>
      </c>
      <c r="N272">
        <f>VLOOKUP(C272, Customers!A:E, 3, FALSE)</f>
        <v>49</v>
      </c>
      <c r="O272" s="93" t="str">
        <f>VLOOKUP(E272, Sales_Reps!A:C, 3, FALSE)</f>
        <v>North</v>
      </c>
      <c r="P272">
        <f>VLOOKUP(D272, Products!A:E, 4, FALSE)</f>
        <v>1886</v>
      </c>
      <c r="Q272">
        <f>IF(COUNTIF($A$2:A272, A272)=2, 1, 0)</f>
        <v>0</v>
      </c>
      <c r="R272">
        <f>IF(ISNA(MATCH(C272, Customers!$A:$A, 0)), 1, 0)</f>
        <v>0</v>
      </c>
      <c r="S272" s="94" t="b">
        <f>VLOOKUP(D272, Products!A:F, 6, FALSE)</f>
        <v>1</v>
      </c>
    </row>
    <row r="273" spans="1:19">
      <c r="A273" s="102" t="s">
        <v>636</v>
      </c>
      <c r="B273" s="2">
        <v>45428</v>
      </c>
      <c r="C273" s="1" t="s">
        <v>561</v>
      </c>
      <c r="D273" s="1" t="s">
        <v>248</v>
      </c>
      <c r="E273" s="1" t="s">
        <v>86</v>
      </c>
      <c r="F273" s="83">
        <v>2</v>
      </c>
      <c r="G273" s="92">
        <v>3870</v>
      </c>
      <c r="H273" s="3">
        <v>18.100000000000001</v>
      </c>
      <c r="I273" s="3">
        <v>6339.06</v>
      </c>
      <c r="J273" s="1" t="s">
        <v>140</v>
      </c>
      <c r="K273" s="1" t="s">
        <v>133</v>
      </c>
      <c r="L273" t="str">
        <f>VLOOKUP(D273, Products!A:C, 3, FALSE)</f>
        <v>Electronics</v>
      </c>
      <c r="M273" t="str">
        <f>VLOOKUP(C273, Customers!A:E, 5, FALSE)</f>
        <v>SMB</v>
      </c>
      <c r="N273">
        <f>VLOOKUP(C273, Customers!A:E, 3, FALSE)</f>
        <v>43</v>
      </c>
      <c r="O273" s="93" t="str">
        <f>VLOOKUP(E273, Sales_Reps!A:C, 3, FALSE)</f>
        <v>North</v>
      </c>
      <c r="P273">
        <f>VLOOKUP(D273, Products!A:E, 4, FALSE)</f>
        <v>1559</v>
      </c>
      <c r="Q273">
        <f>IF(COUNTIF($A$2:A273, A273)=2, 1, 0)</f>
        <v>0</v>
      </c>
      <c r="R273">
        <f>IF(ISNA(MATCH(C273, Customers!$A:$A, 0)), 1, 0)</f>
        <v>0</v>
      </c>
      <c r="S273" s="94" t="b">
        <f>VLOOKUP(D273, Products!A:F, 6, FALSE)</f>
        <v>1</v>
      </c>
    </row>
    <row r="274" spans="1:19">
      <c r="A274" s="102" t="s">
        <v>637</v>
      </c>
      <c r="B274" s="2">
        <v>45430</v>
      </c>
      <c r="C274" s="1" t="s">
        <v>638</v>
      </c>
      <c r="D274" s="1" t="s">
        <v>203</v>
      </c>
      <c r="E274" s="1" t="s">
        <v>170</v>
      </c>
      <c r="F274" s="83">
        <v>3</v>
      </c>
      <c r="G274" s="92">
        <v>660</v>
      </c>
      <c r="H274" s="3">
        <v>9.1999999999999993</v>
      </c>
      <c r="I274" s="3">
        <v>1797.84</v>
      </c>
      <c r="J274" s="1" t="s">
        <v>87</v>
      </c>
      <c r="K274" s="1" t="s">
        <v>99</v>
      </c>
      <c r="L274" t="str">
        <f>VLOOKUP(D274, Products!A:C, 3, FALSE)</f>
        <v>Home</v>
      </c>
      <c r="M274" t="str">
        <f>VLOOKUP(C274, Customers!A:E, 5, FALSE)</f>
        <v>Retail</v>
      </c>
      <c r="N274">
        <f>VLOOKUP(C274, Customers!A:E, 3, FALSE)</f>
        <v>43</v>
      </c>
      <c r="O274" s="93" t="str">
        <f>VLOOKUP(E274, Sales_Reps!A:C, 3, FALSE)</f>
        <v>West</v>
      </c>
      <c r="P274">
        <f>VLOOKUP(D274, Products!A:E, 4, FALSE)</f>
        <v>329</v>
      </c>
      <c r="Q274">
        <f>IF(COUNTIF($A$2:A274, A274)=2, 1, 0)</f>
        <v>0</v>
      </c>
      <c r="R274">
        <f>IF(ISNA(MATCH(C274, Customers!$A:$A, 0)), 1, 0)</f>
        <v>0</v>
      </c>
      <c r="S274" s="94" t="b">
        <f>VLOOKUP(D274, Products!A:F, 6, FALSE)</f>
        <v>1</v>
      </c>
    </row>
    <row r="275" spans="1:19">
      <c r="A275" s="102" t="s">
        <v>639</v>
      </c>
      <c r="B275" s="2">
        <v>45418</v>
      </c>
      <c r="C275" s="1" t="s">
        <v>405</v>
      </c>
      <c r="D275" s="1" t="s">
        <v>351</v>
      </c>
      <c r="E275" s="1" t="s">
        <v>252</v>
      </c>
      <c r="F275" s="83">
        <v>4</v>
      </c>
      <c r="G275" s="92">
        <v>4060</v>
      </c>
      <c r="H275" s="3">
        <v>28</v>
      </c>
      <c r="I275" s="3">
        <v>11692.8</v>
      </c>
      <c r="J275" s="1" t="s">
        <v>87</v>
      </c>
      <c r="K275" s="1" t="s">
        <v>94</v>
      </c>
      <c r="L275" t="str">
        <f>VLOOKUP(D275, Products!A:C, 3, FALSE)</f>
        <v>Grocery</v>
      </c>
      <c r="M275" t="str">
        <f>VLOOKUP(C275, Customers!A:E, 5, FALSE)</f>
        <v>Corporate</v>
      </c>
      <c r="N275">
        <f>VLOOKUP(C275, Customers!A:E, 3, FALSE)</f>
        <v>24</v>
      </c>
      <c r="O275" s="93" t="str">
        <f>VLOOKUP(E275, Sales_Reps!A:C, 3, FALSE)</f>
        <v>South</v>
      </c>
      <c r="P275">
        <f>VLOOKUP(D275, Products!A:E, 4, FALSE)</f>
        <v>2911</v>
      </c>
      <c r="Q275">
        <f>IF(COUNTIF($A$2:A275, A275)=2, 1, 0)</f>
        <v>0</v>
      </c>
      <c r="R275">
        <f>IF(ISNA(MATCH(C275, Customers!$A:$A, 0)), 1, 0)</f>
        <v>0</v>
      </c>
      <c r="S275" s="94" t="b">
        <f>VLOOKUP(D275, Products!A:F, 6, FALSE)</f>
        <v>1</v>
      </c>
    </row>
    <row r="276" spans="1:19">
      <c r="A276" s="102" t="s">
        <v>640</v>
      </c>
      <c r="B276" s="2">
        <v>45360</v>
      </c>
      <c r="C276" s="1" t="s">
        <v>357</v>
      </c>
      <c r="D276" s="1" t="s">
        <v>443</v>
      </c>
      <c r="E276" s="1" t="s">
        <v>346</v>
      </c>
      <c r="F276" s="83">
        <v>2</v>
      </c>
      <c r="G276" s="92">
        <v>5080</v>
      </c>
      <c r="H276" s="3">
        <v>7.7</v>
      </c>
      <c r="I276" s="3">
        <v>9377.68</v>
      </c>
      <c r="J276" s="1" t="s">
        <v>144</v>
      </c>
      <c r="K276" s="1" t="s">
        <v>99</v>
      </c>
      <c r="L276" t="str">
        <f>VLOOKUP(D276, Products!A:C, 3, FALSE)</f>
        <v>Home</v>
      </c>
      <c r="M276" t="str">
        <f>VLOOKUP(C276, Customers!A:E, 5, FALSE)</f>
        <v>SMB</v>
      </c>
      <c r="N276">
        <f>VLOOKUP(C276, Customers!A:E, 3, FALSE)</f>
        <v>38</v>
      </c>
      <c r="O276" s="93" t="str">
        <f>VLOOKUP(E276, Sales_Reps!A:C, 3, FALSE)</f>
        <v>South</v>
      </c>
      <c r="P276">
        <f>VLOOKUP(D276, Products!A:E, 4, FALSE)</f>
        <v>2459</v>
      </c>
      <c r="Q276">
        <f>IF(COUNTIF($A$2:A276, A276)=2, 1, 0)</f>
        <v>0</v>
      </c>
      <c r="R276">
        <f>IF(ISNA(MATCH(C276, Customers!$A:$A, 0)), 1, 0)</f>
        <v>0</v>
      </c>
      <c r="S276" s="94" t="b">
        <f>VLOOKUP(D276, Products!A:F, 6, FALSE)</f>
        <v>1</v>
      </c>
    </row>
    <row r="277" spans="1:19">
      <c r="A277" s="102" t="s">
        <v>641</v>
      </c>
      <c r="B277" s="2">
        <v>45296</v>
      </c>
      <c r="C277" s="1" t="s">
        <v>312</v>
      </c>
      <c r="D277" s="1" t="s">
        <v>187</v>
      </c>
      <c r="E277" s="1" t="s">
        <v>92</v>
      </c>
      <c r="F277" s="83">
        <v>3</v>
      </c>
      <c r="G277" s="92">
        <v>3570</v>
      </c>
      <c r="H277" s="3">
        <v>9.5</v>
      </c>
      <c r="I277" s="3">
        <v>9692.5499999999993</v>
      </c>
      <c r="J277" s="1" t="s">
        <v>87</v>
      </c>
      <c r="K277" s="1" t="s">
        <v>133</v>
      </c>
      <c r="L277" t="str">
        <f>VLOOKUP(D277, Products!A:C, 3, FALSE)</f>
        <v>Electronics</v>
      </c>
      <c r="M277" t="str">
        <f>VLOOKUP(C277, Customers!A:E, 5, FALSE)</f>
        <v>Retail</v>
      </c>
      <c r="N277">
        <f>VLOOKUP(C277, Customers!A:E, 3, FALSE)</f>
        <v>46</v>
      </c>
      <c r="O277" s="93" t="str">
        <f>VLOOKUP(E277, Sales_Reps!A:C, 3, FALSE)</f>
        <v>North</v>
      </c>
      <c r="P277">
        <f>VLOOKUP(D277, Products!A:E, 4, FALSE)</f>
        <v>1665</v>
      </c>
      <c r="Q277">
        <f>IF(COUNTIF($A$2:A277, A277)=2, 1, 0)</f>
        <v>0</v>
      </c>
      <c r="R277">
        <f>IF(ISNA(MATCH(C277, Customers!$A:$A, 0)), 1, 0)</f>
        <v>0</v>
      </c>
      <c r="S277" s="94" t="b">
        <f>VLOOKUP(D277, Products!A:F, 6, FALSE)</f>
        <v>1</v>
      </c>
    </row>
    <row r="278" spans="1:19">
      <c r="A278" s="102" t="s">
        <v>642</v>
      </c>
      <c r="B278" s="2">
        <v>45460</v>
      </c>
      <c r="C278" s="1" t="s">
        <v>643</v>
      </c>
      <c r="D278" s="1" t="s">
        <v>292</v>
      </c>
      <c r="E278" s="1" t="s">
        <v>192</v>
      </c>
      <c r="F278" s="83">
        <v>2</v>
      </c>
      <c r="G278" s="92">
        <v>620</v>
      </c>
      <c r="H278" s="3">
        <v>29.5</v>
      </c>
      <c r="I278" s="3">
        <v>874.2</v>
      </c>
      <c r="J278" s="1" t="s">
        <v>87</v>
      </c>
      <c r="K278" s="1" t="s">
        <v>112</v>
      </c>
      <c r="L278" t="str">
        <f>VLOOKUP(D278, Products!A:C, 3, FALSE)</f>
        <v>Apparel</v>
      </c>
      <c r="M278" t="str">
        <f>VLOOKUP(C278, Customers!A:E, 5, FALSE)</f>
        <v>SMB</v>
      </c>
      <c r="N278">
        <f>VLOOKUP(C278, Customers!A:E, 3, FALSE)</f>
        <v>27</v>
      </c>
      <c r="O278" s="93" t="str">
        <f>VLOOKUP(E278, Sales_Reps!A:C, 3, FALSE)</f>
        <v>East</v>
      </c>
      <c r="P278">
        <f>VLOOKUP(D278, Products!A:E, 4, FALSE)</f>
        <v>396</v>
      </c>
      <c r="Q278">
        <f>IF(COUNTIF($A$2:A278, A278)=2, 1, 0)</f>
        <v>0</v>
      </c>
      <c r="R278">
        <f>IF(ISNA(MATCH(C278, Customers!$A:$A, 0)), 1, 0)</f>
        <v>0</v>
      </c>
      <c r="S278" s="94" t="b">
        <f>VLOOKUP(D278, Products!A:F, 6, FALSE)</f>
        <v>1</v>
      </c>
    </row>
    <row r="279" spans="1:19">
      <c r="A279" s="102" t="s">
        <v>644</v>
      </c>
      <c r="B279" s="2">
        <v>45638</v>
      </c>
      <c r="C279" s="1" t="s">
        <v>403</v>
      </c>
      <c r="D279" s="1" t="s">
        <v>452</v>
      </c>
      <c r="E279" s="1" t="s">
        <v>252</v>
      </c>
      <c r="F279" s="83">
        <v>3</v>
      </c>
      <c r="G279" s="92">
        <v>3450</v>
      </c>
      <c r="H279" s="3">
        <v>3</v>
      </c>
      <c r="I279" s="3">
        <v>10039.5</v>
      </c>
      <c r="J279" s="1" t="s">
        <v>87</v>
      </c>
      <c r="K279" s="1" t="s">
        <v>117</v>
      </c>
      <c r="L279" t="str">
        <f>VLOOKUP(D279, Products!A:C, 3, FALSE)</f>
        <v>Apparel</v>
      </c>
      <c r="M279" t="str">
        <f>VLOOKUP(C279, Customers!A:E, 5, FALSE)</f>
        <v>Retail</v>
      </c>
      <c r="N279">
        <f>VLOOKUP(C279, Customers!A:E, 3, FALSE)</f>
        <v>59</v>
      </c>
      <c r="O279" s="93" t="str">
        <f>VLOOKUP(E279, Sales_Reps!A:C, 3, FALSE)</f>
        <v>South</v>
      </c>
      <c r="P279">
        <f>VLOOKUP(D279, Products!A:E, 4, FALSE)</f>
        <v>1748</v>
      </c>
      <c r="Q279">
        <f>IF(COUNTIF($A$2:A279, A279)=2, 1, 0)</f>
        <v>0</v>
      </c>
      <c r="R279">
        <f>IF(ISNA(MATCH(C279, Customers!$A:$A, 0)), 1, 0)</f>
        <v>0</v>
      </c>
      <c r="S279" s="94" t="b">
        <f>VLOOKUP(D279, Products!A:F, 6, FALSE)</f>
        <v>1</v>
      </c>
    </row>
    <row r="280" spans="1:19">
      <c r="A280" s="102" t="s">
        <v>645</v>
      </c>
      <c r="B280" s="2">
        <v>45408</v>
      </c>
      <c r="C280" s="1" t="s">
        <v>522</v>
      </c>
      <c r="D280" s="1" t="s">
        <v>191</v>
      </c>
      <c r="E280" s="1" t="s">
        <v>103</v>
      </c>
      <c r="F280" s="83">
        <v>7</v>
      </c>
      <c r="G280" s="92">
        <v>5100</v>
      </c>
      <c r="H280" s="3">
        <v>4.3</v>
      </c>
      <c r="I280" s="3">
        <v>34164.9</v>
      </c>
      <c r="J280" s="1" t="s">
        <v>87</v>
      </c>
      <c r="K280" s="1" t="s">
        <v>99</v>
      </c>
      <c r="L280" t="str">
        <f>VLOOKUP(D280, Products!A:C, 3, FALSE)</f>
        <v>Beauty</v>
      </c>
      <c r="M280" t="str">
        <f>VLOOKUP(C280, Customers!A:E, 5, FALSE)</f>
        <v>SMB</v>
      </c>
      <c r="N280">
        <f>VLOOKUP(C280, Customers!A:E, 3, FALSE)</f>
        <v>55</v>
      </c>
      <c r="O280" s="93" t="str">
        <f>VLOOKUP(E280, Sales_Reps!A:C, 3, FALSE)</f>
        <v>North</v>
      </c>
      <c r="P280">
        <f>VLOOKUP(D280, Products!A:E, 4, FALSE)</f>
        <v>2237</v>
      </c>
      <c r="Q280">
        <f>IF(COUNTIF($A$2:A280, A280)=2, 1, 0)</f>
        <v>0</v>
      </c>
      <c r="R280">
        <f>IF(ISNA(MATCH(C280, Customers!$A:$A, 0)), 1, 0)</f>
        <v>0</v>
      </c>
      <c r="S280" s="94" t="b">
        <f>VLOOKUP(D280, Products!A:F, 6, FALSE)</f>
        <v>1</v>
      </c>
    </row>
    <row r="281" spans="1:19">
      <c r="A281" s="102" t="s">
        <v>646</v>
      </c>
      <c r="B281" s="2">
        <v>45541</v>
      </c>
      <c r="C281" s="1" t="s">
        <v>429</v>
      </c>
      <c r="D281" s="1" t="s">
        <v>248</v>
      </c>
      <c r="E281" s="1" t="s">
        <v>148</v>
      </c>
      <c r="F281" s="83">
        <v>9</v>
      </c>
      <c r="G281" s="92">
        <v>3870</v>
      </c>
      <c r="H281" s="3">
        <v>4.8</v>
      </c>
      <c r="I281" s="3">
        <v>33158.160000000003</v>
      </c>
      <c r="J281" s="1" t="s">
        <v>87</v>
      </c>
      <c r="K281" s="1" t="s">
        <v>117</v>
      </c>
      <c r="L281" t="str">
        <f>VLOOKUP(D281, Products!A:C, 3, FALSE)</f>
        <v>Electronics</v>
      </c>
      <c r="M281" t="str">
        <f>VLOOKUP(C281, Customers!A:E, 5, FALSE)</f>
        <v>Retail</v>
      </c>
      <c r="N281">
        <f>VLOOKUP(C281, Customers!A:E, 3, FALSE)</f>
        <v>55</v>
      </c>
      <c r="O281" s="93" t="str">
        <f>VLOOKUP(E281, Sales_Reps!A:C, 3, FALSE)</f>
        <v>North</v>
      </c>
      <c r="P281">
        <f>VLOOKUP(D281, Products!A:E, 4, FALSE)</f>
        <v>1559</v>
      </c>
      <c r="Q281">
        <f>IF(COUNTIF($A$2:A281, A281)=2, 1, 0)</f>
        <v>0</v>
      </c>
      <c r="R281">
        <f>IF(ISNA(MATCH(C281, Customers!$A:$A, 0)), 1, 0)</f>
        <v>0</v>
      </c>
      <c r="S281" s="94" t="b">
        <f>VLOOKUP(D281, Products!A:F, 6, FALSE)</f>
        <v>1</v>
      </c>
    </row>
    <row r="282" spans="1:19">
      <c r="A282" s="102" t="s">
        <v>647</v>
      </c>
      <c r="B282" s="2">
        <v>45633</v>
      </c>
      <c r="C282" s="1" t="s">
        <v>608</v>
      </c>
      <c r="D282" s="1" t="s">
        <v>267</v>
      </c>
      <c r="E282" s="1" t="s">
        <v>229</v>
      </c>
      <c r="F282" s="83">
        <v>5</v>
      </c>
      <c r="G282" s="92">
        <v>1220</v>
      </c>
      <c r="H282" s="3">
        <v>4</v>
      </c>
      <c r="I282" s="3">
        <v>5856</v>
      </c>
      <c r="J282" s="1" t="s">
        <v>140</v>
      </c>
      <c r="K282" s="1" t="s">
        <v>88</v>
      </c>
      <c r="L282" t="str">
        <f>VLOOKUP(D282, Products!A:C, 3, FALSE)</f>
        <v>Electronics</v>
      </c>
      <c r="M282" t="str">
        <f>VLOOKUP(C282, Customers!A:E, 5, FALSE)</f>
        <v>Corporate</v>
      </c>
      <c r="N282">
        <f>VLOOKUP(C282, Customers!A:E, 3, FALSE)</f>
        <v>40</v>
      </c>
      <c r="O282" s="93" t="str">
        <f>VLOOKUP(E282, Sales_Reps!A:C, 3, FALSE)</f>
        <v>West</v>
      </c>
      <c r="P282">
        <f>VLOOKUP(D282, Products!A:E, 4, FALSE)</f>
        <v>517</v>
      </c>
      <c r="Q282">
        <f>IF(COUNTIF($A$2:A282, A282)=2, 1, 0)</f>
        <v>0</v>
      </c>
      <c r="R282">
        <f>IF(ISNA(MATCH(C282, Customers!$A:$A, 0)), 1, 0)</f>
        <v>0</v>
      </c>
      <c r="S282" s="94" t="b">
        <f>VLOOKUP(D282, Products!A:F, 6, FALSE)</f>
        <v>1</v>
      </c>
    </row>
    <row r="283" spans="1:19">
      <c r="A283" s="102" t="s">
        <v>648</v>
      </c>
      <c r="B283" s="2">
        <v>45338</v>
      </c>
      <c r="C283" s="1" t="s">
        <v>166</v>
      </c>
      <c r="D283" s="1" t="s">
        <v>124</v>
      </c>
      <c r="E283" s="1" t="s">
        <v>154</v>
      </c>
      <c r="F283" s="83">
        <v>5</v>
      </c>
      <c r="G283" s="92">
        <v>5490</v>
      </c>
      <c r="H283" s="3">
        <v>19.8</v>
      </c>
      <c r="I283" s="3">
        <v>22014.9</v>
      </c>
      <c r="J283" s="1" t="s">
        <v>87</v>
      </c>
      <c r="K283" s="1" t="s">
        <v>133</v>
      </c>
      <c r="L283" t="str">
        <f>VLOOKUP(D283, Products!A:C, 3, FALSE)</f>
        <v>Home</v>
      </c>
      <c r="M283" t="str">
        <f>VLOOKUP(C283, Customers!A:E, 5, FALSE)</f>
        <v>Retail</v>
      </c>
      <c r="N283">
        <f>VLOOKUP(C283, Customers!A:E, 3, FALSE)</f>
        <v>32</v>
      </c>
      <c r="O283" s="93" t="str">
        <f>VLOOKUP(E283, Sales_Reps!A:C, 3, FALSE)</f>
        <v>East</v>
      </c>
      <c r="P283">
        <f>VLOOKUP(D283, Products!A:E, 4, FALSE)</f>
        <v>2549</v>
      </c>
      <c r="Q283">
        <f>IF(COUNTIF($A$2:A283, A283)=2, 1, 0)</f>
        <v>0</v>
      </c>
      <c r="R283">
        <f>IF(ISNA(MATCH(C283, Customers!$A:$A, 0)), 1, 0)</f>
        <v>0</v>
      </c>
      <c r="S283" s="94" t="b">
        <f>VLOOKUP(D283, Products!A:F, 6, FALSE)</f>
        <v>1</v>
      </c>
    </row>
    <row r="284" spans="1:19">
      <c r="A284" s="102" t="s">
        <v>649</v>
      </c>
      <c r="B284" s="2">
        <v>45529</v>
      </c>
      <c r="C284" s="1" t="s">
        <v>385</v>
      </c>
      <c r="D284" s="1" t="s">
        <v>176</v>
      </c>
      <c r="E284" s="1" t="s">
        <v>215</v>
      </c>
      <c r="F284" s="83">
        <v>1</v>
      </c>
      <c r="G284" s="92">
        <v>1650</v>
      </c>
      <c r="H284" s="3">
        <v>26.2</v>
      </c>
      <c r="I284" s="3">
        <v>1217.7</v>
      </c>
      <c r="J284" s="1" t="s">
        <v>87</v>
      </c>
      <c r="K284" s="1" t="s">
        <v>117</v>
      </c>
      <c r="L284" t="str">
        <f>VLOOKUP(D284, Products!A:C, 3, FALSE)</f>
        <v>Beauty</v>
      </c>
      <c r="M284" t="str">
        <f>VLOOKUP(C284, Customers!A:E, 5, FALSE)</f>
        <v>Retail</v>
      </c>
      <c r="N284">
        <f>VLOOKUP(C284, Customers!A:E, 3, FALSE)</f>
        <v>23</v>
      </c>
      <c r="O284" s="93" t="str">
        <f>VLOOKUP(E284, Sales_Reps!A:C, 3, FALSE)</f>
        <v>North</v>
      </c>
      <c r="P284">
        <f>VLOOKUP(D284, Products!A:E, 4, FALSE)</f>
        <v>1222</v>
      </c>
      <c r="Q284">
        <f>IF(COUNTIF($A$2:A284, A284)=2, 1, 0)</f>
        <v>0</v>
      </c>
      <c r="R284">
        <f>IF(ISNA(MATCH(C284, Customers!$A:$A, 0)), 1, 0)</f>
        <v>0</v>
      </c>
      <c r="S284" s="94" t="b">
        <f>VLOOKUP(D284, Products!A:F, 6, FALSE)</f>
        <v>1</v>
      </c>
    </row>
    <row r="285" spans="1:19">
      <c r="A285" s="102" t="s">
        <v>650</v>
      </c>
      <c r="B285" s="2">
        <v>45460</v>
      </c>
      <c r="C285" s="1" t="s">
        <v>651</v>
      </c>
      <c r="D285" s="1" t="s">
        <v>279</v>
      </c>
      <c r="E285" s="1" t="s">
        <v>148</v>
      </c>
      <c r="F285" s="83">
        <v>1</v>
      </c>
      <c r="G285" s="92">
        <v>2660</v>
      </c>
      <c r="H285" s="3">
        <v>21</v>
      </c>
      <c r="I285" s="3">
        <v>2101.4</v>
      </c>
      <c r="J285" s="1" t="s">
        <v>87</v>
      </c>
      <c r="K285" s="1" t="s">
        <v>133</v>
      </c>
      <c r="L285" t="str">
        <f>VLOOKUP(D285, Products!A:C, 3, FALSE)</f>
        <v>Electronics</v>
      </c>
      <c r="M285" t="str">
        <f>VLOOKUP(C285, Customers!A:E, 5, FALSE)</f>
        <v>Retail</v>
      </c>
      <c r="N285">
        <f>VLOOKUP(C285, Customers!A:E, 3, FALSE)</f>
        <v>50</v>
      </c>
      <c r="O285" s="93" t="str">
        <f>VLOOKUP(E285, Sales_Reps!A:C, 3, FALSE)</f>
        <v>North</v>
      </c>
      <c r="P285">
        <f>VLOOKUP(D285, Products!A:E, 4, FALSE)</f>
        <v>1259</v>
      </c>
      <c r="Q285">
        <f>IF(COUNTIF($A$2:A285, A285)=2, 1, 0)</f>
        <v>0</v>
      </c>
      <c r="R285">
        <f>IF(ISNA(MATCH(C285, Customers!$A:$A, 0)), 1, 0)</f>
        <v>0</v>
      </c>
      <c r="S285" s="94" t="b">
        <f>VLOOKUP(D285, Products!A:F, 6, FALSE)</f>
        <v>0</v>
      </c>
    </row>
    <row r="286" spans="1:19">
      <c r="A286" s="102" t="s">
        <v>652</v>
      </c>
      <c r="B286" s="2">
        <v>45375</v>
      </c>
      <c r="C286" s="1" t="s">
        <v>331</v>
      </c>
      <c r="D286" s="1" t="s">
        <v>338</v>
      </c>
      <c r="E286" s="1" t="s">
        <v>148</v>
      </c>
      <c r="F286" s="83">
        <v>6</v>
      </c>
      <c r="G286" s="92">
        <v>2210</v>
      </c>
      <c r="H286" s="3">
        <v>9.8000000000000007</v>
      </c>
      <c r="I286" s="3">
        <v>11960.52</v>
      </c>
      <c r="J286" s="1" t="s">
        <v>93</v>
      </c>
      <c r="K286" s="1" t="s">
        <v>117</v>
      </c>
      <c r="L286" t="str">
        <f>VLOOKUP(D286, Products!A:C, 3, FALSE)</f>
        <v>Grocery</v>
      </c>
      <c r="M286" t="str">
        <f>VLOOKUP(C286, Customers!A:E, 5, FALSE)</f>
        <v>Corporate</v>
      </c>
      <c r="N286">
        <f>VLOOKUP(C286, Customers!A:E, 3, FALSE)</f>
        <v>59</v>
      </c>
      <c r="O286" s="93" t="str">
        <f>VLOOKUP(E286, Sales_Reps!A:C, 3, FALSE)</f>
        <v>North</v>
      </c>
      <c r="P286">
        <f>VLOOKUP(D286, Products!A:E, 4, FALSE)</f>
        <v>1010</v>
      </c>
      <c r="Q286">
        <f>IF(COUNTIF($A$2:A286, A286)=2, 1, 0)</f>
        <v>0</v>
      </c>
      <c r="R286">
        <f>IF(ISNA(MATCH(C286, Customers!$A:$A, 0)), 1, 0)</f>
        <v>0</v>
      </c>
      <c r="S286" s="94" t="b">
        <f>VLOOKUP(D286, Products!A:F, 6, FALSE)</f>
        <v>1</v>
      </c>
    </row>
    <row r="287" spans="1:19">
      <c r="A287" s="102" t="s">
        <v>653</v>
      </c>
      <c r="B287" s="2">
        <v>45310</v>
      </c>
      <c r="C287" s="1" t="s">
        <v>522</v>
      </c>
      <c r="D287" s="1" t="s">
        <v>138</v>
      </c>
      <c r="E287" s="1" t="s">
        <v>215</v>
      </c>
      <c r="F287" s="83">
        <v>9</v>
      </c>
      <c r="G287" s="92">
        <v>2600</v>
      </c>
      <c r="H287" s="3">
        <v>15.7</v>
      </c>
      <c r="I287" s="3">
        <v>19726.2</v>
      </c>
      <c r="J287" s="1" t="s">
        <v>87</v>
      </c>
      <c r="K287" s="1" t="s">
        <v>99</v>
      </c>
      <c r="L287" t="str">
        <f>VLOOKUP(D287, Products!A:C, 3, FALSE)</f>
        <v>Electronics</v>
      </c>
      <c r="M287" t="str">
        <f>VLOOKUP(C287, Customers!A:E, 5, FALSE)</f>
        <v>SMB</v>
      </c>
      <c r="N287">
        <f>VLOOKUP(C287, Customers!A:E, 3, FALSE)</f>
        <v>55</v>
      </c>
      <c r="O287" s="93" t="str">
        <f>VLOOKUP(E287, Sales_Reps!A:C, 3, FALSE)</f>
        <v>North</v>
      </c>
      <c r="P287">
        <f>VLOOKUP(D287, Products!A:E, 4, FALSE)</f>
        <v>1052</v>
      </c>
      <c r="Q287">
        <f>IF(COUNTIF($A$2:A287, A287)=2, 1, 0)</f>
        <v>0</v>
      </c>
      <c r="R287">
        <f>IF(ISNA(MATCH(C287, Customers!$A:$A, 0)), 1, 0)</f>
        <v>0</v>
      </c>
      <c r="S287" s="94" t="b">
        <f>VLOOKUP(D287, Products!A:F, 6, FALSE)</f>
        <v>1</v>
      </c>
    </row>
    <row r="288" spans="1:19">
      <c r="A288" s="102" t="s">
        <v>654</v>
      </c>
      <c r="B288" s="2">
        <v>45314</v>
      </c>
      <c r="C288" s="1" t="s">
        <v>655</v>
      </c>
      <c r="D288" s="1" t="s">
        <v>276</v>
      </c>
      <c r="E288" s="1" t="s">
        <v>111</v>
      </c>
      <c r="F288" s="83">
        <v>3</v>
      </c>
      <c r="G288" s="92">
        <v>3020</v>
      </c>
      <c r="H288" s="3">
        <v>22.6</v>
      </c>
      <c r="I288" s="3">
        <v>7012.44</v>
      </c>
      <c r="J288" s="1" t="s">
        <v>87</v>
      </c>
      <c r="K288" s="1" t="s">
        <v>133</v>
      </c>
      <c r="L288" t="str">
        <f>VLOOKUP(D288, Products!A:C, 3, FALSE)</f>
        <v>Beauty</v>
      </c>
      <c r="M288" t="str">
        <f>VLOOKUP(C288, Customers!A:E, 5, FALSE)</f>
        <v>Retail</v>
      </c>
      <c r="N288">
        <f>VLOOKUP(C288, Customers!A:E, 3, FALSE)</f>
        <v>27</v>
      </c>
      <c r="O288" s="93" t="str">
        <f>VLOOKUP(E288, Sales_Reps!A:C, 3, FALSE)</f>
        <v>West</v>
      </c>
      <c r="P288">
        <f>VLOOKUP(D288, Products!A:E, 4, FALSE)</f>
        <v>1626</v>
      </c>
      <c r="Q288">
        <f>IF(COUNTIF($A$2:A288, A288)=2, 1, 0)</f>
        <v>0</v>
      </c>
      <c r="R288">
        <f>IF(ISNA(MATCH(C288, Customers!$A:$A, 0)), 1, 0)</f>
        <v>0</v>
      </c>
      <c r="S288" s="94" t="b">
        <f>VLOOKUP(D288, Products!A:F, 6, FALSE)</f>
        <v>1</v>
      </c>
    </row>
    <row r="289" spans="1:19">
      <c r="A289" s="102" t="s">
        <v>656</v>
      </c>
      <c r="B289" s="2">
        <v>45459</v>
      </c>
      <c r="C289" s="1" t="s">
        <v>314</v>
      </c>
      <c r="D289" s="1" t="s">
        <v>110</v>
      </c>
      <c r="E289" s="1" t="s">
        <v>92</v>
      </c>
      <c r="F289" s="83">
        <v>6</v>
      </c>
      <c r="G289" s="92">
        <v>370</v>
      </c>
      <c r="H289" s="3">
        <v>12.4</v>
      </c>
      <c r="I289" s="3">
        <v>1944.72</v>
      </c>
      <c r="J289" s="1" t="s">
        <v>87</v>
      </c>
      <c r="K289" s="1" t="s">
        <v>88</v>
      </c>
      <c r="L289" t="str">
        <f>VLOOKUP(D289, Products!A:C, 3, FALSE)</f>
        <v>Home</v>
      </c>
      <c r="M289" t="str">
        <f>VLOOKUP(C289, Customers!A:E, 5, FALSE)</f>
        <v>Corporate</v>
      </c>
      <c r="N289">
        <f>VLOOKUP(C289, Customers!A:E, 3, FALSE)</f>
        <v>33</v>
      </c>
      <c r="O289" s="93" t="str">
        <f>VLOOKUP(E289, Sales_Reps!A:C, 3, FALSE)</f>
        <v>North</v>
      </c>
      <c r="P289">
        <f>VLOOKUP(D289, Products!A:E, 4, FALSE)</f>
        <v>288</v>
      </c>
      <c r="Q289">
        <f>IF(COUNTIF($A$2:A289, A289)=2, 1, 0)</f>
        <v>0</v>
      </c>
      <c r="R289">
        <f>IF(ISNA(MATCH(C289, Customers!$A:$A, 0)), 1, 0)</f>
        <v>0</v>
      </c>
      <c r="S289" s="94" t="b">
        <f>VLOOKUP(D289, Products!A:F, 6, FALSE)</f>
        <v>1</v>
      </c>
    </row>
    <row r="290" spans="1:19">
      <c r="A290" s="102" t="s">
        <v>657</v>
      </c>
      <c r="B290" s="2">
        <v>45312</v>
      </c>
      <c r="C290" s="1" t="s">
        <v>615</v>
      </c>
      <c r="D290" s="1" t="s">
        <v>364</v>
      </c>
      <c r="E290" s="1" t="s">
        <v>103</v>
      </c>
      <c r="F290" s="83">
        <v>8</v>
      </c>
      <c r="G290" s="92">
        <v>5330</v>
      </c>
      <c r="H290" s="3">
        <v>16.2</v>
      </c>
      <c r="I290" s="3">
        <v>35732.32</v>
      </c>
      <c r="J290" s="1" t="s">
        <v>87</v>
      </c>
      <c r="K290" s="1" t="s">
        <v>112</v>
      </c>
      <c r="L290" t="str">
        <f>VLOOKUP(D290, Products!A:C, 3, FALSE)</f>
        <v>Electronics</v>
      </c>
      <c r="M290" t="str">
        <f>VLOOKUP(C290, Customers!A:E, 5, FALSE)</f>
        <v>Retail</v>
      </c>
      <c r="N290">
        <f>VLOOKUP(C290, Customers!A:E, 3, FALSE)</f>
        <v>53</v>
      </c>
      <c r="O290" s="93" t="str">
        <f>VLOOKUP(E290, Sales_Reps!A:C, 3, FALSE)</f>
        <v>North</v>
      </c>
      <c r="P290">
        <f>VLOOKUP(D290, Products!A:E, 4, FALSE)</f>
        <v>2405</v>
      </c>
      <c r="Q290">
        <f>IF(COUNTIF($A$2:A290, A290)=2, 1, 0)</f>
        <v>0</v>
      </c>
      <c r="R290">
        <f>IF(ISNA(MATCH(C290, Customers!$A:$A, 0)), 1, 0)</f>
        <v>0</v>
      </c>
      <c r="S290" s="94" t="b">
        <f>VLOOKUP(D290, Products!A:F, 6, FALSE)</f>
        <v>1</v>
      </c>
    </row>
    <row r="291" spans="1:19">
      <c r="A291" s="102" t="s">
        <v>658</v>
      </c>
      <c r="B291" s="2">
        <v>45500</v>
      </c>
      <c r="C291" s="1" t="s">
        <v>225</v>
      </c>
      <c r="D291" s="1" t="s">
        <v>659</v>
      </c>
      <c r="E291" s="1" t="s">
        <v>170</v>
      </c>
      <c r="F291" s="83">
        <v>4</v>
      </c>
      <c r="G291" s="92">
        <v>3560</v>
      </c>
      <c r="H291" s="3">
        <v>10.5</v>
      </c>
      <c r="I291" s="3">
        <v>12744.8</v>
      </c>
      <c r="J291" s="1" t="s">
        <v>87</v>
      </c>
      <c r="K291" s="1" t="s">
        <v>94</v>
      </c>
      <c r="L291" t="str">
        <f>VLOOKUP(D291, Products!A:C, 3, FALSE)</f>
        <v>Apparel</v>
      </c>
      <c r="M291" t="str">
        <f>VLOOKUP(C291, Customers!A:E, 5, FALSE)</f>
        <v>Retail</v>
      </c>
      <c r="N291">
        <f>VLOOKUP(C291, Customers!A:E, 3, FALSE)</f>
        <v>37</v>
      </c>
      <c r="O291" s="93" t="str">
        <f>VLOOKUP(E291, Sales_Reps!A:C, 3, FALSE)</f>
        <v>West</v>
      </c>
      <c r="P291">
        <f>VLOOKUP(D291, Products!A:E, 4, FALSE)</f>
        <v>2629</v>
      </c>
      <c r="Q291">
        <f>IF(COUNTIF($A$2:A291, A291)=2, 1, 0)</f>
        <v>0</v>
      </c>
      <c r="R291">
        <f>IF(ISNA(MATCH(C291, Customers!$A:$A, 0)), 1, 0)</f>
        <v>0</v>
      </c>
      <c r="S291" s="94" t="b">
        <f>VLOOKUP(D291, Products!A:F, 6, FALSE)</f>
        <v>1</v>
      </c>
    </row>
    <row r="292" spans="1:19">
      <c r="A292" s="102" t="s">
        <v>660</v>
      </c>
      <c r="B292" s="2">
        <v>45389</v>
      </c>
      <c r="C292" s="1" t="s">
        <v>604</v>
      </c>
      <c r="D292" s="1" t="s">
        <v>182</v>
      </c>
      <c r="E292" s="1" t="s">
        <v>170</v>
      </c>
      <c r="F292" s="83">
        <v>10</v>
      </c>
      <c r="G292" s="92">
        <v>1010</v>
      </c>
      <c r="H292" s="3">
        <v>10.8</v>
      </c>
      <c r="I292" s="3">
        <v>9009.2000000000007</v>
      </c>
      <c r="J292" s="1" t="s">
        <v>87</v>
      </c>
      <c r="K292" s="1" t="s">
        <v>117</v>
      </c>
      <c r="L292" t="str">
        <f>VLOOKUP(D292, Products!A:C, 3, FALSE)</f>
        <v>Sports</v>
      </c>
      <c r="M292" t="str">
        <f>VLOOKUP(C292, Customers!A:E, 5, FALSE)</f>
        <v>Retail</v>
      </c>
      <c r="N292">
        <f>VLOOKUP(C292, Customers!A:E, 3, FALSE)</f>
        <v>34</v>
      </c>
      <c r="O292" s="93" t="str">
        <f>VLOOKUP(E292, Sales_Reps!A:C, 3, FALSE)</f>
        <v>West</v>
      </c>
      <c r="P292">
        <f>VLOOKUP(D292, Products!A:E, 4, FALSE)</f>
        <v>516</v>
      </c>
      <c r="Q292">
        <f>IF(COUNTIF($A$2:A292, A292)=2, 1, 0)</f>
        <v>0</v>
      </c>
      <c r="R292">
        <f>IF(ISNA(MATCH(C292, Customers!$A:$A, 0)), 1, 0)</f>
        <v>0</v>
      </c>
      <c r="S292" s="94" t="b">
        <f>VLOOKUP(D292, Products!A:F, 6, FALSE)</f>
        <v>1</v>
      </c>
    </row>
    <row r="293" spans="1:19">
      <c r="A293" s="102" t="s">
        <v>661</v>
      </c>
      <c r="B293" s="2">
        <v>45619</v>
      </c>
      <c r="C293" s="1" t="s">
        <v>662</v>
      </c>
      <c r="D293" s="1" t="s">
        <v>515</v>
      </c>
      <c r="E293" s="1" t="s">
        <v>103</v>
      </c>
      <c r="F293" s="83">
        <v>8</v>
      </c>
      <c r="G293" s="92">
        <v>6940</v>
      </c>
      <c r="H293" s="3">
        <v>3.2</v>
      </c>
      <c r="I293" s="3">
        <v>53743.360000000001</v>
      </c>
      <c r="J293" s="1" t="s">
        <v>140</v>
      </c>
      <c r="K293" s="1" t="s">
        <v>94</v>
      </c>
      <c r="L293" t="str">
        <f>VLOOKUP(D293, Products!A:C, 3, FALSE)</f>
        <v>Sports</v>
      </c>
      <c r="M293" t="str">
        <f>VLOOKUP(C293, Customers!A:E, 5, FALSE)</f>
        <v>Corporate</v>
      </c>
      <c r="N293">
        <f>VLOOKUP(C293, Customers!A:E, 3, FALSE)</f>
        <v>41</v>
      </c>
      <c r="O293" s="93" t="str">
        <f>VLOOKUP(E293, Sales_Reps!A:C, 3, FALSE)</f>
        <v>North</v>
      </c>
      <c r="P293">
        <f>VLOOKUP(D293, Products!A:E, 4, FALSE)</f>
        <v>2827</v>
      </c>
      <c r="Q293">
        <f>IF(COUNTIF($A$2:A293, A293)=2, 1, 0)</f>
        <v>0</v>
      </c>
      <c r="R293">
        <f>IF(ISNA(MATCH(C293, Customers!$A:$A, 0)), 1, 0)</f>
        <v>0</v>
      </c>
      <c r="S293" s="94" t="b">
        <f>VLOOKUP(D293, Products!A:F, 6, FALSE)</f>
        <v>1</v>
      </c>
    </row>
    <row r="294" spans="1:19">
      <c r="A294" s="102" t="s">
        <v>663</v>
      </c>
      <c r="B294" s="2">
        <v>45617</v>
      </c>
      <c r="C294" s="1" t="s">
        <v>312</v>
      </c>
      <c r="D294" s="1" t="s">
        <v>106</v>
      </c>
      <c r="E294" s="1" t="s">
        <v>188</v>
      </c>
      <c r="F294" s="83">
        <v>7</v>
      </c>
      <c r="G294" s="92">
        <v>3160</v>
      </c>
      <c r="H294" s="3">
        <v>3.6</v>
      </c>
      <c r="I294" s="3">
        <v>21323.68</v>
      </c>
      <c r="J294" s="1" t="s">
        <v>87</v>
      </c>
      <c r="K294" s="1" t="s">
        <v>133</v>
      </c>
      <c r="L294" t="str">
        <f>VLOOKUP(D294, Products!A:C, 3, FALSE)</f>
        <v>Apparel</v>
      </c>
      <c r="M294" t="str">
        <f>VLOOKUP(C294, Customers!A:E, 5, FALSE)</f>
        <v>Retail</v>
      </c>
      <c r="N294">
        <f>VLOOKUP(C294, Customers!A:E, 3, FALSE)</f>
        <v>46</v>
      </c>
      <c r="O294" s="93" t="str">
        <f>VLOOKUP(E294, Sales_Reps!A:C, 3, FALSE)</f>
        <v>South</v>
      </c>
      <c r="P294">
        <f>VLOOKUP(D294, Products!A:E, 4, FALSE)</f>
        <v>1886</v>
      </c>
      <c r="Q294">
        <f>IF(COUNTIF($A$2:A294, A294)=2, 1, 0)</f>
        <v>0</v>
      </c>
      <c r="R294">
        <f>IF(ISNA(MATCH(C294, Customers!$A:$A, 0)), 1, 0)</f>
        <v>0</v>
      </c>
      <c r="S294" s="94" t="b">
        <f>VLOOKUP(D294, Products!A:F, 6, FALSE)</f>
        <v>1</v>
      </c>
    </row>
    <row r="295" spans="1:19">
      <c r="A295" s="102" t="s">
        <v>664</v>
      </c>
      <c r="B295" s="2">
        <v>45640</v>
      </c>
      <c r="C295" s="1" t="s">
        <v>485</v>
      </c>
      <c r="D295" s="1" t="s">
        <v>102</v>
      </c>
      <c r="E295" s="1" t="s">
        <v>107</v>
      </c>
      <c r="F295" s="83">
        <v>2</v>
      </c>
      <c r="G295" s="92">
        <v>3660</v>
      </c>
      <c r="H295" s="3">
        <v>30</v>
      </c>
      <c r="I295" s="3">
        <v>5124</v>
      </c>
      <c r="J295" s="1" t="s">
        <v>93</v>
      </c>
      <c r="K295" s="1" t="s">
        <v>88</v>
      </c>
      <c r="L295" t="str">
        <f>VLOOKUP(D295, Products!A:C, 3, FALSE)</f>
        <v>Grocery</v>
      </c>
      <c r="M295" t="str">
        <f>VLOOKUP(C295, Customers!A:E, 5, FALSE)</f>
        <v>Retail</v>
      </c>
      <c r="N295">
        <f>VLOOKUP(C295, Customers!A:E, 3, FALSE)</f>
        <v>49</v>
      </c>
      <c r="O295" s="93" t="str">
        <f>VLOOKUP(E295, Sales_Reps!A:C, 3, FALSE)</f>
        <v>North</v>
      </c>
      <c r="P295">
        <f>VLOOKUP(D295, Products!A:E, 4, FALSE)</f>
        <v>2214</v>
      </c>
      <c r="Q295">
        <f>IF(COUNTIF($A$2:A295, A295)=2, 1, 0)</f>
        <v>0</v>
      </c>
      <c r="R295">
        <f>IF(ISNA(MATCH(C295, Customers!$A:$A, 0)), 1, 0)</f>
        <v>0</v>
      </c>
      <c r="S295" s="94" t="b">
        <f>VLOOKUP(D295, Products!A:F, 6, FALSE)</f>
        <v>0</v>
      </c>
    </row>
    <row r="296" spans="1:19">
      <c r="A296" s="102" t="s">
        <v>665</v>
      </c>
      <c r="B296" s="2">
        <v>45401</v>
      </c>
      <c r="C296" s="1" t="s">
        <v>366</v>
      </c>
      <c r="D296" s="1" t="s">
        <v>131</v>
      </c>
      <c r="E296" s="1" t="s">
        <v>92</v>
      </c>
      <c r="F296" s="83">
        <v>1</v>
      </c>
      <c r="G296" s="92">
        <v>2270</v>
      </c>
      <c r="H296" s="3">
        <v>4.8</v>
      </c>
      <c r="I296" s="3">
        <v>2161.04</v>
      </c>
      <c r="J296" s="1" t="s">
        <v>140</v>
      </c>
      <c r="K296" s="1" t="s">
        <v>112</v>
      </c>
      <c r="L296" t="str">
        <f>VLOOKUP(D296, Products!A:C, 3, FALSE)</f>
        <v>Grocery</v>
      </c>
      <c r="M296" t="str">
        <f>VLOOKUP(C296, Customers!A:E, 5, FALSE)</f>
        <v>Retail</v>
      </c>
      <c r="N296">
        <f>VLOOKUP(C296, Customers!A:E, 3, FALSE)</f>
        <v>25</v>
      </c>
      <c r="O296" s="93" t="str">
        <f>VLOOKUP(E296, Sales_Reps!A:C, 3, FALSE)</f>
        <v>North</v>
      </c>
      <c r="P296">
        <f>VLOOKUP(D296, Products!A:E, 4, FALSE)</f>
        <v>1203</v>
      </c>
      <c r="Q296">
        <f>IF(COUNTIF($A$2:A296, A296)=2, 1, 0)</f>
        <v>0</v>
      </c>
      <c r="R296">
        <f>IF(ISNA(MATCH(C296, Customers!$A:$A, 0)), 1, 0)</f>
        <v>0</v>
      </c>
      <c r="S296" s="94" t="b">
        <f>VLOOKUP(D296, Products!A:F, 6, FALSE)</f>
        <v>1</v>
      </c>
    </row>
    <row r="297" spans="1:19">
      <c r="A297" s="102" t="s">
        <v>666</v>
      </c>
      <c r="B297" s="2">
        <v>45405</v>
      </c>
      <c r="C297" s="1" t="s">
        <v>223</v>
      </c>
      <c r="D297" s="1" t="s">
        <v>461</v>
      </c>
      <c r="E297" s="1" t="s">
        <v>111</v>
      </c>
      <c r="F297" s="83">
        <v>8</v>
      </c>
      <c r="G297" s="92">
        <v>3780</v>
      </c>
      <c r="H297" s="3">
        <v>13</v>
      </c>
      <c r="I297" s="3">
        <v>26308.799999999999</v>
      </c>
      <c r="J297" s="1" t="s">
        <v>87</v>
      </c>
      <c r="K297" s="1" t="s">
        <v>99</v>
      </c>
      <c r="L297" t="str">
        <f>VLOOKUP(D297, Products!A:C, 3, FALSE)</f>
        <v>Sports</v>
      </c>
      <c r="M297" t="str">
        <f>VLOOKUP(C297, Customers!A:E, 5, FALSE)</f>
        <v>Retail</v>
      </c>
      <c r="N297">
        <f>VLOOKUP(C297, Customers!A:E, 3, FALSE)</f>
        <v>53</v>
      </c>
      <c r="O297" s="93" t="str">
        <f>VLOOKUP(E297, Sales_Reps!A:C, 3, FALSE)</f>
        <v>West</v>
      </c>
      <c r="P297">
        <f>VLOOKUP(D297, Products!A:E, 4, FALSE)</f>
        <v>1860</v>
      </c>
      <c r="Q297">
        <f>IF(COUNTIF($A$2:A297, A297)=2, 1, 0)</f>
        <v>0</v>
      </c>
      <c r="R297">
        <f>IF(ISNA(MATCH(C297, Customers!$A:$A, 0)), 1, 0)</f>
        <v>0</v>
      </c>
      <c r="S297" s="94" t="b">
        <f>VLOOKUP(D297, Products!A:F, 6, FALSE)</f>
        <v>1</v>
      </c>
    </row>
    <row r="298" spans="1:19">
      <c r="A298" s="102" t="s">
        <v>667</v>
      </c>
      <c r="B298" s="2">
        <v>45537</v>
      </c>
      <c r="C298" s="1" t="s">
        <v>617</v>
      </c>
      <c r="D298" s="1" t="s">
        <v>237</v>
      </c>
      <c r="E298" s="1" t="s">
        <v>325</v>
      </c>
      <c r="F298" s="83">
        <v>1</v>
      </c>
      <c r="G298" s="92">
        <v>3640</v>
      </c>
      <c r="H298" s="3">
        <v>15.3</v>
      </c>
      <c r="I298" s="3">
        <v>3083.08</v>
      </c>
      <c r="J298" s="1" t="s">
        <v>93</v>
      </c>
      <c r="K298" s="1" t="s">
        <v>112</v>
      </c>
      <c r="L298" t="str">
        <f>VLOOKUP(D298, Products!A:C, 3, FALSE)</f>
        <v>Apparel</v>
      </c>
      <c r="M298" t="str">
        <f>VLOOKUP(C298, Customers!A:E, 5, FALSE)</f>
        <v>SMB</v>
      </c>
      <c r="N298">
        <f>VLOOKUP(C298, Customers!A:E, 3, FALSE)</f>
        <v>65</v>
      </c>
      <c r="O298" s="93" t="str">
        <f>VLOOKUP(E298, Sales_Reps!A:C, 3, FALSE)</f>
        <v>South</v>
      </c>
      <c r="P298">
        <f>VLOOKUP(D298, Products!A:E, 4, FALSE)</f>
        <v>2611</v>
      </c>
      <c r="Q298">
        <f>IF(COUNTIF($A$2:A298, A298)=2, 1, 0)</f>
        <v>0</v>
      </c>
      <c r="R298">
        <f>IF(ISNA(MATCH(C298, Customers!$A:$A, 0)), 1, 0)</f>
        <v>0</v>
      </c>
      <c r="S298" s="94" t="b">
        <f>VLOOKUP(D298, Products!A:F, 6, FALSE)</f>
        <v>1</v>
      </c>
    </row>
    <row r="299" spans="1:19">
      <c r="A299" s="102" t="s">
        <v>668</v>
      </c>
      <c r="B299" s="2">
        <v>45475</v>
      </c>
      <c r="C299" s="1" t="s">
        <v>669</v>
      </c>
      <c r="D299" s="1" t="s">
        <v>267</v>
      </c>
      <c r="E299" s="1" t="s">
        <v>204</v>
      </c>
      <c r="F299" s="83">
        <v>8</v>
      </c>
      <c r="G299" s="92">
        <v>1220</v>
      </c>
      <c r="H299" s="3">
        <v>28.2</v>
      </c>
      <c r="I299" s="3">
        <v>7007.68</v>
      </c>
      <c r="J299" s="1" t="s">
        <v>87</v>
      </c>
      <c r="K299" s="1" t="s">
        <v>133</v>
      </c>
      <c r="L299" t="str">
        <f>VLOOKUP(D299, Products!A:C, 3, FALSE)</f>
        <v>Electronics</v>
      </c>
      <c r="M299" t="str">
        <f>VLOOKUP(C299, Customers!A:E, 5, FALSE)</f>
        <v>Retail</v>
      </c>
      <c r="N299">
        <f>VLOOKUP(C299, Customers!A:E, 3, FALSE)</f>
        <v>31</v>
      </c>
      <c r="O299" s="93" t="str">
        <f>VLOOKUP(E299, Sales_Reps!A:C, 3, FALSE)</f>
        <v>South</v>
      </c>
      <c r="P299">
        <f>VLOOKUP(D299, Products!A:E, 4, FALSE)</f>
        <v>517</v>
      </c>
      <c r="Q299">
        <f>IF(COUNTIF($A$2:A299, A299)=2, 1, 0)</f>
        <v>0</v>
      </c>
      <c r="R299">
        <f>IF(ISNA(MATCH(C299, Customers!$A:$A, 0)), 1, 0)</f>
        <v>0</v>
      </c>
      <c r="S299" s="94" t="b">
        <f>VLOOKUP(D299, Products!A:F, 6, FALSE)</f>
        <v>1</v>
      </c>
    </row>
    <row r="300" spans="1:19">
      <c r="A300" s="102" t="s">
        <v>670</v>
      </c>
      <c r="B300" s="2">
        <v>45624</v>
      </c>
      <c r="C300" s="1" t="s">
        <v>269</v>
      </c>
      <c r="D300" s="1" t="s">
        <v>355</v>
      </c>
      <c r="E300" s="1" t="s">
        <v>170</v>
      </c>
      <c r="F300" s="83">
        <v>3</v>
      </c>
      <c r="G300" s="92">
        <v>2510</v>
      </c>
      <c r="H300" s="3">
        <v>17.399999999999999</v>
      </c>
      <c r="I300" s="3">
        <v>6219.78</v>
      </c>
      <c r="J300" s="1" t="s">
        <v>87</v>
      </c>
      <c r="K300" s="1" t="s">
        <v>112</v>
      </c>
      <c r="L300" t="str">
        <f>VLOOKUP(D300, Products!A:C, 3, FALSE)</f>
        <v>Apparel</v>
      </c>
      <c r="M300" t="str">
        <f>VLOOKUP(C300, Customers!A:E, 5, FALSE)</f>
        <v>Retail</v>
      </c>
      <c r="N300">
        <f>VLOOKUP(C300, Customers!A:E, 3, FALSE)</f>
        <v>40</v>
      </c>
      <c r="O300" s="93" t="str">
        <f>VLOOKUP(E300, Sales_Reps!A:C, 3, FALSE)</f>
        <v>West</v>
      </c>
      <c r="P300">
        <f>VLOOKUP(D300, Products!A:E, 4, FALSE)</f>
        <v>1075</v>
      </c>
      <c r="Q300">
        <f>IF(COUNTIF($A$2:A300, A300)=2, 1, 0)</f>
        <v>0</v>
      </c>
      <c r="R300">
        <f>IF(ISNA(MATCH(C300, Customers!$A:$A, 0)), 1, 0)</f>
        <v>0</v>
      </c>
      <c r="S300" s="94" t="b">
        <f>VLOOKUP(D300, Products!A:F, 6, FALSE)</f>
        <v>0</v>
      </c>
    </row>
    <row r="301" spans="1:19">
      <c r="A301" s="102" t="s">
        <v>671</v>
      </c>
      <c r="B301" s="2">
        <v>45635</v>
      </c>
      <c r="C301" s="1" t="s">
        <v>565</v>
      </c>
      <c r="D301" s="1" t="s">
        <v>164</v>
      </c>
      <c r="E301" s="1" t="s">
        <v>139</v>
      </c>
      <c r="F301" s="83">
        <v>1</v>
      </c>
      <c r="G301" s="92">
        <v>1080</v>
      </c>
      <c r="H301" s="3">
        <v>13.9</v>
      </c>
      <c r="I301" s="3">
        <v>929.88</v>
      </c>
      <c r="J301" s="1" t="s">
        <v>87</v>
      </c>
      <c r="K301" s="1" t="s">
        <v>112</v>
      </c>
      <c r="L301" t="str">
        <f>VLOOKUP(D301, Products!A:C, 3, FALSE)</f>
        <v>Home</v>
      </c>
      <c r="M301" t="str">
        <f>VLOOKUP(C301, Customers!A:E, 5, FALSE)</f>
        <v>SMB</v>
      </c>
      <c r="N301">
        <f>VLOOKUP(C301, Customers!A:E, 3, FALSE)</f>
        <v>61</v>
      </c>
      <c r="O301" s="93" t="str">
        <f>VLOOKUP(E301, Sales_Reps!A:C, 3, FALSE)</f>
        <v>North</v>
      </c>
      <c r="P301">
        <f>VLOOKUP(D301, Products!A:E, 4, FALSE)</f>
        <v>519</v>
      </c>
      <c r="Q301">
        <f>IF(COUNTIF($A$2:A301, A301)=2, 1, 0)</f>
        <v>0</v>
      </c>
      <c r="R301">
        <f>IF(ISNA(MATCH(C301, Customers!$A:$A, 0)), 1, 0)</f>
        <v>0</v>
      </c>
      <c r="S301" s="94" t="b">
        <f>VLOOKUP(D301, Products!A:F, 6, FALSE)</f>
        <v>1</v>
      </c>
    </row>
    <row r="302" spans="1:19">
      <c r="A302" s="102" t="s">
        <v>672</v>
      </c>
      <c r="B302" s="2">
        <v>45395</v>
      </c>
      <c r="C302" s="1" t="s">
        <v>673</v>
      </c>
      <c r="D302" s="1" t="s">
        <v>295</v>
      </c>
      <c r="E302" s="1" t="s">
        <v>346</v>
      </c>
      <c r="F302" s="83">
        <v>7</v>
      </c>
      <c r="G302" s="92">
        <v>2030</v>
      </c>
      <c r="H302" s="3">
        <v>29.2</v>
      </c>
      <c r="I302" s="3">
        <v>10060.68</v>
      </c>
      <c r="J302" s="1" t="s">
        <v>87</v>
      </c>
      <c r="K302" s="1" t="s">
        <v>112</v>
      </c>
      <c r="L302" t="str">
        <f>VLOOKUP(D302, Products!A:C, 3, FALSE)</f>
        <v>Home</v>
      </c>
      <c r="M302" t="str">
        <f>VLOOKUP(C302, Customers!A:E, 5, FALSE)</f>
        <v>Retail</v>
      </c>
      <c r="N302">
        <f>VLOOKUP(C302, Customers!A:E, 3, FALSE)</f>
        <v>35</v>
      </c>
      <c r="O302" s="93" t="str">
        <f>VLOOKUP(E302, Sales_Reps!A:C, 3, FALSE)</f>
        <v>South</v>
      </c>
      <c r="P302">
        <f>VLOOKUP(D302, Products!A:E, 4, FALSE)</f>
        <v>1143</v>
      </c>
      <c r="Q302">
        <f>IF(COUNTIF($A$2:A302, A302)=2, 1, 0)</f>
        <v>0</v>
      </c>
      <c r="R302">
        <f>IF(ISNA(MATCH(C302, Customers!$A:$A, 0)), 1, 0)</f>
        <v>0</v>
      </c>
      <c r="S302" s="94" t="b">
        <f>VLOOKUP(D302, Products!A:F, 6, FALSE)</f>
        <v>1</v>
      </c>
    </row>
    <row r="303" spans="1:19">
      <c r="A303" s="102" t="s">
        <v>674</v>
      </c>
      <c r="B303" s="2">
        <v>45415</v>
      </c>
      <c r="C303" s="1" t="s">
        <v>169</v>
      </c>
      <c r="D303" s="1" t="s">
        <v>461</v>
      </c>
      <c r="E303" s="1" t="s">
        <v>192</v>
      </c>
      <c r="F303" s="83">
        <v>6</v>
      </c>
      <c r="G303" s="92">
        <v>3780</v>
      </c>
      <c r="H303" s="3">
        <v>20.9</v>
      </c>
      <c r="I303" s="3">
        <v>17939.88</v>
      </c>
      <c r="J303" s="1" t="s">
        <v>144</v>
      </c>
      <c r="K303" s="1" t="s">
        <v>112</v>
      </c>
      <c r="L303" t="str">
        <f>VLOOKUP(D303, Products!A:C, 3, FALSE)</f>
        <v>Sports</v>
      </c>
      <c r="M303" t="str">
        <f>VLOOKUP(C303, Customers!A:E, 5, FALSE)</f>
        <v>Retail</v>
      </c>
      <c r="N303">
        <f>VLOOKUP(C303, Customers!A:E, 3, FALSE)</f>
        <v>34</v>
      </c>
      <c r="O303" s="93" t="str">
        <f>VLOOKUP(E303, Sales_Reps!A:C, 3, FALSE)</f>
        <v>East</v>
      </c>
      <c r="P303">
        <f>VLOOKUP(D303, Products!A:E, 4, FALSE)</f>
        <v>1860</v>
      </c>
      <c r="Q303">
        <f>IF(COUNTIF($A$2:A303, A303)=2, 1, 0)</f>
        <v>0</v>
      </c>
      <c r="R303">
        <f>IF(ISNA(MATCH(C303, Customers!$A:$A, 0)), 1, 0)</f>
        <v>0</v>
      </c>
      <c r="S303" s="94" t="b">
        <f>VLOOKUP(D303, Products!A:F, 6, FALSE)</f>
        <v>1</v>
      </c>
    </row>
    <row r="304" spans="1:19">
      <c r="A304" s="102" t="s">
        <v>675</v>
      </c>
      <c r="B304" s="2">
        <v>45653</v>
      </c>
      <c r="C304" s="1" t="s">
        <v>676</v>
      </c>
      <c r="D304" s="1" t="s">
        <v>106</v>
      </c>
      <c r="E304" s="1" t="s">
        <v>346</v>
      </c>
      <c r="F304" s="83">
        <v>1</v>
      </c>
      <c r="G304" s="92">
        <v>3160</v>
      </c>
      <c r="H304" s="3">
        <v>10.7</v>
      </c>
      <c r="I304" s="3">
        <v>2821.88</v>
      </c>
      <c r="J304" s="1" t="s">
        <v>87</v>
      </c>
      <c r="K304" s="1" t="s">
        <v>88</v>
      </c>
      <c r="L304" t="str">
        <f>VLOOKUP(D304, Products!A:C, 3, FALSE)</f>
        <v>Apparel</v>
      </c>
      <c r="M304" t="str">
        <f>VLOOKUP(C304, Customers!A:E, 5, FALSE)</f>
        <v>SMB</v>
      </c>
      <c r="N304">
        <f>VLOOKUP(C304, Customers!A:E, 3, FALSE)</f>
        <v>35</v>
      </c>
      <c r="O304" s="93" t="str">
        <f>VLOOKUP(E304, Sales_Reps!A:C, 3, FALSE)</f>
        <v>South</v>
      </c>
      <c r="P304">
        <f>VLOOKUP(D304, Products!A:E, 4, FALSE)</f>
        <v>1886</v>
      </c>
      <c r="Q304">
        <f>IF(COUNTIF($A$2:A304, A304)=2, 1, 0)</f>
        <v>0</v>
      </c>
      <c r="R304">
        <f>IF(ISNA(MATCH(C304, Customers!$A:$A, 0)), 1, 0)</f>
        <v>0</v>
      </c>
      <c r="S304" s="94" t="b">
        <f>VLOOKUP(D304, Products!A:F, 6, FALSE)</f>
        <v>1</v>
      </c>
    </row>
    <row r="305" spans="1:19">
      <c r="A305" s="102" t="s">
        <v>677</v>
      </c>
      <c r="B305" s="2">
        <v>45564</v>
      </c>
      <c r="C305" s="1" t="s">
        <v>294</v>
      </c>
      <c r="D305" s="1" t="s">
        <v>184</v>
      </c>
      <c r="E305" s="1" t="s">
        <v>132</v>
      </c>
      <c r="F305" s="83">
        <v>5</v>
      </c>
      <c r="G305" s="92">
        <v>4880</v>
      </c>
      <c r="H305" s="3">
        <v>11.4</v>
      </c>
      <c r="I305" s="3">
        <v>21618.400000000001</v>
      </c>
      <c r="J305" s="1" t="s">
        <v>87</v>
      </c>
      <c r="K305" s="1" t="s">
        <v>133</v>
      </c>
      <c r="L305" t="str">
        <f>VLOOKUP(D305, Products!A:C, 3, FALSE)</f>
        <v>Beauty</v>
      </c>
      <c r="M305" t="str">
        <f>VLOOKUP(C305, Customers!A:E, 5, FALSE)</f>
        <v>SMB</v>
      </c>
      <c r="N305">
        <f>VLOOKUP(C305, Customers!A:E, 3, FALSE)</f>
        <v>43</v>
      </c>
      <c r="O305" s="93" t="str">
        <f>VLOOKUP(E305, Sales_Reps!A:C, 3, FALSE)</f>
        <v>South</v>
      </c>
      <c r="P305">
        <f>VLOOKUP(D305, Products!A:E, 4, FALSE)</f>
        <v>2768</v>
      </c>
      <c r="Q305">
        <f>IF(COUNTIF($A$2:A305, A305)=2, 1, 0)</f>
        <v>0</v>
      </c>
      <c r="R305">
        <f>IF(ISNA(MATCH(C305, Customers!$A:$A, 0)), 1, 0)</f>
        <v>0</v>
      </c>
      <c r="S305" s="94" t="b">
        <f>VLOOKUP(D305, Products!A:F, 6, FALSE)</f>
        <v>1</v>
      </c>
    </row>
    <row r="306" spans="1:19">
      <c r="A306" s="102" t="s">
        <v>678</v>
      </c>
      <c r="B306" s="2">
        <v>45633</v>
      </c>
      <c r="C306" s="1" t="s">
        <v>638</v>
      </c>
      <c r="D306" s="1" t="s">
        <v>226</v>
      </c>
      <c r="E306" s="1" t="s">
        <v>204</v>
      </c>
      <c r="F306" s="83">
        <v>9</v>
      </c>
      <c r="G306" s="92">
        <v>3730</v>
      </c>
      <c r="H306" s="3">
        <v>10</v>
      </c>
      <c r="I306" s="3">
        <v>30213</v>
      </c>
      <c r="J306" s="1" t="s">
        <v>87</v>
      </c>
      <c r="K306" s="1" t="s">
        <v>99</v>
      </c>
      <c r="L306" t="str">
        <f>VLOOKUP(D306, Products!A:C, 3, FALSE)</f>
        <v>Home</v>
      </c>
      <c r="M306" t="str">
        <f>VLOOKUP(C306, Customers!A:E, 5, FALSE)</f>
        <v>Retail</v>
      </c>
      <c r="N306">
        <f>VLOOKUP(C306, Customers!A:E, 3, FALSE)</f>
        <v>43</v>
      </c>
      <c r="O306" s="93" t="str">
        <f>VLOOKUP(E306, Sales_Reps!A:C, 3, FALSE)</f>
        <v>South</v>
      </c>
      <c r="P306">
        <f>VLOOKUP(D306, Products!A:E, 4, FALSE)</f>
        <v>2135</v>
      </c>
      <c r="Q306">
        <f>IF(COUNTIF($A$2:A306, A306)=2, 1, 0)</f>
        <v>0</v>
      </c>
      <c r="R306">
        <f>IF(ISNA(MATCH(C306, Customers!$A:$A, 0)), 1, 0)</f>
        <v>0</v>
      </c>
      <c r="S306" s="94" t="b">
        <f>VLOOKUP(D306, Products!A:F, 6, FALSE)</f>
        <v>1</v>
      </c>
    </row>
    <row r="307" spans="1:19">
      <c r="A307" s="102" t="s">
        <v>679</v>
      </c>
      <c r="B307" s="2">
        <v>45309</v>
      </c>
      <c r="C307" s="1" t="s">
        <v>680</v>
      </c>
      <c r="D307" s="1" t="s">
        <v>443</v>
      </c>
      <c r="E307" s="1" t="s">
        <v>139</v>
      </c>
      <c r="F307" s="83">
        <v>5</v>
      </c>
      <c r="G307" s="92">
        <v>5080</v>
      </c>
      <c r="H307" s="3">
        <v>15.3</v>
      </c>
      <c r="I307" s="3">
        <v>21513.8</v>
      </c>
      <c r="J307" s="1" t="s">
        <v>87</v>
      </c>
      <c r="K307" s="1" t="s">
        <v>94</v>
      </c>
      <c r="L307" t="str">
        <f>VLOOKUP(D307, Products!A:C, 3, FALSE)</f>
        <v>Home</v>
      </c>
      <c r="M307" t="str">
        <f>VLOOKUP(C307, Customers!A:E, 5, FALSE)</f>
        <v>Retail</v>
      </c>
      <c r="N307">
        <f>VLOOKUP(C307, Customers!A:E, 3, FALSE)</f>
        <v>26</v>
      </c>
      <c r="O307" s="93" t="str">
        <f>VLOOKUP(E307, Sales_Reps!A:C, 3, FALSE)</f>
        <v>North</v>
      </c>
      <c r="P307">
        <f>VLOOKUP(D307, Products!A:E, 4, FALSE)</f>
        <v>2459</v>
      </c>
      <c r="Q307">
        <f>IF(COUNTIF($A$2:A307, A307)=2, 1, 0)</f>
        <v>0</v>
      </c>
      <c r="R307">
        <f>IF(ISNA(MATCH(C307, Customers!$A:$A, 0)), 1, 0)</f>
        <v>0</v>
      </c>
      <c r="S307" s="94" t="b">
        <f>VLOOKUP(D307, Products!A:F, 6, FALSE)</f>
        <v>1</v>
      </c>
    </row>
    <row r="308" spans="1:19">
      <c r="A308" s="102" t="s">
        <v>681</v>
      </c>
      <c r="B308" s="2">
        <v>45403</v>
      </c>
      <c r="C308" s="1" t="s">
        <v>160</v>
      </c>
      <c r="D308" s="1" t="s">
        <v>386</v>
      </c>
      <c r="E308" s="1" t="s">
        <v>252</v>
      </c>
      <c r="F308" s="83">
        <v>9</v>
      </c>
      <c r="G308" s="92">
        <v>2290</v>
      </c>
      <c r="H308" s="3">
        <v>3.3</v>
      </c>
      <c r="I308" s="3">
        <v>19929.87</v>
      </c>
      <c r="J308" s="1" t="s">
        <v>93</v>
      </c>
      <c r="K308" s="1" t="s">
        <v>112</v>
      </c>
      <c r="L308" t="str">
        <f>VLOOKUP(D308, Products!A:C, 3, FALSE)</f>
        <v>Beauty</v>
      </c>
      <c r="M308" t="str">
        <f>VLOOKUP(C308, Customers!A:E, 5, FALSE)</f>
        <v>Retail</v>
      </c>
      <c r="N308">
        <f>VLOOKUP(C308, Customers!A:E, 3, FALSE)</f>
        <v>54</v>
      </c>
      <c r="O308" s="93" t="str">
        <f>VLOOKUP(E308, Sales_Reps!A:C, 3, FALSE)</f>
        <v>South</v>
      </c>
      <c r="P308">
        <f>VLOOKUP(D308, Products!A:E, 4, FALSE)</f>
        <v>1219</v>
      </c>
      <c r="Q308">
        <f>IF(COUNTIF($A$2:A308, A308)=2, 1, 0)</f>
        <v>0</v>
      </c>
      <c r="R308">
        <f>IF(ISNA(MATCH(C308, Customers!$A:$A, 0)), 1, 0)</f>
        <v>0</v>
      </c>
      <c r="S308" s="94" t="b">
        <f>VLOOKUP(D308, Products!A:F, 6, FALSE)</f>
        <v>1</v>
      </c>
    </row>
    <row r="309" spans="1:19">
      <c r="A309" s="102" t="s">
        <v>682</v>
      </c>
      <c r="B309" s="2">
        <v>45554</v>
      </c>
      <c r="C309" s="1" t="s">
        <v>546</v>
      </c>
      <c r="D309" s="1" t="s">
        <v>279</v>
      </c>
      <c r="E309" s="1" t="s">
        <v>132</v>
      </c>
      <c r="F309" s="83">
        <v>5</v>
      </c>
      <c r="G309" s="92">
        <v>2660</v>
      </c>
      <c r="H309" s="3">
        <v>8.3000000000000007</v>
      </c>
      <c r="I309" s="3">
        <v>12196.1</v>
      </c>
      <c r="J309" s="1" t="s">
        <v>87</v>
      </c>
      <c r="K309" s="1" t="s">
        <v>99</v>
      </c>
      <c r="L309" t="str">
        <f>VLOOKUP(D309, Products!A:C, 3, FALSE)</f>
        <v>Electronics</v>
      </c>
      <c r="M309" t="str">
        <f>VLOOKUP(C309, Customers!A:E, 5, FALSE)</f>
        <v>SMB</v>
      </c>
      <c r="N309">
        <f>VLOOKUP(C309, Customers!A:E, 3, FALSE)</f>
        <v>29</v>
      </c>
      <c r="O309" s="93" t="str">
        <f>VLOOKUP(E309, Sales_Reps!A:C, 3, FALSE)</f>
        <v>South</v>
      </c>
      <c r="P309">
        <f>VLOOKUP(D309, Products!A:E, 4, FALSE)</f>
        <v>1259</v>
      </c>
      <c r="Q309">
        <f>IF(COUNTIF($A$2:A309, A309)=2, 1, 0)</f>
        <v>0</v>
      </c>
      <c r="R309">
        <f>IF(ISNA(MATCH(C309, Customers!$A:$A, 0)), 1, 0)</f>
        <v>0</v>
      </c>
      <c r="S309" s="94" t="b">
        <f>VLOOKUP(D309, Products!A:F, 6, FALSE)</f>
        <v>0</v>
      </c>
    </row>
    <row r="310" spans="1:19">
      <c r="A310" s="102" t="s">
        <v>683</v>
      </c>
      <c r="B310" s="2">
        <v>45529</v>
      </c>
      <c r="C310" s="1" t="s">
        <v>684</v>
      </c>
      <c r="D310" s="1" t="s">
        <v>234</v>
      </c>
      <c r="E310" s="1" t="s">
        <v>111</v>
      </c>
      <c r="F310" s="83">
        <v>6</v>
      </c>
      <c r="G310" s="92">
        <v>3780</v>
      </c>
      <c r="H310" s="3">
        <v>28.3</v>
      </c>
      <c r="I310" s="3">
        <v>16261.56</v>
      </c>
      <c r="J310" s="1" t="s">
        <v>87</v>
      </c>
      <c r="K310" s="1" t="s">
        <v>99</v>
      </c>
      <c r="L310" t="str">
        <f>VLOOKUP(D310, Products!A:C, 3, FALSE)</f>
        <v>Grocery</v>
      </c>
      <c r="M310" t="str">
        <f>VLOOKUP(C310, Customers!A:E, 5, FALSE)</f>
        <v>Retail</v>
      </c>
      <c r="N310">
        <f>VLOOKUP(C310, Customers!A:E, 3, FALSE)</f>
        <v>41</v>
      </c>
      <c r="O310" s="93" t="str">
        <f>VLOOKUP(E310, Sales_Reps!A:C, 3, FALSE)</f>
        <v>West</v>
      </c>
      <c r="P310">
        <f>VLOOKUP(D310, Products!A:E, 4, FALSE)</f>
        <v>2436</v>
      </c>
      <c r="Q310">
        <f>IF(COUNTIF($A$2:A310, A310)=2, 1, 0)</f>
        <v>0</v>
      </c>
      <c r="R310">
        <f>IF(ISNA(MATCH(C310, Customers!$A:$A, 0)), 1, 0)</f>
        <v>0</v>
      </c>
      <c r="S310" s="94" t="b">
        <f>VLOOKUP(D310, Products!A:F, 6, FALSE)</f>
        <v>1</v>
      </c>
    </row>
    <row r="311" spans="1:19">
      <c r="A311" s="102" t="s">
        <v>685</v>
      </c>
      <c r="B311" s="2">
        <v>45300</v>
      </c>
      <c r="C311" s="1" t="s">
        <v>686</v>
      </c>
      <c r="D311" s="1" t="s">
        <v>200</v>
      </c>
      <c r="E311" s="1" t="s">
        <v>128</v>
      </c>
      <c r="F311" s="83">
        <v>5</v>
      </c>
      <c r="G311" s="92">
        <v>2760</v>
      </c>
      <c r="H311" s="3">
        <v>4.9000000000000004</v>
      </c>
      <c r="I311" s="3">
        <v>13123.8</v>
      </c>
      <c r="J311" s="1" t="s">
        <v>87</v>
      </c>
      <c r="K311" s="1" t="s">
        <v>112</v>
      </c>
      <c r="L311" t="str">
        <f>VLOOKUP(D311, Products!A:C, 3, FALSE)</f>
        <v>Grocery</v>
      </c>
      <c r="M311" t="str">
        <f>VLOOKUP(C311, Customers!A:E, 5, FALSE)</f>
        <v>Retail</v>
      </c>
      <c r="N311">
        <f>VLOOKUP(C311, Customers!A:E, 3, FALSE)</f>
        <v>35</v>
      </c>
      <c r="O311" s="93" t="str">
        <f>VLOOKUP(E311, Sales_Reps!A:C, 3, FALSE)</f>
        <v>West</v>
      </c>
      <c r="P311">
        <f>VLOOKUP(D311, Products!A:E, 4, FALSE)</f>
        <v>1435</v>
      </c>
      <c r="Q311">
        <f>IF(COUNTIF($A$2:A311, A311)=2, 1, 0)</f>
        <v>0</v>
      </c>
      <c r="R311">
        <f>IF(ISNA(MATCH(C311, Customers!$A:$A, 0)), 1, 0)</f>
        <v>0</v>
      </c>
      <c r="S311" s="94" t="b">
        <f>VLOOKUP(D311, Products!A:F, 6, FALSE)</f>
        <v>1</v>
      </c>
    </row>
    <row r="312" spans="1:19">
      <c r="A312" s="102" t="s">
        <v>687</v>
      </c>
      <c r="B312" s="2">
        <v>45368</v>
      </c>
      <c r="C312" s="1" t="s">
        <v>333</v>
      </c>
      <c r="D312" s="1" t="s">
        <v>259</v>
      </c>
      <c r="E312" s="1" t="s">
        <v>103</v>
      </c>
      <c r="F312" s="83">
        <v>8</v>
      </c>
      <c r="G312" s="92">
        <v>1540</v>
      </c>
      <c r="H312" s="3">
        <v>29.4</v>
      </c>
      <c r="I312" s="3">
        <v>8697.92</v>
      </c>
      <c r="J312" s="1" t="s">
        <v>140</v>
      </c>
      <c r="K312" s="1" t="s">
        <v>133</v>
      </c>
      <c r="L312" t="str">
        <f>VLOOKUP(D312, Products!A:C, 3, FALSE)</f>
        <v>Beauty</v>
      </c>
      <c r="M312" t="str">
        <f>VLOOKUP(C312, Customers!A:E, 5, FALSE)</f>
        <v>SMB</v>
      </c>
      <c r="N312">
        <f>VLOOKUP(C312, Customers!A:E, 3, FALSE)</f>
        <v>65</v>
      </c>
      <c r="O312" s="93" t="str">
        <f>VLOOKUP(E312, Sales_Reps!A:C, 3, FALSE)</f>
        <v>North</v>
      </c>
      <c r="P312">
        <f>VLOOKUP(D312, Products!A:E, 4, FALSE)</f>
        <v>647</v>
      </c>
      <c r="Q312">
        <f>IF(COUNTIF($A$2:A312, A312)=2, 1, 0)</f>
        <v>0</v>
      </c>
      <c r="R312">
        <f>IF(ISNA(MATCH(C312, Customers!$A:$A, 0)), 1, 0)</f>
        <v>0</v>
      </c>
      <c r="S312" s="94" t="b">
        <f>VLOOKUP(D312, Products!A:F, 6, FALSE)</f>
        <v>0</v>
      </c>
    </row>
    <row r="313" spans="1:19">
      <c r="A313" s="102" t="s">
        <v>688</v>
      </c>
      <c r="B313" s="2">
        <v>45374</v>
      </c>
      <c r="C313" s="1" t="s">
        <v>689</v>
      </c>
      <c r="D313" s="1" t="s">
        <v>184</v>
      </c>
      <c r="E313" s="1" t="s">
        <v>285</v>
      </c>
      <c r="F313" s="83">
        <v>1</v>
      </c>
      <c r="G313" s="92">
        <v>4880</v>
      </c>
      <c r="H313" s="3">
        <v>18.100000000000001</v>
      </c>
      <c r="I313" s="3">
        <v>3996.72</v>
      </c>
      <c r="J313" s="1" t="s">
        <v>87</v>
      </c>
      <c r="K313" s="1" t="s">
        <v>133</v>
      </c>
      <c r="L313" t="str">
        <f>VLOOKUP(D313, Products!A:C, 3, FALSE)</f>
        <v>Beauty</v>
      </c>
      <c r="M313" t="str">
        <f>VLOOKUP(C313, Customers!A:E, 5, FALSE)</f>
        <v>Retail</v>
      </c>
      <c r="N313">
        <f>VLOOKUP(C313, Customers!A:E, 3, FALSE)</f>
        <v>28</v>
      </c>
      <c r="O313" s="93" t="str">
        <f>VLOOKUP(E313, Sales_Reps!A:C, 3, FALSE)</f>
        <v>East</v>
      </c>
      <c r="P313">
        <f>VLOOKUP(D313, Products!A:E, 4, FALSE)</f>
        <v>2768</v>
      </c>
      <c r="Q313">
        <f>IF(COUNTIF($A$2:A313, A313)=2, 1, 0)</f>
        <v>0</v>
      </c>
      <c r="R313">
        <f>IF(ISNA(MATCH(C313, Customers!$A:$A, 0)), 1, 0)</f>
        <v>0</v>
      </c>
      <c r="S313" s="94" t="b">
        <f>VLOOKUP(D313, Products!A:F, 6, FALSE)</f>
        <v>1</v>
      </c>
    </row>
    <row r="314" spans="1:19">
      <c r="A314" s="102" t="s">
        <v>690</v>
      </c>
      <c r="B314" s="2">
        <v>45592</v>
      </c>
      <c r="C314" s="1" t="s">
        <v>482</v>
      </c>
      <c r="D314" s="1" t="s">
        <v>131</v>
      </c>
      <c r="E314" s="1" t="s">
        <v>188</v>
      </c>
      <c r="F314" s="83">
        <v>8</v>
      </c>
      <c r="G314" s="92">
        <v>2270</v>
      </c>
      <c r="H314" s="3">
        <v>19.8</v>
      </c>
      <c r="I314" s="3">
        <v>14564.32</v>
      </c>
      <c r="J314" s="1" t="s">
        <v>93</v>
      </c>
      <c r="K314" s="1" t="s">
        <v>133</v>
      </c>
      <c r="L314" t="str">
        <f>VLOOKUP(D314, Products!A:C, 3, FALSE)</f>
        <v>Grocery</v>
      </c>
      <c r="M314" t="str">
        <f>VLOOKUP(C314, Customers!A:E, 5, FALSE)</f>
        <v>Corporate</v>
      </c>
      <c r="N314">
        <f>VLOOKUP(C314, Customers!A:E, 3, FALSE)</f>
        <v>52</v>
      </c>
      <c r="O314" s="93" t="str">
        <f>VLOOKUP(E314, Sales_Reps!A:C, 3, FALSE)</f>
        <v>South</v>
      </c>
      <c r="P314">
        <f>VLOOKUP(D314, Products!A:E, 4, FALSE)</f>
        <v>1203</v>
      </c>
      <c r="Q314">
        <f>IF(COUNTIF($A$2:A314, A314)=2, 1, 0)</f>
        <v>0</v>
      </c>
      <c r="R314">
        <f>IF(ISNA(MATCH(C314, Customers!$A:$A, 0)), 1, 0)</f>
        <v>0</v>
      </c>
      <c r="S314" s="94" t="b">
        <f>VLOOKUP(D314, Products!A:F, 6, FALSE)</f>
        <v>1</v>
      </c>
    </row>
    <row r="315" spans="1:19">
      <c r="A315" s="102" t="s">
        <v>691</v>
      </c>
      <c r="B315" s="2">
        <v>45508</v>
      </c>
      <c r="C315" s="1" t="s">
        <v>615</v>
      </c>
      <c r="D315" s="1" t="s">
        <v>167</v>
      </c>
      <c r="E315" s="1" t="s">
        <v>132</v>
      </c>
      <c r="F315" s="83">
        <v>10</v>
      </c>
      <c r="G315" s="92">
        <v>2480</v>
      </c>
      <c r="H315" s="3">
        <v>24.4</v>
      </c>
      <c r="I315" s="3">
        <v>18748.8</v>
      </c>
      <c r="J315" s="1" t="s">
        <v>93</v>
      </c>
      <c r="K315" s="1" t="s">
        <v>112</v>
      </c>
      <c r="L315" t="str">
        <f>VLOOKUP(D315, Products!A:C, 3, FALSE)</f>
        <v>Apparel</v>
      </c>
      <c r="M315" t="str">
        <f>VLOOKUP(C315, Customers!A:E, 5, FALSE)</f>
        <v>Retail</v>
      </c>
      <c r="N315">
        <f>VLOOKUP(C315, Customers!A:E, 3, FALSE)</f>
        <v>53</v>
      </c>
      <c r="O315" s="93" t="str">
        <f>VLOOKUP(E315, Sales_Reps!A:C, 3, FALSE)</f>
        <v>South</v>
      </c>
      <c r="P315">
        <f>VLOOKUP(D315, Products!A:E, 4, FALSE)</f>
        <v>1173</v>
      </c>
      <c r="Q315">
        <f>IF(COUNTIF($A$2:A315, A315)=2, 1, 0)</f>
        <v>0</v>
      </c>
      <c r="R315">
        <f>IF(ISNA(MATCH(C315, Customers!$A:$A, 0)), 1, 0)</f>
        <v>0</v>
      </c>
      <c r="S315" s="94" t="b">
        <f>VLOOKUP(D315, Products!A:F, 6, FALSE)</f>
        <v>1</v>
      </c>
    </row>
    <row r="316" spans="1:19">
      <c r="A316" s="102" t="s">
        <v>692</v>
      </c>
      <c r="B316" s="2">
        <v>45481</v>
      </c>
      <c r="C316" s="1" t="s">
        <v>130</v>
      </c>
      <c r="D316" s="1" t="s">
        <v>276</v>
      </c>
      <c r="E316" s="1" t="s">
        <v>98</v>
      </c>
      <c r="F316" s="83">
        <v>8</v>
      </c>
      <c r="G316" s="92">
        <v>3020</v>
      </c>
      <c r="H316" s="3">
        <v>15.2</v>
      </c>
      <c r="I316" s="3">
        <v>20487.68</v>
      </c>
      <c r="J316" s="1" t="s">
        <v>93</v>
      </c>
      <c r="K316" s="1" t="s">
        <v>133</v>
      </c>
      <c r="L316" t="str">
        <f>VLOOKUP(D316, Products!A:C, 3, FALSE)</f>
        <v>Beauty</v>
      </c>
      <c r="M316" t="str">
        <f>VLOOKUP(C316, Customers!A:E, 5, FALSE)</f>
        <v>Retail</v>
      </c>
      <c r="N316">
        <f>VLOOKUP(C316, Customers!A:E, 3, FALSE)</f>
        <v>60</v>
      </c>
      <c r="O316" s="93" t="str">
        <f>VLOOKUP(E316, Sales_Reps!A:C, 3, FALSE)</f>
        <v>South</v>
      </c>
      <c r="P316">
        <f>VLOOKUP(D316, Products!A:E, 4, FALSE)</f>
        <v>1626</v>
      </c>
      <c r="Q316">
        <f>IF(COUNTIF($A$2:A316, A316)=2, 1, 0)</f>
        <v>0</v>
      </c>
      <c r="R316">
        <f>IF(ISNA(MATCH(C316, Customers!$A:$A, 0)), 1, 0)</f>
        <v>0</v>
      </c>
      <c r="S316" s="94" t="b">
        <f>VLOOKUP(D316, Products!A:F, 6, FALSE)</f>
        <v>1</v>
      </c>
    </row>
    <row r="317" spans="1:19">
      <c r="A317" s="102" t="s">
        <v>693</v>
      </c>
      <c r="B317" s="2">
        <v>45517</v>
      </c>
      <c r="C317" s="1" t="s">
        <v>328</v>
      </c>
      <c r="D317" s="1" t="s">
        <v>259</v>
      </c>
      <c r="E317" s="1" t="s">
        <v>121</v>
      </c>
      <c r="F317" s="83">
        <v>10</v>
      </c>
      <c r="G317" s="92">
        <v>1540</v>
      </c>
      <c r="H317" s="3">
        <v>0.6</v>
      </c>
      <c r="I317" s="3">
        <v>15307.6</v>
      </c>
      <c r="J317" s="1" t="s">
        <v>87</v>
      </c>
      <c r="K317" s="1" t="s">
        <v>94</v>
      </c>
      <c r="L317" t="str">
        <f>VLOOKUP(D317, Products!A:C, 3, FALSE)</f>
        <v>Beauty</v>
      </c>
      <c r="M317" t="str">
        <f>VLOOKUP(C317, Customers!A:E, 5, FALSE)</f>
        <v>Retail</v>
      </c>
      <c r="N317">
        <f>VLOOKUP(C317, Customers!A:E, 3, FALSE)</f>
        <v>28</v>
      </c>
      <c r="O317" s="93" t="str">
        <f>VLOOKUP(E317, Sales_Reps!A:C, 3, FALSE)</f>
        <v>East</v>
      </c>
      <c r="P317">
        <f>VLOOKUP(D317, Products!A:E, 4, FALSE)</f>
        <v>647</v>
      </c>
      <c r="Q317">
        <f>IF(COUNTIF($A$2:A317, A317)=2, 1, 0)</f>
        <v>0</v>
      </c>
      <c r="R317">
        <f>IF(ISNA(MATCH(C317, Customers!$A:$A, 0)), 1, 0)</f>
        <v>0</v>
      </c>
      <c r="S317" s="94" t="b">
        <f>VLOOKUP(D317, Products!A:F, 6, FALSE)</f>
        <v>0</v>
      </c>
    </row>
    <row r="318" spans="1:19">
      <c r="A318" s="102" t="s">
        <v>694</v>
      </c>
      <c r="B318" s="2">
        <v>45632</v>
      </c>
      <c r="C318" s="1" t="s">
        <v>490</v>
      </c>
      <c r="D318" s="1" t="s">
        <v>106</v>
      </c>
      <c r="E318" s="1" t="s">
        <v>215</v>
      </c>
      <c r="F318" s="83">
        <v>7</v>
      </c>
      <c r="G318" s="92">
        <v>3160</v>
      </c>
      <c r="H318" s="3">
        <v>8.9</v>
      </c>
      <c r="I318" s="3">
        <v>20151.32</v>
      </c>
      <c r="J318" s="1" t="s">
        <v>87</v>
      </c>
      <c r="K318" s="1" t="s">
        <v>99</v>
      </c>
      <c r="L318" t="str">
        <f>VLOOKUP(D318, Products!A:C, 3, FALSE)</f>
        <v>Apparel</v>
      </c>
      <c r="M318" t="str">
        <f>VLOOKUP(C318, Customers!A:E, 5, FALSE)</f>
        <v>Retail</v>
      </c>
      <c r="N318">
        <f>VLOOKUP(C318, Customers!A:E, 3, FALSE)</f>
        <v>59</v>
      </c>
      <c r="O318" s="93" t="str">
        <f>VLOOKUP(E318, Sales_Reps!A:C, 3, FALSE)</f>
        <v>North</v>
      </c>
      <c r="P318">
        <f>VLOOKUP(D318, Products!A:E, 4, FALSE)</f>
        <v>1886</v>
      </c>
      <c r="Q318">
        <f>IF(COUNTIF($A$2:A318, A318)=2, 1, 0)</f>
        <v>0</v>
      </c>
      <c r="R318">
        <f>IF(ISNA(MATCH(C318, Customers!$A:$A, 0)), 1, 0)</f>
        <v>0</v>
      </c>
      <c r="S318" s="94" t="b">
        <f>VLOOKUP(D318, Products!A:F, 6, FALSE)</f>
        <v>1</v>
      </c>
    </row>
    <row r="319" spans="1:19">
      <c r="A319" s="102" t="s">
        <v>695</v>
      </c>
      <c r="B319" s="2">
        <v>45592</v>
      </c>
      <c r="C319" s="1" t="s">
        <v>210</v>
      </c>
      <c r="D319" s="1" t="s">
        <v>182</v>
      </c>
      <c r="E319" s="1" t="s">
        <v>252</v>
      </c>
      <c r="F319" s="83">
        <v>6</v>
      </c>
      <c r="G319" s="92">
        <v>1010</v>
      </c>
      <c r="H319" s="3">
        <v>12.9</v>
      </c>
      <c r="I319" s="3">
        <v>5278.26</v>
      </c>
      <c r="J319" s="1" t="s">
        <v>87</v>
      </c>
      <c r="K319" s="1" t="s">
        <v>99</v>
      </c>
      <c r="L319" t="str">
        <f>VLOOKUP(D319, Products!A:C, 3, FALSE)</f>
        <v>Sports</v>
      </c>
      <c r="M319" t="str">
        <f>VLOOKUP(C319, Customers!A:E, 5, FALSE)</f>
        <v>Retail</v>
      </c>
      <c r="N319">
        <f>VLOOKUP(C319, Customers!A:E, 3, FALSE)</f>
        <v>41</v>
      </c>
      <c r="O319" s="93" t="str">
        <f>VLOOKUP(E319, Sales_Reps!A:C, 3, FALSE)</f>
        <v>South</v>
      </c>
      <c r="P319">
        <f>VLOOKUP(D319, Products!A:E, 4, FALSE)</f>
        <v>516</v>
      </c>
      <c r="Q319">
        <f>IF(COUNTIF($A$2:A319, A319)=2, 1, 0)</f>
        <v>0</v>
      </c>
      <c r="R319">
        <f>IF(ISNA(MATCH(C319, Customers!$A:$A, 0)), 1, 0)</f>
        <v>0</v>
      </c>
      <c r="S319" s="94" t="b">
        <f>VLOOKUP(D319, Products!A:F, 6, FALSE)</f>
        <v>1</v>
      </c>
    </row>
    <row r="320" spans="1:19">
      <c r="A320" s="102" t="s">
        <v>696</v>
      </c>
      <c r="B320" s="2">
        <v>45450</v>
      </c>
      <c r="C320" s="1" t="s">
        <v>697</v>
      </c>
      <c r="D320" s="1" t="s">
        <v>270</v>
      </c>
      <c r="E320" s="1" t="s">
        <v>192</v>
      </c>
      <c r="F320" s="83">
        <v>4</v>
      </c>
      <c r="G320" s="92">
        <v>4610</v>
      </c>
      <c r="H320" s="3">
        <v>18.2</v>
      </c>
      <c r="I320" s="3">
        <v>15083.92</v>
      </c>
      <c r="J320" s="1" t="s">
        <v>87</v>
      </c>
      <c r="K320" s="1" t="s">
        <v>133</v>
      </c>
      <c r="L320" t="str">
        <f>VLOOKUP(D320, Products!A:C, 3, FALSE)</f>
        <v>Home</v>
      </c>
      <c r="M320" t="str">
        <f>VLOOKUP(C320, Customers!A:E, 5, FALSE)</f>
        <v>Retail</v>
      </c>
      <c r="N320">
        <f>VLOOKUP(C320, Customers!A:E, 3, FALSE)</f>
        <v>65</v>
      </c>
      <c r="O320" s="93" t="str">
        <f>VLOOKUP(E320, Sales_Reps!A:C, 3, FALSE)</f>
        <v>East</v>
      </c>
      <c r="P320">
        <f>VLOOKUP(D320, Products!A:E, 4, FALSE)</f>
        <v>1850</v>
      </c>
      <c r="Q320">
        <f>IF(COUNTIF($A$2:A320, A320)=2, 1, 0)</f>
        <v>0</v>
      </c>
      <c r="R320">
        <f>IF(ISNA(MATCH(C320, Customers!$A:$A, 0)), 1, 0)</f>
        <v>0</v>
      </c>
      <c r="S320" s="94" t="b">
        <f>VLOOKUP(D320, Products!A:F, 6, FALSE)</f>
        <v>1</v>
      </c>
    </row>
    <row r="321" spans="1:19">
      <c r="A321" s="102" t="s">
        <v>698</v>
      </c>
      <c r="B321" s="2">
        <v>45343</v>
      </c>
      <c r="C321" s="1" t="s">
        <v>263</v>
      </c>
      <c r="D321" s="1" t="s">
        <v>351</v>
      </c>
      <c r="E321" s="1" t="s">
        <v>229</v>
      </c>
      <c r="F321" s="83">
        <v>6</v>
      </c>
      <c r="G321" s="92">
        <v>4060</v>
      </c>
      <c r="H321" s="3">
        <v>24.3</v>
      </c>
      <c r="I321" s="3">
        <v>18440.52</v>
      </c>
      <c r="J321" s="1" t="s">
        <v>87</v>
      </c>
      <c r="K321" s="1" t="s">
        <v>133</v>
      </c>
      <c r="L321" t="str">
        <f>VLOOKUP(D321, Products!A:C, 3, FALSE)</f>
        <v>Grocery</v>
      </c>
      <c r="M321" t="str">
        <f>VLOOKUP(C321, Customers!A:E, 5, FALSE)</f>
        <v>Retail</v>
      </c>
      <c r="N321">
        <f>VLOOKUP(C321, Customers!A:E, 3, FALSE)</f>
        <v>53</v>
      </c>
      <c r="O321" s="93" t="str">
        <f>VLOOKUP(E321, Sales_Reps!A:C, 3, FALSE)</f>
        <v>West</v>
      </c>
      <c r="P321">
        <f>VLOOKUP(D321, Products!A:E, 4, FALSE)</f>
        <v>2911</v>
      </c>
      <c r="Q321">
        <f>IF(COUNTIF($A$2:A321, A321)=2, 1, 0)</f>
        <v>0</v>
      </c>
      <c r="R321">
        <f>IF(ISNA(MATCH(C321, Customers!$A:$A, 0)), 1, 0)</f>
        <v>0</v>
      </c>
      <c r="S321" s="94" t="b">
        <f>VLOOKUP(D321, Products!A:F, 6, FALSE)</f>
        <v>1</v>
      </c>
    </row>
    <row r="322" spans="1:19">
      <c r="A322" s="102" t="s">
        <v>699</v>
      </c>
      <c r="B322" s="2">
        <v>45509</v>
      </c>
      <c r="C322" s="1" t="s">
        <v>700</v>
      </c>
      <c r="D322" s="1" t="s">
        <v>292</v>
      </c>
      <c r="E322" s="1" t="s">
        <v>215</v>
      </c>
      <c r="F322" s="83">
        <v>5</v>
      </c>
      <c r="G322" s="92">
        <v>620</v>
      </c>
      <c r="H322" s="3">
        <v>10.7</v>
      </c>
      <c r="I322" s="3">
        <v>2768.3</v>
      </c>
      <c r="J322" s="1" t="s">
        <v>144</v>
      </c>
      <c r="K322" s="1" t="s">
        <v>94</v>
      </c>
      <c r="L322" t="str">
        <f>VLOOKUP(D322, Products!A:C, 3, FALSE)</f>
        <v>Apparel</v>
      </c>
      <c r="M322" t="str">
        <f>VLOOKUP(C322, Customers!A:E, 5, FALSE)</f>
        <v>SMB</v>
      </c>
      <c r="N322">
        <f>VLOOKUP(C322, Customers!A:E, 3, FALSE)</f>
        <v>46</v>
      </c>
      <c r="O322" s="93" t="str">
        <f>VLOOKUP(E322, Sales_Reps!A:C, 3, FALSE)</f>
        <v>North</v>
      </c>
      <c r="P322">
        <f>VLOOKUP(D322, Products!A:E, 4, FALSE)</f>
        <v>396</v>
      </c>
      <c r="Q322">
        <f>IF(COUNTIF($A$2:A322, A322)=2, 1, 0)</f>
        <v>0</v>
      </c>
      <c r="R322">
        <f>IF(ISNA(MATCH(C322, Customers!$A:$A, 0)), 1, 0)</f>
        <v>0</v>
      </c>
      <c r="S322" s="94" t="b">
        <f>VLOOKUP(D322, Products!A:F, 6, FALSE)</f>
        <v>1</v>
      </c>
    </row>
    <row r="323" spans="1:19">
      <c r="A323" s="102" t="s">
        <v>701</v>
      </c>
      <c r="B323" s="2">
        <v>45513</v>
      </c>
      <c r="C323" s="1" t="s">
        <v>454</v>
      </c>
      <c r="D323" s="1" t="s">
        <v>659</v>
      </c>
      <c r="E323" s="1" t="s">
        <v>148</v>
      </c>
      <c r="F323" s="83">
        <v>3</v>
      </c>
      <c r="G323" s="92">
        <v>3560</v>
      </c>
      <c r="H323" s="3">
        <v>4.0999999999999996</v>
      </c>
      <c r="I323" s="3">
        <v>10242.120000000001</v>
      </c>
      <c r="J323" s="1" t="s">
        <v>87</v>
      </c>
      <c r="K323" s="1" t="s">
        <v>133</v>
      </c>
      <c r="L323" t="str">
        <f>VLOOKUP(D323, Products!A:C, 3, FALSE)</f>
        <v>Apparel</v>
      </c>
      <c r="M323" t="str">
        <f>VLOOKUP(C323, Customers!A:E, 5, FALSE)</f>
        <v>Corporate</v>
      </c>
      <c r="N323">
        <f>VLOOKUP(C323, Customers!A:E, 3, FALSE)</f>
        <v>43</v>
      </c>
      <c r="O323" s="93" t="str">
        <f>VLOOKUP(E323, Sales_Reps!A:C, 3, FALSE)</f>
        <v>North</v>
      </c>
      <c r="P323">
        <f>VLOOKUP(D323, Products!A:E, 4, FALSE)</f>
        <v>2629</v>
      </c>
      <c r="Q323">
        <f>IF(COUNTIF($A$2:A323, A323)=2, 1, 0)</f>
        <v>0</v>
      </c>
      <c r="R323">
        <f>IF(ISNA(MATCH(C323, Customers!$A:$A, 0)), 1, 0)</f>
        <v>0</v>
      </c>
      <c r="S323" s="94" t="b">
        <f>VLOOKUP(D323, Products!A:F, 6, FALSE)</f>
        <v>1</v>
      </c>
    </row>
    <row r="324" spans="1:19">
      <c r="A324" s="102" t="s">
        <v>702</v>
      </c>
      <c r="B324" s="2">
        <v>45500</v>
      </c>
      <c r="C324" s="1" t="s">
        <v>703</v>
      </c>
      <c r="D324" s="1" t="s">
        <v>151</v>
      </c>
      <c r="E324" s="1" t="s">
        <v>325</v>
      </c>
      <c r="F324" s="83">
        <v>2</v>
      </c>
      <c r="G324" s="92">
        <v>2400</v>
      </c>
      <c r="H324" s="3">
        <v>13</v>
      </c>
      <c r="I324" s="3">
        <v>4176</v>
      </c>
      <c r="J324" s="1" t="s">
        <v>87</v>
      </c>
      <c r="K324" s="1" t="s">
        <v>88</v>
      </c>
      <c r="L324" t="str">
        <f>VLOOKUP(D324, Products!A:C, 3, FALSE)</f>
        <v>Sports</v>
      </c>
      <c r="M324" t="str">
        <f>VLOOKUP(C324, Customers!A:E, 5, FALSE)</f>
        <v>Corporate</v>
      </c>
      <c r="N324">
        <f>VLOOKUP(C324, Customers!A:E, 3, FALSE)</f>
        <v>52</v>
      </c>
      <c r="O324" s="93" t="str">
        <f>VLOOKUP(E324, Sales_Reps!A:C, 3, FALSE)</f>
        <v>South</v>
      </c>
      <c r="P324">
        <f>VLOOKUP(D324, Products!A:E, 4, FALSE)</f>
        <v>974</v>
      </c>
      <c r="Q324">
        <f>IF(COUNTIF($A$2:A324, A324)=2, 1, 0)</f>
        <v>0</v>
      </c>
      <c r="R324">
        <f>IF(ISNA(MATCH(C324, Customers!$A:$A, 0)), 1, 0)</f>
        <v>0</v>
      </c>
      <c r="S324" s="94" t="b">
        <f>VLOOKUP(D324, Products!A:F, 6, FALSE)</f>
        <v>1</v>
      </c>
    </row>
    <row r="325" spans="1:19">
      <c r="A325" s="102" t="s">
        <v>704</v>
      </c>
      <c r="B325" s="2">
        <v>45407</v>
      </c>
      <c r="C325" s="1" t="s">
        <v>705</v>
      </c>
      <c r="D325" s="1" t="s">
        <v>515</v>
      </c>
      <c r="E325" s="1" t="s">
        <v>103</v>
      </c>
      <c r="F325" s="83">
        <v>9</v>
      </c>
      <c r="G325" s="92">
        <v>6940</v>
      </c>
      <c r="H325" s="3">
        <v>26.2</v>
      </c>
      <c r="I325" s="3">
        <v>46095.48</v>
      </c>
      <c r="J325" s="1" t="s">
        <v>87</v>
      </c>
      <c r="K325" s="1" t="s">
        <v>99</v>
      </c>
      <c r="L325" t="str">
        <f>VLOOKUP(D325, Products!A:C, 3, FALSE)</f>
        <v>Sports</v>
      </c>
      <c r="M325" t="str">
        <f>VLOOKUP(C325, Customers!A:E, 5, FALSE)</f>
        <v>Retail</v>
      </c>
      <c r="N325">
        <f>VLOOKUP(C325, Customers!A:E, 3, FALSE)</f>
        <v>53</v>
      </c>
      <c r="O325" s="93" t="str">
        <f>VLOOKUP(E325, Sales_Reps!A:C, 3, FALSE)</f>
        <v>North</v>
      </c>
      <c r="P325">
        <f>VLOOKUP(D325, Products!A:E, 4, FALSE)</f>
        <v>2827</v>
      </c>
      <c r="Q325">
        <f>IF(COUNTIF($A$2:A325, A325)=2, 1, 0)</f>
        <v>0</v>
      </c>
      <c r="R325">
        <f>IF(ISNA(MATCH(C325, Customers!$A:$A, 0)), 1, 0)</f>
        <v>0</v>
      </c>
      <c r="S325" s="94" t="b">
        <f>VLOOKUP(D325, Products!A:F, 6, FALSE)</f>
        <v>1</v>
      </c>
    </row>
    <row r="326" spans="1:19">
      <c r="A326" s="102" t="s">
        <v>706</v>
      </c>
      <c r="B326" s="2">
        <v>45385</v>
      </c>
      <c r="C326" s="1" t="s">
        <v>707</v>
      </c>
      <c r="D326" s="1" t="s">
        <v>367</v>
      </c>
      <c r="E326" s="1" t="s">
        <v>111</v>
      </c>
      <c r="F326" s="83">
        <v>9</v>
      </c>
      <c r="G326" s="92">
        <v>2380</v>
      </c>
      <c r="H326" s="3">
        <v>22.7</v>
      </c>
      <c r="I326" s="3">
        <v>16557.66</v>
      </c>
      <c r="J326" s="1" t="s">
        <v>87</v>
      </c>
      <c r="K326" s="1" t="s">
        <v>112</v>
      </c>
      <c r="L326" t="str">
        <f>VLOOKUP(D326, Products!A:C, 3, FALSE)</f>
        <v>Grocery</v>
      </c>
      <c r="M326" t="str">
        <f>VLOOKUP(C326, Customers!A:E, 5, FALSE)</f>
        <v>Retail</v>
      </c>
      <c r="N326">
        <f>VLOOKUP(C326, Customers!A:E, 3, FALSE)</f>
        <v>33</v>
      </c>
      <c r="O326" s="93" t="str">
        <f>VLOOKUP(E326, Sales_Reps!A:C, 3, FALSE)</f>
        <v>West</v>
      </c>
      <c r="P326">
        <f>VLOOKUP(D326, Products!A:E, 4, FALSE)</f>
        <v>1182</v>
      </c>
      <c r="Q326">
        <f>IF(COUNTIF($A$2:A326, A326)=2, 1, 0)</f>
        <v>0</v>
      </c>
      <c r="R326">
        <f>IF(ISNA(MATCH(C326, Customers!$A:$A, 0)), 1, 0)</f>
        <v>0</v>
      </c>
      <c r="S326" s="94" t="b">
        <f>VLOOKUP(D326, Products!A:F, 6, FALSE)</f>
        <v>1</v>
      </c>
    </row>
    <row r="327" spans="1:19">
      <c r="A327" s="102" t="s">
        <v>708</v>
      </c>
      <c r="B327" s="2">
        <v>45542</v>
      </c>
      <c r="C327" s="1" t="s">
        <v>266</v>
      </c>
      <c r="D327" s="1" t="s">
        <v>85</v>
      </c>
      <c r="E327" s="1" t="s">
        <v>128</v>
      </c>
      <c r="F327" s="83">
        <v>6</v>
      </c>
      <c r="G327" s="92">
        <v>3620</v>
      </c>
      <c r="H327" s="3">
        <v>9.1999999999999993</v>
      </c>
      <c r="I327" s="3">
        <v>19721.759999999998</v>
      </c>
      <c r="J327" s="1" t="s">
        <v>87</v>
      </c>
      <c r="K327" s="1" t="s">
        <v>99</v>
      </c>
      <c r="L327" t="str">
        <f>VLOOKUP(D327, Products!A:C, 3, FALSE)</f>
        <v>Apparel</v>
      </c>
      <c r="M327" t="str">
        <f>VLOOKUP(C327, Customers!A:E, 5, FALSE)</f>
        <v>Corporate</v>
      </c>
      <c r="N327">
        <f>VLOOKUP(C327, Customers!A:E, 3, FALSE)</f>
        <v>55</v>
      </c>
      <c r="O327" s="93" t="str">
        <f>VLOOKUP(E327, Sales_Reps!A:C, 3, FALSE)</f>
        <v>West</v>
      </c>
      <c r="P327">
        <f>VLOOKUP(D327, Products!A:E, 4, FALSE)</f>
        <v>2509</v>
      </c>
      <c r="Q327">
        <f>IF(COUNTIF($A$2:A327, A327)=2, 1, 0)</f>
        <v>0</v>
      </c>
      <c r="R327">
        <f>IF(ISNA(MATCH(C327, Customers!$A:$A, 0)), 1, 0)</f>
        <v>0</v>
      </c>
      <c r="S327" s="94" t="b">
        <f>VLOOKUP(D327, Products!A:F, 6, FALSE)</f>
        <v>1</v>
      </c>
    </row>
    <row r="328" spans="1:19">
      <c r="A328" s="102" t="s">
        <v>709</v>
      </c>
      <c r="B328" s="2">
        <v>45422</v>
      </c>
      <c r="C328" s="1" t="s">
        <v>454</v>
      </c>
      <c r="D328" s="1" t="s">
        <v>241</v>
      </c>
      <c r="E328" s="1" t="s">
        <v>139</v>
      </c>
      <c r="F328" s="83">
        <v>1</v>
      </c>
      <c r="G328" s="92">
        <v>6080</v>
      </c>
      <c r="H328" s="3">
        <v>29.4</v>
      </c>
      <c r="I328" s="3">
        <v>4292.4799999999996</v>
      </c>
      <c r="J328" s="1" t="s">
        <v>140</v>
      </c>
      <c r="K328" s="1" t="s">
        <v>133</v>
      </c>
      <c r="L328" t="str">
        <f>VLOOKUP(D328, Products!A:C, 3, FALSE)</f>
        <v>Beauty</v>
      </c>
      <c r="M328" t="str">
        <f>VLOOKUP(C328, Customers!A:E, 5, FALSE)</f>
        <v>Corporate</v>
      </c>
      <c r="N328">
        <f>VLOOKUP(C328, Customers!A:E, 3, FALSE)</f>
        <v>43</v>
      </c>
      <c r="O328" s="93" t="str">
        <f>VLOOKUP(E328, Sales_Reps!A:C, 3, FALSE)</f>
        <v>North</v>
      </c>
      <c r="P328">
        <f>VLOOKUP(D328, Products!A:E, 4, FALSE)</f>
        <v>2617</v>
      </c>
      <c r="Q328">
        <f>IF(COUNTIF($A$2:A328, A328)=2, 1, 0)</f>
        <v>0</v>
      </c>
      <c r="R328">
        <f>IF(ISNA(MATCH(C328, Customers!$A:$A, 0)), 1, 0)</f>
        <v>0</v>
      </c>
      <c r="S328" s="94" t="b">
        <f>VLOOKUP(D328, Products!A:F, 6, FALSE)</f>
        <v>1</v>
      </c>
    </row>
    <row r="329" spans="1:19">
      <c r="A329" s="102" t="s">
        <v>710</v>
      </c>
      <c r="B329" s="2">
        <v>45343</v>
      </c>
      <c r="C329" s="1" t="s">
        <v>680</v>
      </c>
      <c r="D329" s="1" t="s">
        <v>91</v>
      </c>
      <c r="E329" s="1" t="s">
        <v>303</v>
      </c>
      <c r="F329" s="83">
        <v>6</v>
      </c>
      <c r="G329" s="92">
        <v>820</v>
      </c>
      <c r="H329" s="3">
        <v>29.1</v>
      </c>
      <c r="I329" s="3">
        <v>3488.28</v>
      </c>
      <c r="J329" s="1" t="s">
        <v>87</v>
      </c>
      <c r="K329" s="1" t="s">
        <v>94</v>
      </c>
      <c r="L329" t="str">
        <f>VLOOKUP(D329, Products!A:C, 3, FALSE)</f>
        <v>Apparel</v>
      </c>
      <c r="M329" t="str">
        <f>VLOOKUP(C329, Customers!A:E, 5, FALSE)</f>
        <v>Retail</v>
      </c>
      <c r="N329">
        <f>VLOOKUP(C329, Customers!A:E, 3, FALSE)</f>
        <v>26</v>
      </c>
      <c r="O329" s="93" t="str">
        <f>VLOOKUP(E329, Sales_Reps!A:C, 3, FALSE)</f>
        <v>East</v>
      </c>
      <c r="P329">
        <f>VLOOKUP(D329, Products!A:E, 4, FALSE)</f>
        <v>391</v>
      </c>
      <c r="Q329">
        <f>IF(COUNTIF($A$2:A329, A329)=2, 1, 0)</f>
        <v>0</v>
      </c>
      <c r="R329">
        <f>IF(ISNA(MATCH(C329, Customers!$A:$A, 0)), 1, 0)</f>
        <v>0</v>
      </c>
      <c r="S329" s="94" t="b">
        <f>VLOOKUP(D329, Products!A:F, 6, FALSE)</f>
        <v>1</v>
      </c>
    </row>
    <row r="330" spans="1:19">
      <c r="A330" s="102" t="s">
        <v>711</v>
      </c>
      <c r="B330" s="2">
        <v>45646</v>
      </c>
      <c r="C330" s="1" t="s">
        <v>712</v>
      </c>
      <c r="D330" s="1" t="s">
        <v>276</v>
      </c>
      <c r="E330" s="1" t="s">
        <v>116</v>
      </c>
      <c r="F330" s="83">
        <v>9</v>
      </c>
      <c r="G330" s="92">
        <v>3020</v>
      </c>
      <c r="H330" s="3">
        <v>7.9</v>
      </c>
      <c r="I330" s="3">
        <v>25032.78</v>
      </c>
      <c r="J330" s="1" t="s">
        <v>87</v>
      </c>
      <c r="K330" s="1" t="s">
        <v>112</v>
      </c>
      <c r="L330" t="str">
        <f>VLOOKUP(D330, Products!A:C, 3, FALSE)</f>
        <v>Beauty</v>
      </c>
      <c r="M330" t="str">
        <f>VLOOKUP(C330, Customers!A:E, 5, FALSE)</f>
        <v>Corporate</v>
      </c>
      <c r="N330">
        <f>VLOOKUP(C330, Customers!A:E, 3, FALSE)</f>
        <v>51</v>
      </c>
      <c r="O330" s="93" t="str">
        <f>VLOOKUP(E330, Sales_Reps!A:C, 3, FALSE)</f>
        <v>West</v>
      </c>
      <c r="P330">
        <f>VLOOKUP(D330, Products!A:E, 4, FALSE)</f>
        <v>1626</v>
      </c>
      <c r="Q330">
        <f>IF(COUNTIF($A$2:A330, A330)=2, 1, 0)</f>
        <v>0</v>
      </c>
      <c r="R330">
        <f>IF(ISNA(MATCH(C330, Customers!$A:$A, 0)), 1, 0)</f>
        <v>0</v>
      </c>
      <c r="S330" s="94" t="b">
        <f>VLOOKUP(D330, Products!A:F, 6, FALSE)</f>
        <v>1</v>
      </c>
    </row>
    <row r="331" spans="1:19">
      <c r="A331" s="102" t="s">
        <v>713</v>
      </c>
      <c r="B331" s="2">
        <v>45645</v>
      </c>
      <c r="C331" s="1" t="s">
        <v>714</v>
      </c>
      <c r="D331" s="1" t="s">
        <v>248</v>
      </c>
      <c r="E331" s="1" t="s">
        <v>229</v>
      </c>
      <c r="F331" s="83">
        <v>8</v>
      </c>
      <c r="G331" s="92">
        <v>3870</v>
      </c>
      <c r="H331" s="3">
        <v>11.9</v>
      </c>
      <c r="I331" s="3">
        <v>27275.759999999998</v>
      </c>
      <c r="J331" s="1" t="s">
        <v>87</v>
      </c>
      <c r="K331" s="1" t="s">
        <v>99</v>
      </c>
      <c r="L331" t="str">
        <f>VLOOKUP(D331, Products!A:C, 3, FALSE)</f>
        <v>Electronics</v>
      </c>
      <c r="M331" t="str">
        <f>VLOOKUP(C331, Customers!A:E, 5, FALSE)</f>
        <v>Retail</v>
      </c>
      <c r="N331">
        <f>VLOOKUP(C331, Customers!A:E, 3, FALSE)</f>
        <v>24</v>
      </c>
      <c r="O331" s="93" t="str">
        <f>VLOOKUP(E331, Sales_Reps!A:C, 3, FALSE)</f>
        <v>West</v>
      </c>
      <c r="P331">
        <f>VLOOKUP(D331, Products!A:E, 4, FALSE)</f>
        <v>1559</v>
      </c>
      <c r="Q331">
        <f>IF(COUNTIF($A$2:A331, A331)=2, 1, 0)</f>
        <v>0</v>
      </c>
      <c r="R331">
        <f>IF(ISNA(MATCH(C331, Customers!$A:$A, 0)), 1, 0)</f>
        <v>0</v>
      </c>
      <c r="S331" s="94" t="b">
        <f>VLOOKUP(D331, Products!A:F, 6, FALSE)</f>
        <v>1</v>
      </c>
    </row>
    <row r="332" spans="1:19">
      <c r="A332" s="102" t="s">
        <v>715</v>
      </c>
      <c r="B332" s="2">
        <v>45528</v>
      </c>
      <c r="C332" s="1" t="s">
        <v>440</v>
      </c>
      <c r="D332" s="1" t="s">
        <v>157</v>
      </c>
      <c r="E332" s="1" t="s">
        <v>170</v>
      </c>
      <c r="F332" s="83">
        <v>6</v>
      </c>
      <c r="G332" s="92">
        <v>3450</v>
      </c>
      <c r="H332" s="3">
        <v>13.9</v>
      </c>
      <c r="I332" s="3">
        <v>17822.7</v>
      </c>
      <c r="J332" s="1" t="s">
        <v>87</v>
      </c>
      <c r="K332" s="1" t="s">
        <v>88</v>
      </c>
      <c r="L332" t="str">
        <f>VLOOKUP(D332, Products!A:C, 3, FALSE)</f>
        <v>Beauty</v>
      </c>
      <c r="M332" t="str">
        <f>VLOOKUP(C332, Customers!A:E, 5, FALSE)</f>
        <v>SMB</v>
      </c>
      <c r="N332">
        <f>VLOOKUP(C332, Customers!A:E, 3, FALSE)</f>
        <v>30</v>
      </c>
      <c r="O332" s="93" t="str">
        <f>VLOOKUP(E332, Sales_Reps!A:C, 3, FALSE)</f>
        <v>West</v>
      </c>
      <c r="P332">
        <f>VLOOKUP(D332, Products!A:E, 4, FALSE)</f>
        <v>2420</v>
      </c>
      <c r="Q332">
        <f>IF(COUNTIF($A$2:A332, A332)=2, 1, 0)</f>
        <v>0</v>
      </c>
      <c r="R332">
        <f>IF(ISNA(MATCH(C332, Customers!$A:$A, 0)), 1, 0)</f>
        <v>0</v>
      </c>
      <c r="S332" s="94" t="b">
        <f>VLOOKUP(D332, Products!A:F, 6, FALSE)</f>
        <v>1</v>
      </c>
    </row>
    <row r="333" spans="1:19">
      <c r="A333" s="102" t="s">
        <v>716</v>
      </c>
      <c r="B333" s="2">
        <v>45655</v>
      </c>
      <c r="C333" s="1" t="s">
        <v>717</v>
      </c>
      <c r="D333" s="1" t="s">
        <v>191</v>
      </c>
      <c r="E333" s="1" t="s">
        <v>107</v>
      </c>
      <c r="F333" s="83">
        <v>9</v>
      </c>
      <c r="G333" s="92">
        <v>5100</v>
      </c>
      <c r="H333" s="3">
        <v>2.1</v>
      </c>
      <c r="I333" s="3">
        <v>44936.1</v>
      </c>
      <c r="J333" s="1" t="s">
        <v>87</v>
      </c>
      <c r="K333" s="1" t="s">
        <v>94</v>
      </c>
      <c r="L333" t="str">
        <f>VLOOKUP(D333, Products!A:C, 3, FALSE)</f>
        <v>Beauty</v>
      </c>
      <c r="M333" t="str">
        <f>VLOOKUP(C333, Customers!A:E, 5, FALSE)</f>
        <v>Retail</v>
      </c>
      <c r="N333">
        <f>VLOOKUP(C333, Customers!A:E, 3, FALSE)</f>
        <v>24</v>
      </c>
      <c r="O333" s="93" t="str">
        <f>VLOOKUP(E333, Sales_Reps!A:C, 3, FALSE)</f>
        <v>North</v>
      </c>
      <c r="P333">
        <f>VLOOKUP(D333, Products!A:E, 4, FALSE)</f>
        <v>2237</v>
      </c>
      <c r="Q333">
        <f>IF(COUNTIF($A$2:A333, A333)=2, 1, 0)</f>
        <v>0</v>
      </c>
      <c r="R333">
        <f>IF(ISNA(MATCH(C333, Customers!$A:$A, 0)), 1, 0)</f>
        <v>0</v>
      </c>
      <c r="S333" s="94" t="b">
        <f>VLOOKUP(D333, Products!A:F, 6, FALSE)</f>
        <v>1</v>
      </c>
    </row>
    <row r="334" spans="1:19">
      <c r="A334" s="102" t="s">
        <v>718</v>
      </c>
      <c r="B334" s="2">
        <v>45518</v>
      </c>
      <c r="C334" s="1" t="s">
        <v>399</v>
      </c>
      <c r="D334" s="1" t="s">
        <v>264</v>
      </c>
      <c r="E334" s="1" t="s">
        <v>107</v>
      </c>
      <c r="F334" s="83">
        <v>2</v>
      </c>
      <c r="G334" s="92">
        <v>4070</v>
      </c>
      <c r="H334" s="3">
        <v>28.6</v>
      </c>
      <c r="I334" s="3">
        <v>5811.96</v>
      </c>
      <c r="J334" s="1" t="s">
        <v>87</v>
      </c>
      <c r="K334" s="1" t="s">
        <v>99</v>
      </c>
      <c r="L334" t="str">
        <f>VLOOKUP(D334, Products!A:C, 3, FALSE)</f>
        <v>Grocery</v>
      </c>
      <c r="M334" t="str">
        <f>VLOOKUP(C334, Customers!A:E, 5, FALSE)</f>
        <v>SMB</v>
      </c>
      <c r="N334">
        <f>VLOOKUP(C334, Customers!A:E, 3, FALSE)</f>
        <v>53</v>
      </c>
      <c r="O334" s="93" t="str">
        <f>VLOOKUP(E334, Sales_Reps!A:C, 3, FALSE)</f>
        <v>North</v>
      </c>
      <c r="P334">
        <f>VLOOKUP(D334, Products!A:E, 4, FALSE)</f>
        <v>2027</v>
      </c>
      <c r="Q334">
        <f>IF(COUNTIF($A$2:A334, A334)=2, 1, 0)</f>
        <v>0</v>
      </c>
      <c r="R334">
        <f>IF(ISNA(MATCH(C334, Customers!$A:$A, 0)), 1, 0)</f>
        <v>0</v>
      </c>
      <c r="S334" s="94" t="b">
        <f>VLOOKUP(D334, Products!A:F, 6, FALSE)</f>
        <v>1</v>
      </c>
    </row>
    <row r="335" spans="1:19">
      <c r="A335" s="102" t="s">
        <v>719</v>
      </c>
      <c r="B335" s="2">
        <v>45339</v>
      </c>
      <c r="C335" s="1" t="s">
        <v>676</v>
      </c>
      <c r="D335" s="1" t="s">
        <v>364</v>
      </c>
      <c r="E335" s="1" t="s">
        <v>86</v>
      </c>
      <c r="F335" s="83">
        <v>9</v>
      </c>
      <c r="G335" s="92">
        <v>5330</v>
      </c>
      <c r="H335" s="3">
        <v>6.2</v>
      </c>
      <c r="I335" s="3">
        <v>44995.86</v>
      </c>
      <c r="J335" s="1" t="s">
        <v>87</v>
      </c>
      <c r="K335" s="1" t="s">
        <v>88</v>
      </c>
      <c r="L335" t="str">
        <f>VLOOKUP(D335, Products!A:C, 3, FALSE)</f>
        <v>Electronics</v>
      </c>
      <c r="M335" t="str">
        <f>VLOOKUP(C335, Customers!A:E, 5, FALSE)</f>
        <v>SMB</v>
      </c>
      <c r="N335">
        <f>VLOOKUP(C335, Customers!A:E, 3, FALSE)</f>
        <v>35</v>
      </c>
      <c r="O335" s="93" t="str">
        <f>VLOOKUP(E335, Sales_Reps!A:C, 3, FALSE)</f>
        <v>North</v>
      </c>
      <c r="P335">
        <f>VLOOKUP(D335, Products!A:E, 4, FALSE)</f>
        <v>2405</v>
      </c>
      <c r="Q335">
        <f>IF(COUNTIF($A$2:A335, A335)=2, 1, 0)</f>
        <v>0</v>
      </c>
      <c r="R335">
        <f>IF(ISNA(MATCH(C335, Customers!$A:$A, 0)), 1, 0)</f>
        <v>0</v>
      </c>
      <c r="S335" s="94" t="b">
        <f>VLOOKUP(D335, Products!A:F, 6, FALSE)</f>
        <v>1</v>
      </c>
    </row>
    <row r="336" spans="1:19">
      <c r="A336" s="102" t="s">
        <v>663</v>
      </c>
      <c r="B336" s="2">
        <v>45319</v>
      </c>
      <c r="C336" s="1" t="s">
        <v>720</v>
      </c>
      <c r="D336" s="1" t="s">
        <v>131</v>
      </c>
      <c r="E336" s="1" t="s">
        <v>192</v>
      </c>
      <c r="F336" s="83">
        <v>6</v>
      </c>
      <c r="G336" s="92">
        <v>2270</v>
      </c>
      <c r="H336" s="3">
        <v>23.7</v>
      </c>
      <c r="I336" s="3">
        <v>10392.06</v>
      </c>
      <c r="J336" s="1" t="s">
        <v>87</v>
      </c>
      <c r="K336" s="1" t="s">
        <v>721</v>
      </c>
      <c r="L336" t="str">
        <f>VLOOKUP(D336, Products!A:C, 3, FALSE)</f>
        <v>Grocery</v>
      </c>
      <c r="M336" t="str">
        <f>VLOOKUP(C336, Customers!A:E, 5, FALSE)</f>
        <v>Retail</v>
      </c>
      <c r="N336">
        <f>VLOOKUP(C336, Customers!A:E, 3, FALSE)</f>
        <v>48</v>
      </c>
      <c r="O336" s="93" t="str">
        <f>VLOOKUP(E336, Sales_Reps!A:C, 3, FALSE)</f>
        <v>East</v>
      </c>
      <c r="P336">
        <f>VLOOKUP(D336, Products!A:E, 4, FALSE)</f>
        <v>1203</v>
      </c>
      <c r="Q336">
        <f>IF(COUNTIF($A$2:A336, A336)=2, 1, 0)</f>
        <v>1</v>
      </c>
      <c r="R336">
        <f>IF(ISNA(MATCH(C336, Customers!$A:$A, 0)), 1, 0)</f>
        <v>0</v>
      </c>
      <c r="S336" s="94" t="b">
        <f>VLOOKUP(D336, Products!A:F, 6, FALSE)</f>
        <v>1</v>
      </c>
    </row>
    <row r="337" spans="1:19">
      <c r="A337" s="102" t="s">
        <v>722</v>
      </c>
      <c r="B337" s="2">
        <v>45618</v>
      </c>
      <c r="C337" s="1" t="s">
        <v>142</v>
      </c>
      <c r="D337" s="1" t="s">
        <v>355</v>
      </c>
      <c r="E337" s="1" t="s">
        <v>116</v>
      </c>
      <c r="F337" s="83">
        <v>5</v>
      </c>
      <c r="G337" s="92">
        <v>2510</v>
      </c>
      <c r="H337" s="3">
        <v>25</v>
      </c>
      <c r="I337" s="3">
        <v>9412.5</v>
      </c>
      <c r="J337" s="1" t="s">
        <v>87</v>
      </c>
      <c r="K337" s="1" t="s">
        <v>88</v>
      </c>
      <c r="L337" t="str">
        <f>VLOOKUP(D337, Products!A:C, 3, FALSE)</f>
        <v>Apparel</v>
      </c>
      <c r="M337" t="str">
        <f>VLOOKUP(C337, Customers!A:E, 5, FALSE)</f>
        <v>SMB</v>
      </c>
      <c r="N337">
        <f>VLOOKUP(C337, Customers!A:E, 3, FALSE)</f>
        <v>39</v>
      </c>
      <c r="O337" s="93" t="str">
        <f>VLOOKUP(E337, Sales_Reps!A:C, 3, FALSE)</f>
        <v>West</v>
      </c>
      <c r="P337">
        <f>VLOOKUP(D337, Products!A:E, 4, FALSE)</f>
        <v>1075</v>
      </c>
      <c r="Q337">
        <f>IF(COUNTIF($A$2:A337, A337)=2, 1, 0)</f>
        <v>0</v>
      </c>
      <c r="R337">
        <f>IF(ISNA(MATCH(C337, Customers!$A:$A, 0)), 1, 0)</f>
        <v>0</v>
      </c>
      <c r="S337" s="94" t="b">
        <f>VLOOKUP(D337, Products!A:F, 6, FALSE)</f>
        <v>0</v>
      </c>
    </row>
    <row r="338" spans="1:19">
      <c r="A338" s="102" t="s">
        <v>723</v>
      </c>
      <c r="B338" s="2">
        <v>45335</v>
      </c>
      <c r="C338" s="1" t="s">
        <v>626</v>
      </c>
      <c r="D338" s="1" t="s">
        <v>367</v>
      </c>
      <c r="E338" s="1" t="s">
        <v>121</v>
      </c>
      <c r="F338" s="83">
        <v>9</v>
      </c>
      <c r="G338" s="92">
        <v>2380</v>
      </c>
      <c r="H338" s="3">
        <v>16.8</v>
      </c>
      <c r="I338" s="3">
        <v>17821.439999999999</v>
      </c>
      <c r="J338" s="1" t="s">
        <v>87</v>
      </c>
      <c r="K338" s="1" t="s">
        <v>99</v>
      </c>
      <c r="L338" t="str">
        <f>VLOOKUP(D338, Products!A:C, 3, FALSE)</f>
        <v>Grocery</v>
      </c>
      <c r="M338" t="str">
        <f>VLOOKUP(C338, Customers!A:E, 5, FALSE)</f>
        <v>Retail</v>
      </c>
      <c r="N338">
        <f>VLOOKUP(C338, Customers!A:E, 3, FALSE)</f>
        <v>40</v>
      </c>
      <c r="O338" s="93" t="str">
        <f>VLOOKUP(E338, Sales_Reps!A:C, 3, FALSE)</f>
        <v>East</v>
      </c>
      <c r="P338">
        <f>VLOOKUP(D338, Products!A:E, 4, FALSE)</f>
        <v>1182</v>
      </c>
      <c r="Q338">
        <f>IF(COUNTIF($A$2:A338, A338)=2, 1, 0)</f>
        <v>0</v>
      </c>
      <c r="R338">
        <f>IF(ISNA(MATCH(C338, Customers!$A:$A, 0)), 1, 0)</f>
        <v>0</v>
      </c>
      <c r="S338" s="94" t="b">
        <f>VLOOKUP(D338, Products!A:F, 6, FALSE)</f>
        <v>1</v>
      </c>
    </row>
    <row r="339" spans="1:19">
      <c r="A339" s="102" t="s">
        <v>724</v>
      </c>
      <c r="B339" s="2">
        <v>45420</v>
      </c>
      <c r="C339" s="1" t="s">
        <v>725</v>
      </c>
      <c r="D339" s="1" t="s">
        <v>452</v>
      </c>
      <c r="E339" s="1" t="s">
        <v>107</v>
      </c>
      <c r="F339" s="83">
        <v>1</v>
      </c>
      <c r="G339" s="92">
        <v>3450</v>
      </c>
      <c r="H339" s="3">
        <v>1.5</v>
      </c>
      <c r="I339" s="3">
        <v>3398.25</v>
      </c>
      <c r="J339" s="1" t="s">
        <v>144</v>
      </c>
      <c r="K339" s="1" t="s">
        <v>99</v>
      </c>
      <c r="L339" t="str">
        <f>VLOOKUP(D339, Products!A:C, 3, FALSE)</f>
        <v>Apparel</v>
      </c>
      <c r="M339" t="str">
        <f>VLOOKUP(C339, Customers!A:E, 5, FALSE)</f>
        <v>SMB</v>
      </c>
      <c r="N339">
        <f>VLOOKUP(C339, Customers!A:E, 3, FALSE)</f>
        <v>26</v>
      </c>
      <c r="O339" s="93" t="str">
        <f>VLOOKUP(E339, Sales_Reps!A:C, 3, FALSE)</f>
        <v>North</v>
      </c>
      <c r="P339">
        <f>VLOOKUP(D339, Products!A:E, 4, FALSE)</f>
        <v>1748</v>
      </c>
      <c r="Q339">
        <f>IF(COUNTIF($A$2:A339, A339)=2, 1, 0)</f>
        <v>0</v>
      </c>
      <c r="R339">
        <f>IF(ISNA(MATCH(C339, Customers!$A:$A, 0)), 1, 0)</f>
        <v>0</v>
      </c>
      <c r="S339" s="94" t="b">
        <f>VLOOKUP(D339, Products!A:F, 6, FALSE)</f>
        <v>1</v>
      </c>
    </row>
    <row r="340" spans="1:19">
      <c r="A340" s="102" t="s">
        <v>726</v>
      </c>
      <c r="B340" s="2">
        <v>45295</v>
      </c>
      <c r="C340" s="1" t="s">
        <v>119</v>
      </c>
      <c r="D340" s="1" t="s">
        <v>187</v>
      </c>
      <c r="E340" s="1" t="s">
        <v>297</v>
      </c>
      <c r="F340" s="83">
        <v>5</v>
      </c>
      <c r="G340" s="92">
        <v>3570</v>
      </c>
      <c r="H340" s="3">
        <v>12.8</v>
      </c>
      <c r="I340" s="3">
        <v>15565.2</v>
      </c>
      <c r="J340" s="1" t="s">
        <v>87</v>
      </c>
      <c r="K340" s="1" t="s">
        <v>117</v>
      </c>
      <c r="L340" t="str">
        <f>VLOOKUP(D340, Products!A:C, 3, FALSE)</f>
        <v>Electronics</v>
      </c>
      <c r="M340" t="str">
        <f>VLOOKUP(C340, Customers!A:E, 5, FALSE)</f>
        <v>Corporate</v>
      </c>
      <c r="N340">
        <f>VLOOKUP(C340, Customers!A:E, 3, FALSE)</f>
        <v>57</v>
      </c>
      <c r="O340" s="93" t="str">
        <f>VLOOKUP(E340, Sales_Reps!A:C, 3, FALSE)</f>
        <v>North</v>
      </c>
      <c r="P340">
        <f>VLOOKUP(D340, Products!A:E, 4, FALSE)</f>
        <v>1665</v>
      </c>
      <c r="Q340">
        <f>IF(COUNTIF($A$2:A340, A340)=2, 1, 0)</f>
        <v>0</v>
      </c>
      <c r="R340">
        <f>IF(ISNA(MATCH(C340, Customers!$A:$A, 0)), 1, 0)</f>
        <v>0</v>
      </c>
      <c r="S340" s="94" t="b">
        <f>VLOOKUP(D340, Products!A:F, 6, FALSE)</f>
        <v>1</v>
      </c>
    </row>
    <row r="341" spans="1:19">
      <c r="A341" s="102" t="s">
        <v>727</v>
      </c>
      <c r="B341" s="2">
        <v>45590</v>
      </c>
      <c r="C341" s="1" t="s">
        <v>256</v>
      </c>
      <c r="D341" s="1" t="s">
        <v>364</v>
      </c>
      <c r="E341" s="1" t="s">
        <v>229</v>
      </c>
      <c r="F341" s="83">
        <v>3</v>
      </c>
      <c r="G341" s="92">
        <v>5330</v>
      </c>
      <c r="H341" s="3">
        <v>16.2</v>
      </c>
      <c r="I341" s="3">
        <v>13399.62</v>
      </c>
      <c r="J341" s="1" t="s">
        <v>87</v>
      </c>
      <c r="K341" s="1" t="s">
        <v>133</v>
      </c>
      <c r="L341" t="str">
        <f>VLOOKUP(D341, Products!A:C, 3, FALSE)</f>
        <v>Electronics</v>
      </c>
      <c r="M341" t="str">
        <f>VLOOKUP(C341, Customers!A:E, 5, FALSE)</f>
        <v>Retail</v>
      </c>
      <c r="N341">
        <f>VLOOKUP(C341, Customers!A:E, 3, FALSE)</f>
        <v>27</v>
      </c>
      <c r="O341" s="93" t="str">
        <f>VLOOKUP(E341, Sales_Reps!A:C, 3, FALSE)</f>
        <v>West</v>
      </c>
      <c r="P341">
        <f>VLOOKUP(D341, Products!A:E, 4, FALSE)</f>
        <v>2405</v>
      </c>
      <c r="Q341">
        <f>IF(COUNTIF($A$2:A341, A341)=2, 1, 0)</f>
        <v>0</v>
      </c>
      <c r="R341">
        <f>IF(ISNA(MATCH(C341, Customers!$A:$A, 0)), 1, 0)</f>
        <v>0</v>
      </c>
      <c r="S341" s="94" t="b">
        <f>VLOOKUP(D341, Products!A:F, 6, FALSE)</f>
        <v>1</v>
      </c>
    </row>
    <row r="342" spans="1:19">
      <c r="A342" s="102" t="s">
        <v>728</v>
      </c>
      <c r="B342" s="2">
        <v>45341</v>
      </c>
      <c r="C342" s="1" t="s">
        <v>729</v>
      </c>
      <c r="D342" s="1" t="s">
        <v>102</v>
      </c>
      <c r="E342" s="1" t="s">
        <v>343</v>
      </c>
      <c r="F342" s="83">
        <v>3</v>
      </c>
      <c r="G342" s="92">
        <v>3660</v>
      </c>
      <c r="H342" s="3">
        <v>25.3</v>
      </c>
      <c r="I342" s="3">
        <v>8202.06</v>
      </c>
      <c r="J342" s="1" t="s">
        <v>87</v>
      </c>
      <c r="K342" s="1" t="s">
        <v>112</v>
      </c>
      <c r="L342" t="str">
        <f>VLOOKUP(D342, Products!A:C, 3, FALSE)</f>
        <v>Grocery</v>
      </c>
      <c r="M342" t="str">
        <f>VLOOKUP(C342, Customers!A:E, 5, FALSE)</f>
        <v>Retail</v>
      </c>
      <c r="N342">
        <f>VLOOKUP(C342, Customers!A:E, 3, FALSE)</f>
        <v>56</v>
      </c>
      <c r="O342" s="93" t="str">
        <f>VLOOKUP(E342, Sales_Reps!A:C, 3, FALSE)</f>
        <v>West</v>
      </c>
      <c r="P342">
        <f>VLOOKUP(D342, Products!A:E, 4, FALSE)</f>
        <v>2214</v>
      </c>
      <c r="Q342">
        <f>IF(COUNTIF($A$2:A342, A342)=2, 1, 0)</f>
        <v>0</v>
      </c>
      <c r="R342">
        <f>IF(ISNA(MATCH(C342, Customers!$A:$A, 0)), 1, 0)</f>
        <v>0</v>
      </c>
      <c r="S342" s="94" t="b">
        <f>VLOOKUP(D342, Products!A:F, 6, FALSE)</f>
        <v>0</v>
      </c>
    </row>
    <row r="343" spans="1:19">
      <c r="A343" s="102" t="s">
        <v>730</v>
      </c>
      <c r="B343" s="2">
        <v>45600</v>
      </c>
      <c r="C343" s="1" t="s">
        <v>673</v>
      </c>
      <c r="D343" s="1" t="s">
        <v>182</v>
      </c>
      <c r="E343" s="1" t="s">
        <v>188</v>
      </c>
      <c r="F343" s="83">
        <v>2</v>
      </c>
      <c r="G343" s="92">
        <v>1010</v>
      </c>
      <c r="H343" s="3">
        <v>29.2</v>
      </c>
      <c r="I343" s="3">
        <v>1430.16</v>
      </c>
      <c r="J343" s="1" t="s">
        <v>87</v>
      </c>
      <c r="K343" s="1" t="s">
        <v>112</v>
      </c>
      <c r="L343" t="str">
        <f>VLOOKUP(D343, Products!A:C, 3, FALSE)</f>
        <v>Sports</v>
      </c>
      <c r="M343" t="str">
        <f>VLOOKUP(C343, Customers!A:E, 5, FALSE)</f>
        <v>Retail</v>
      </c>
      <c r="N343">
        <f>VLOOKUP(C343, Customers!A:E, 3, FALSE)</f>
        <v>35</v>
      </c>
      <c r="O343" s="93" t="str">
        <f>VLOOKUP(E343, Sales_Reps!A:C, 3, FALSE)</f>
        <v>South</v>
      </c>
      <c r="P343">
        <f>VLOOKUP(D343, Products!A:E, 4, FALSE)</f>
        <v>516</v>
      </c>
      <c r="Q343">
        <f>IF(COUNTIF($A$2:A343, A343)=2, 1, 0)</f>
        <v>0</v>
      </c>
      <c r="R343">
        <f>IF(ISNA(MATCH(C343, Customers!$A:$A, 0)), 1, 0)</f>
        <v>0</v>
      </c>
      <c r="S343" s="94" t="b">
        <f>VLOOKUP(D343, Products!A:F, 6, FALSE)</f>
        <v>1</v>
      </c>
    </row>
    <row r="344" spans="1:19">
      <c r="A344" s="102" t="s">
        <v>731</v>
      </c>
      <c r="B344" s="2">
        <v>45506</v>
      </c>
      <c r="C344" s="1" t="s">
        <v>595</v>
      </c>
      <c r="D344" s="1" t="s">
        <v>164</v>
      </c>
      <c r="E344" s="1" t="s">
        <v>188</v>
      </c>
      <c r="F344" s="83">
        <v>1</v>
      </c>
      <c r="G344" s="92">
        <v>1080</v>
      </c>
      <c r="H344" s="3">
        <v>1.8</v>
      </c>
      <c r="I344" s="3">
        <v>1060.56</v>
      </c>
      <c r="J344" s="1" t="s">
        <v>87</v>
      </c>
      <c r="K344" s="1" t="s">
        <v>99</v>
      </c>
      <c r="L344" t="str">
        <f>VLOOKUP(D344, Products!A:C, 3, FALSE)</f>
        <v>Home</v>
      </c>
      <c r="M344" t="str">
        <f>VLOOKUP(C344, Customers!A:E, 5, FALSE)</f>
        <v>SMB</v>
      </c>
      <c r="N344">
        <f>VLOOKUP(C344, Customers!A:E, 3, FALSE)</f>
        <v>48</v>
      </c>
      <c r="O344" s="93" t="str">
        <f>VLOOKUP(E344, Sales_Reps!A:C, 3, FALSE)</f>
        <v>South</v>
      </c>
      <c r="P344">
        <f>VLOOKUP(D344, Products!A:E, 4, FALSE)</f>
        <v>519</v>
      </c>
      <c r="Q344">
        <f>IF(COUNTIF($A$2:A344, A344)=2, 1, 0)</f>
        <v>0</v>
      </c>
      <c r="R344">
        <f>IF(ISNA(MATCH(C344, Customers!$A:$A, 0)), 1, 0)</f>
        <v>0</v>
      </c>
      <c r="S344" s="94" t="b">
        <f>VLOOKUP(D344, Products!A:F, 6, FALSE)</f>
        <v>1</v>
      </c>
    </row>
    <row r="345" spans="1:19">
      <c r="A345" s="102" t="s">
        <v>732</v>
      </c>
      <c r="B345" s="2">
        <v>45414</v>
      </c>
      <c r="C345" s="1" t="s">
        <v>413</v>
      </c>
      <c r="D345" s="1" t="s">
        <v>161</v>
      </c>
      <c r="E345" s="1" t="s">
        <v>132</v>
      </c>
      <c r="F345" s="83">
        <v>8</v>
      </c>
      <c r="G345" s="92">
        <v>3450</v>
      </c>
      <c r="H345" s="3">
        <v>20.399999999999999</v>
      </c>
      <c r="I345" s="3">
        <v>21969.599999999999</v>
      </c>
      <c r="J345" s="1" t="s">
        <v>87</v>
      </c>
      <c r="K345" s="1" t="s">
        <v>88</v>
      </c>
      <c r="L345" t="str">
        <f>VLOOKUP(D345, Products!A:C, 3, FALSE)</f>
        <v>Sports</v>
      </c>
      <c r="M345" t="str">
        <f>VLOOKUP(C345, Customers!A:E, 5, FALSE)</f>
        <v>Retail</v>
      </c>
      <c r="N345">
        <f>VLOOKUP(C345, Customers!A:E, 3, FALSE)</f>
        <v>22</v>
      </c>
      <c r="O345" s="93" t="str">
        <f>VLOOKUP(E345, Sales_Reps!A:C, 3, FALSE)</f>
        <v>South</v>
      </c>
      <c r="P345">
        <f>VLOOKUP(D345, Products!A:E, 4, FALSE)</f>
        <v>2467</v>
      </c>
      <c r="Q345">
        <f>IF(COUNTIF($A$2:A345, A345)=2, 1, 0)</f>
        <v>0</v>
      </c>
      <c r="R345">
        <f>IF(ISNA(MATCH(C345, Customers!$A:$A, 0)), 1, 0)</f>
        <v>0</v>
      </c>
      <c r="S345" s="94" t="b">
        <f>VLOOKUP(D345, Products!A:F, 6, FALSE)</f>
        <v>1</v>
      </c>
    </row>
    <row r="346" spans="1:19">
      <c r="A346" s="102" t="s">
        <v>733</v>
      </c>
      <c r="B346" s="2">
        <v>45553</v>
      </c>
      <c r="C346" s="1" t="s">
        <v>371</v>
      </c>
      <c r="D346" s="1" t="s">
        <v>515</v>
      </c>
      <c r="E346" s="1" t="s">
        <v>188</v>
      </c>
      <c r="F346" s="83">
        <v>8</v>
      </c>
      <c r="G346" s="92">
        <v>6940</v>
      </c>
      <c r="H346" s="3">
        <v>19.399999999999999</v>
      </c>
      <c r="I346" s="3">
        <v>44749.120000000003</v>
      </c>
      <c r="J346" s="1" t="s">
        <v>87</v>
      </c>
      <c r="K346" s="1" t="s">
        <v>112</v>
      </c>
      <c r="L346" t="str">
        <f>VLOOKUP(D346, Products!A:C, 3, FALSE)</f>
        <v>Sports</v>
      </c>
      <c r="M346" t="str">
        <f>VLOOKUP(C346, Customers!A:E, 5, FALSE)</f>
        <v>Retail</v>
      </c>
      <c r="N346">
        <f>VLOOKUP(C346, Customers!A:E, 3, FALSE)</f>
        <v>42</v>
      </c>
      <c r="O346" s="93" t="str">
        <f>VLOOKUP(E346, Sales_Reps!A:C, 3, FALSE)</f>
        <v>South</v>
      </c>
      <c r="P346">
        <f>VLOOKUP(D346, Products!A:E, 4, FALSE)</f>
        <v>2827</v>
      </c>
      <c r="Q346">
        <f>IF(COUNTIF($A$2:A346, A346)=2, 1, 0)</f>
        <v>0</v>
      </c>
      <c r="R346">
        <f>IF(ISNA(MATCH(C346, Customers!$A:$A, 0)), 1, 0)</f>
        <v>0</v>
      </c>
      <c r="S346" s="94" t="b">
        <f>VLOOKUP(D346, Products!A:F, 6, FALSE)</f>
        <v>1</v>
      </c>
    </row>
    <row r="347" spans="1:19">
      <c r="A347" s="102" t="s">
        <v>734</v>
      </c>
      <c r="B347" s="2">
        <v>45434</v>
      </c>
      <c r="C347" s="1" t="s">
        <v>735</v>
      </c>
      <c r="D347" s="1" t="s">
        <v>259</v>
      </c>
      <c r="E347" s="1" t="s">
        <v>148</v>
      </c>
      <c r="F347" s="83">
        <v>2</v>
      </c>
      <c r="G347" s="92">
        <v>1540</v>
      </c>
      <c r="H347" s="3">
        <v>9.3000000000000007</v>
      </c>
      <c r="I347" s="3">
        <v>2793.56</v>
      </c>
      <c r="J347" s="1" t="s">
        <v>87</v>
      </c>
      <c r="K347" s="1" t="s">
        <v>88</v>
      </c>
      <c r="L347" t="str">
        <f>VLOOKUP(D347, Products!A:C, 3, FALSE)</f>
        <v>Beauty</v>
      </c>
      <c r="M347" t="str">
        <f>VLOOKUP(C347, Customers!A:E, 5, FALSE)</f>
        <v>Retail</v>
      </c>
      <c r="N347">
        <f>VLOOKUP(C347, Customers!A:E, 3, FALSE)</f>
        <v>54</v>
      </c>
      <c r="O347" s="93" t="str">
        <f>VLOOKUP(E347, Sales_Reps!A:C, 3, FALSE)</f>
        <v>North</v>
      </c>
      <c r="P347">
        <f>VLOOKUP(D347, Products!A:E, 4, FALSE)</f>
        <v>647</v>
      </c>
      <c r="Q347">
        <f>IF(COUNTIF($A$2:A347, A347)=2, 1, 0)</f>
        <v>0</v>
      </c>
      <c r="R347">
        <f>IF(ISNA(MATCH(C347, Customers!$A:$A, 0)), 1, 0)</f>
        <v>0</v>
      </c>
      <c r="S347" s="94" t="b">
        <f>VLOOKUP(D347, Products!A:F, 6, FALSE)</f>
        <v>0</v>
      </c>
    </row>
    <row r="348" spans="1:19">
      <c r="A348" s="102" t="s">
        <v>736</v>
      </c>
      <c r="B348" s="2">
        <v>45446</v>
      </c>
      <c r="C348" s="1" t="s">
        <v>197</v>
      </c>
      <c r="D348" s="1" t="s">
        <v>135</v>
      </c>
      <c r="E348" s="1" t="s">
        <v>188</v>
      </c>
      <c r="F348" s="83">
        <v>4</v>
      </c>
      <c r="G348" s="92">
        <v>2640</v>
      </c>
      <c r="H348" s="3">
        <v>23.2</v>
      </c>
      <c r="I348" s="3">
        <v>8110.08</v>
      </c>
      <c r="J348" s="1" t="s">
        <v>144</v>
      </c>
      <c r="K348" s="1" t="s">
        <v>88</v>
      </c>
      <c r="L348" t="str">
        <f>VLOOKUP(D348, Products!A:C, 3, FALSE)</f>
        <v>Electronics</v>
      </c>
      <c r="M348" t="str">
        <f>VLOOKUP(C348, Customers!A:E, 5, FALSE)</f>
        <v>Corporate</v>
      </c>
      <c r="N348">
        <f>VLOOKUP(C348, Customers!A:E, 3, FALSE)</f>
        <v>47</v>
      </c>
      <c r="O348" s="93" t="str">
        <f>VLOOKUP(E348, Sales_Reps!A:C, 3, FALSE)</f>
        <v>South</v>
      </c>
      <c r="P348">
        <f>VLOOKUP(D348, Products!A:E, 4, FALSE)</f>
        <v>1149</v>
      </c>
      <c r="Q348">
        <f>IF(COUNTIF($A$2:A348, A348)=2, 1, 0)</f>
        <v>0</v>
      </c>
      <c r="R348">
        <f>IF(ISNA(MATCH(C348, Customers!$A:$A, 0)), 1, 0)</f>
        <v>0</v>
      </c>
      <c r="S348" s="94" t="b">
        <f>VLOOKUP(D348, Products!A:F, 6, FALSE)</f>
        <v>1</v>
      </c>
    </row>
    <row r="349" spans="1:19">
      <c r="A349" s="102" t="s">
        <v>737</v>
      </c>
      <c r="B349" s="2">
        <v>45626</v>
      </c>
      <c r="C349" s="1" t="s">
        <v>738</v>
      </c>
      <c r="D349" s="1" t="s">
        <v>360</v>
      </c>
      <c r="E349" s="1" t="s">
        <v>116</v>
      </c>
      <c r="F349" s="83">
        <v>6</v>
      </c>
      <c r="G349" s="92">
        <v>5410</v>
      </c>
      <c r="H349" s="3">
        <v>29.4</v>
      </c>
      <c r="I349" s="3">
        <v>22916.76</v>
      </c>
      <c r="J349" s="1" t="s">
        <v>87</v>
      </c>
      <c r="K349" s="1" t="s">
        <v>88</v>
      </c>
      <c r="L349" t="str">
        <f>VLOOKUP(D349, Products!A:C, 3, FALSE)</f>
        <v>Sports</v>
      </c>
      <c r="M349" t="str">
        <f>VLOOKUP(C349, Customers!A:E, 5, FALSE)</f>
        <v>Retail</v>
      </c>
      <c r="N349">
        <f>VLOOKUP(C349, Customers!A:E, 3, FALSE)</f>
        <v>36</v>
      </c>
      <c r="O349" s="93" t="str">
        <f>VLOOKUP(E349, Sales_Reps!A:C, 3, FALSE)</f>
        <v>West</v>
      </c>
      <c r="P349">
        <f>VLOOKUP(D349, Products!A:E, 4, FALSE)</f>
        <v>2265</v>
      </c>
      <c r="Q349">
        <f>IF(COUNTIF($A$2:A349, A349)=2, 1, 0)</f>
        <v>0</v>
      </c>
      <c r="R349">
        <f>IF(ISNA(MATCH(C349, Customers!$A:$A, 0)), 1, 0)</f>
        <v>0</v>
      </c>
      <c r="S349" s="94" t="b">
        <f>VLOOKUP(D349, Products!A:F, 6, FALSE)</f>
        <v>1</v>
      </c>
    </row>
    <row r="350" spans="1:19">
      <c r="A350" s="102" t="s">
        <v>739</v>
      </c>
      <c r="B350" s="2">
        <v>45459</v>
      </c>
      <c r="C350" s="1" t="s">
        <v>357</v>
      </c>
      <c r="D350" s="1" t="s">
        <v>187</v>
      </c>
      <c r="E350" s="1" t="s">
        <v>343</v>
      </c>
      <c r="F350" s="83">
        <v>1</v>
      </c>
      <c r="G350" s="92">
        <v>3570</v>
      </c>
      <c r="H350" s="3">
        <v>4.3</v>
      </c>
      <c r="I350" s="3">
        <v>3416.49</v>
      </c>
      <c r="J350" s="1" t="s">
        <v>87</v>
      </c>
      <c r="K350" s="1" t="s">
        <v>99</v>
      </c>
      <c r="L350" t="str">
        <f>VLOOKUP(D350, Products!A:C, 3, FALSE)</f>
        <v>Electronics</v>
      </c>
      <c r="M350" t="str">
        <f>VLOOKUP(C350, Customers!A:E, 5, FALSE)</f>
        <v>SMB</v>
      </c>
      <c r="N350">
        <f>VLOOKUP(C350, Customers!A:E, 3, FALSE)</f>
        <v>38</v>
      </c>
      <c r="O350" s="93" t="str">
        <f>VLOOKUP(E350, Sales_Reps!A:C, 3, FALSE)</f>
        <v>West</v>
      </c>
      <c r="P350">
        <f>VLOOKUP(D350, Products!A:E, 4, FALSE)</f>
        <v>1665</v>
      </c>
      <c r="Q350">
        <f>IF(COUNTIF($A$2:A350, A350)=2, 1, 0)</f>
        <v>0</v>
      </c>
      <c r="R350">
        <f>IF(ISNA(MATCH(C350, Customers!$A:$A, 0)), 1, 0)</f>
        <v>0</v>
      </c>
      <c r="S350" s="94" t="b">
        <f>VLOOKUP(D350, Products!A:F, 6, FALSE)</f>
        <v>1</v>
      </c>
    </row>
    <row r="351" spans="1:19">
      <c r="A351" s="102" t="s">
        <v>740</v>
      </c>
      <c r="B351" s="2">
        <v>45520</v>
      </c>
      <c r="C351" s="1" t="s">
        <v>741</v>
      </c>
      <c r="D351" s="1" t="s">
        <v>110</v>
      </c>
      <c r="E351" s="1" t="s">
        <v>128</v>
      </c>
      <c r="F351" s="83">
        <v>2</v>
      </c>
      <c r="G351" s="92">
        <v>370</v>
      </c>
      <c r="H351" s="3">
        <v>7.2</v>
      </c>
      <c r="I351" s="3">
        <v>686.72</v>
      </c>
      <c r="J351" s="1" t="s">
        <v>87</v>
      </c>
      <c r="K351" s="1" t="s">
        <v>133</v>
      </c>
      <c r="L351" t="str">
        <f>VLOOKUP(D351, Products!A:C, 3, FALSE)</f>
        <v>Home</v>
      </c>
      <c r="M351" t="str">
        <f>VLOOKUP(C351, Customers!A:E, 5, FALSE)</f>
        <v>SMB</v>
      </c>
      <c r="N351">
        <f>VLOOKUP(C351, Customers!A:E, 3, FALSE)</f>
        <v>29</v>
      </c>
      <c r="O351" s="93" t="str">
        <f>VLOOKUP(E351, Sales_Reps!A:C, 3, FALSE)</f>
        <v>West</v>
      </c>
      <c r="P351">
        <f>VLOOKUP(D351, Products!A:E, 4, FALSE)</f>
        <v>288</v>
      </c>
      <c r="Q351">
        <f>IF(COUNTIF($A$2:A351, A351)=2, 1, 0)</f>
        <v>0</v>
      </c>
      <c r="R351">
        <f>IF(ISNA(MATCH(C351, Customers!$A:$A, 0)), 1, 0)</f>
        <v>0</v>
      </c>
      <c r="S351" s="94" t="b">
        <f>VLOOKUP(D351, Products!A:F, 6, FALSE)</f>
        <v>1</v>
      </c>
    </row>
    <row r="352" spans="1:19">
      <c r="A352" s="102" t="s">
        <v>742</v>
      </c>
      <c r="B352" s="2">
        <v>45314</v>
      </c>
      <c r="C352" s="1" t="s">
        <v>597</v>
      </c>
      <c r="D352" s="1" t="s">
        <v>355</v>
      </c>
      <c r="E352" s="1" t="s">
        <v>238</v>
      </c>
      <c r="F352" s="83">
        <v>1</v>
      </c>
      <c r="G352" s="92">
        <v>2510</v>
      </c>
      <c r="H352" s="3">
        <v>2.4</v>
      </c>
      <c r="I352" s="3">
        <v>2449.7600000000002</v>
      </c>
      <c r="J352" s="1" t="s">
        <v>87</v>
      </c>
      <c r="K352" s="1" t="s">
        <v>112</v>
      </c>
      <c r="L352" t="str">
        <f>VLOOKUP(D352, Products!A:C, 3, FALSE)</f>
        <v>Apparel</v>
      </c>
      <c r="M352" t="str">
        <f>VLOOKUP(C352, Customers!A:E, 5, FALSE)</f>
        <v>Retail</v>
      </c>
      <c r="N352">
        <f>VLOOKUP(C352, Customers!A:E, 3, FALSE)</f>
        <v>39</v>
      </c>
      <c r="O352" s="93" t="str">
        <f>VLOOKUP(E352, Sales_Reps!A:C, 3, FALSE)</f>
        <v>East</v>
      </c>
      <c r="P352">
        <f>VLOOKUP(D352, Products!A:E, 4, FALSE)</f>
        <v>1075</v>
      </c>
      <c r="Q352">
        <f>IF(COUNTIF($A$2:A352, A352)=2, 1, 0)</f>
        <v>0</v>
      </c>
      <c r="R352">
        <f>IF(ISNA(MATCH(C352, Customers!$A:$A, 0)), 1, 0)</f>
        <v>0</v>
      </c>
      <c r="S352" s="94" t="b">
        <f>VLOOKUP(D352, Products!A:F, 6, FALSE)</f>
        <v>0</v>
      </c>
    </row>
    <row r="353" spans="1:19">
      <c r="A353" s="102" t="s">
        <v>743</v>
      </c>
      <c r="B353" s="2">
        <v>45480</v>
      </c>
      <c r="C353" s="1" t="s">
        <v>744</v>
      </c>
      <c r="D353" s="1" t="s">
        <v>237</v>
      </c>
      <c r="E353" s="1" t="s">
        <v>285</v>
      </c>
      <c r="F353" s="83">
        <v>8</v>
      </c>
      <c r="G353" s="92">
        <v>3640</v>
      </c>
      <c r="H353" s="3">
        <v>28.7</v>
      </c>
      <c r="I353" s="3">
        <v>20762.560000000001</v>
      </c>
      <c r="J353" s="1" t="s">
        <v>93</v>
      </c>
      <c r="K353" s="1" t="s">
        <v>133</v>
      </c>
      <c r="L353" t="str">
        <f>VLOOKUP(D353, Products!A:C, 3, FALSE)</f>
        <v>Apparel</v>
      </c>
      <c r="M353" t="str">
        <f>VLOOKUP(C353, Customers!A:E, 5, FALSE)</f>
        <v>Retail</v>
      </c>
      <c r="N353">
        <f>VLOOKUP(C353, Customers!A:E, 3, FALSE)</f>
        <v>64</v>
      </c>
      <c r="O353" s="93" t="str">
        <f>VLOOKUP(E353, Sales_Reps!A:C, 3, FALSE)</f>
        <v>East</v>
      </c>
      <c r="P353">
        <f>VLOOKUP(D353, Products!A:E, 4, FALSE)</f>
        <v>2611</v>
      </c>
      <c r="Q353">
        <f>IF(COUNTIF($A$2:A353, A353)=2, 1, 0)</f>
        <v>0</v>
      </c>
      <c r="R353">
        <f>IF(ISNA(MATCH(C353, Customers!$A:$A, 0)), 1, 0)</f>
        <v>0</v>
      </c>
      <c r="S353" s="94" t="b">
        <f>VLOOKUP(D353, Products!A:F, 6, FALSE)</f>
        <v>1</v>
      </c>
    </row>
    <row r="354" spans="1:19">
      <c r="A354" s="102" t="s">
        <v>745</v>
      </c>
      <c r="B354" s="2">
        <v>45520</v>
      </c>
      <c r="C354" s="1" t="s">
        <v>186</v>
      </c>
      <c r="D354" s="1" t="s">
        <v>176</v>
      </c>
      <c r="E354" s="1" t="s">
        <v>229</v>
      </c>
      <c r="F354" s="83">
        <v>5</v>
      </c>
      <c r="G354" s="92">
        <v>1650</v>
      </c>
      <c r="H354" s="3">
        <v>13.4</v>
      </c>
      <c r="I354" s="3">
        <v>7144.5</v>
      </c>
      <c r="J354" s="1" t="s">
        <v>93</v>
      </c>
      <c r="K354" s="1" t="s">
        <v>94</v>
      </c>
      <c r="L354" t="str">
        <f>VLOOKUP(D354, Products!A:C, 3, FALSE)</f>
        <v>Beauty</v>
      </c>
      <c r="M354" t="str">
        <f>VLOOKUP(C354, Customers!A:E, 5, FALSE)</f>
        <v>SMB</v>
      </c>
      <c r="N354">
        <f>VLOOKUP(C354, Customers!A:E, 3, FALSE)</f>
        <v>52</v>
      </c>
      <c r="O354" s="93" t="str">
        <f>VLOOKUP(E354, Sales_Reps!A:C, 3, FALSE)</f>
        <v>West</v>
      </c>
      <c r="P354">
        <f>VLOOKUP(D354, Products!A:E, 4, FALSE)</f>
        <v>1222</v>
      </c>
      <c r="Q354">
        <f>IF(COUNTIF($A$2:A354, A354)=2, 1, 0)</f>
        <v>0</v>
      </c>
      <c r="R354">
        <f>IF(ISNA(MATCH(C354, Customers!$A:$A, 0)), 1, 0)</f>
        <v>0</v>
      </c>
      <c r="S354" s="94" t="b">
        <f>VLOOKUP(D354, Products!A:F, 6, FALSE)</f>
        <v>1</v>
      </c>
    </row>
    <row r="355" spans="1:19">
      <c r="A355" s="102" t="s">
        <v>746</v>
      </c>
      <c r="B355" s="2">
        <v>45360</v>
      </c>
      <c r="C355" s="1" t="s">
        <v>353</v>
      </c>
      <c r="D355" s="1" t="s">
        <v>380</v>
      </c>
      <c r="E355" s="1" t="s">
        <v>116</v>
      </c>
      <c r="F355" s="83">
        <v>9</v>
      </c>
      <c r="G355" s="92">
        <v>960</v>
      </c>
      <c r="H355" s="3">
        <v>28.6</v>
      </c>
      <c r="I355" s="3">
        <v>6168.96</v>
      </c>
      <c r="J355" s="1" t="s">
        <v>93</v>
      </c>
      <c r="K355" s="1" t="s">
        <v>94</v>
      </c>
      <c r="L355" t="str">
        <f>VLOOKUP(D355, Products!A:C, 3, FALSE)</f>
        <v>Beauty</v>
      </c>
      <c r="M355" t="str">
        <f>VLOOKUP(C355, Customers!A:E, 5, FALSE)</f>
        <v>Retail</v>
      </c>
      <c r="N355">
        <f>VLOOKUP(C355, Customers!A:E, 3, FALSE)</f>
        <v>60</v>
      </c>
      <c r="O355" s="93" t="str">
        <f>VLOOKUP(E355, Sales_Reps!A:C, 3, FALSE)</f>
        <v>West</v>
      </c>
      <c r="P355">
        <f>VLOOKUP(D355, Products!A:E, 4, FALSE)</f>
        <v>675</v>
      </c>
      <c r="Q355">
        <f>IF(COUNTIF($A$2:A355, A355)=2, 1, 0)</f>
        <v>0</v>
      </c>
      <c r="R355">
        <f>IF(ISNA(MATCH(C355, Customers!$A:$A, 0)), 1, 0)</f>
        <v>0</v>
      </c>
      <c r="S355" s="94" t="b">
        <f>VLOOKUP(D355, Products!A:F, 6, FALSE)</f>
        <v>1</v>
      </c>
    </row>
    <row r="356" spans="1:19">
      <c r="A356" s="102" t="s">
        <v>747</v>
      </c>
      <c r="B356" s="2">
        <v>45486</v>
      </c>
      <c r="C356" s="1" t="s">
        <v>231</v>
      </c>
      <c r="D356" s="1" t="s">
        <v>234</v>
      </c>
      <c r="E356" s="1" t="s">
        <v>158</v>
      </c>
      <c r="F356" s="83">
        <v>4</v>
      </c>
      <c r="G356" s="92">
        <v>3780</v>
      </c>
      <c r="H356" s="3">
        <v>25.3</v>
      </c>
      <c r="I356" s="3">
        <v>11294.64</v>
      </c>
      <c r="J356" s="1" t="s">
        <v>87</v>
      </c>
      <c r="K356" s="1" t="s">
        <v>117</v>
      </c>
      <c r="L356" t="str">
        <f>VLOOKUP(D356, Products!A:C, 3, FALSE)</f>
        <v>Grocery</v>
      </c>
      <c r="M356" t="str">
        <f>VLOOKUP(C356, Customers!A:E, 5, FALSE)</f>
        <v>SMB</v>
      </c>
      <c r="N356">
        <f>VLOOKUP(C356, Customers!A:E, 3, FALSE)</f>
        <v>64</v>
      </c>
      <c r="O356" s="93" t="str">
        <f>VLOOKUP(E356, Sales_Reps!A:C, 3, FALSE)</f>
        <v>East</v>
      </c>
      <c r="P356">
        <f>VLOOKUP(D356, Products!A:E, 4, FALSE)</f>
        <v>2436</v>
      </c>
      <c r="Q356">
        <f>IF(COUNTIF($A$2:A356, A356)=2, 1, 0)</f>
        <v>0</v>
      </c>
      <c r="R356">
        <f>IF(ISNA(MATCH(C356, Customers!$A:$A, 0)), 1, 0)</f>
        <v>0</v>
      </c>
      <c r="S356" s="94" t="b">
        <f>VLOOKUP(D356, Products!A:F, 6, FALSE)</f>
        <v>1</v>
      </c>
    </row>
    <row r="357" spans="1:19">
      <c r="A357" s="102" t="s">
        <v>748</v>
      </c>
      <c r="B357" s="2">
        <v>45544</v>
      </c>
      <c r="C357" s="1" t="s">
        <v>186</v>
      </c>
      <c r="D357" s="1" t="s">
        <v>176</v>
      </c>
      <c r="E357" s="1" t="s">
        <v>98</v>
      </c>
      <c r="F357" s="83">
        <v>4</v>
      </c>
      <c r="G357" s="92">
        <v>1650</v>
      </c>
      <c r="H357" s="3">
        <v>13.7</v>
      </c>
      <c r="I357" s="3">
        <v>5695.8</v>
      </c>
      <c r="J357" s="1" t="s">
        <v>140</v>
      </c>
      <c r="K357" s="1" t="s">
        <v>94</v>
      </c>
      <c r="L357" t="str">
        <f>VLOOKUP(D357, Products!A:C, 3, FALSE)</f>
        <v>Beauty</v>
      </c>
      <c r="M357" t="str">
        <f>VLOOKUP(C357, Customers!A:E, 5, FALSE)</f>
        <v>SMB</v>
      </c>
      <c r="N357">
        <f>VLOOKUP(C357, Customers!A:E, 3, FALSE)</f>
        <v>52</v>
      </c>
      <c r="O357" s="93" t="str">
        <f>VLOOKUP(E357, Sales_Reps!A:C, 3, FALSE)</f>
        <v>South</v>
      </c>
      <c r="P357">
        <f>VLOOKUP(D357, Products!A:E, 4, FALSE)</f>
        <v>1222</v>
      </c>
      <c r="Q357">
        <f>IF(COUNTIF($A$2:A357, A357)=2, 1, 0)</f>
        <v>0</v>
      </c>
      <c r="R357">
        <f>IF(ISNA(MATCH(C357, Customers!$A:$A, 0)), 1, 0)</f>
        <v>0</v>
      </c>
      <c r="S357" s="94" t="b">
        <f>VLOOKUP(D357, Products!A:F, 6, FALSE)</f>
        <v>1</v>
      </c>
    </row>
    <row r="358" spans="1:19">
      <c r="A358" s="102" t="s">
        <v>749</v>
      </c>
      <c r="B358" s="2">
        <v>45580</v>
      </c>
      <c r="C358" s="1" t="s">
        <v>539</v>
      </c>
      <c r="D358" s="1" t="s">
        <v>85</v>
      </c>
      <c r="E358" s="1" t="s">
        <v>325</v>
      </c>
      <c r="F358" s="83">
        <v>6</v>
      </c>
      <c r="G358" s="92">
        <v>3620</v>
      </c>
      <c r="H358" s="3">
        <v>21.3</v>
      </c>
      <c r="I358" s="3">
        <v>17093.64</v>
      </c>
      <c r="J358" s="1" t="s">
        <v>93</v>
      </c>
      <c r="K358" s="1" t="s">
        <v>133</v>
      </c>
      <c r="L358" t="str">
        <f>VLOOKUP(D358, Products!A:C, 3, FALSE)</f>
        <v>Apparel</v>
      </c>
      <c r="M358" t="str">
        <f>VLOOKUP(C358, Customers!A:E, 5, FALSE)</f>
        <v>Retail</v>
      </c>
      <c r="N358">
        <f>VLOOKUP(C358, Customers!A:E, 3, FALSE)</f>
        <v>38</v>
      </c>
      <c r="O358" s="93" t="str">
        <f>VLOOKUP(E358, Sales_Reps!A:C, 3, FALSE)</f>
        <v>South</v>
      </c>
      <c r="P358">
        <f>VLOOKUP(D358, Products!A:E, 4, FALSE)</f>
        <v>2509</v>
      </c>
      <c r="Q358">
        <f>IF(COUNTIF($A$2:A358, A358)=2, 1, 0)</f>
        <v>0</v>
      </c>
      <c r="R358">
        <f>IF(ISNA(MATCH(C358, Customers!$A:$A, 0)), 1, 0)</f>
        <v>0</v>
      </c>
      <c r="S358" s="94" t="b">
        <f>VLOOKUP(D358, Products!A:F, 6, FALSE)</f>
        <v>1</v>
      </c>
    </row>
    <row r="359" spans="1:19">
      <c r="A359" s="102" t="s">
        <v>750</v>
      </c>
      <c r="B359" s="2">
        <v>45312</v>
      </c>
      <c r="C359" s="1" t="s">
        <v>474</v>
      </c>
      <c r="D359" s="1" t="s">
        <v>245</v>
      </c>
      <c r="E359" s="1" t="s">
        <v>170</v>
      </c>
      <c r="F359" s="83">
        <v>10</v>
      </c>
      <c r="G359" s="92">
        <v>2270</v>
      </c>
      <c r="H359" s="3">
        <v>17.7</v>
      </c>
      <c r="I359" s="3">
        <v>18682.099999999999</v>
      </c>
      <c r="J359" s="1" t="s">
        <v>87</v>
      </c>
      <c r="K359" s="1" t="s">
        <v>99</v>
      </c>
      <c r="L359" t="str">
        <f>VLOOKUP(D359, Products!A:C, 3, FALSE)</f>
        <v>Grocery</v>
      </c>
      <c r="M359" t="str">
        <f>VLOOKUP(C359, Customers!A:E, 5, FALSE)</f>
        <v>SMB</v>
      </c>
      <c r="N359">
        <f>VLOOKUP(C359, Customers!A:E, 3, FALSE)</f>
        <v>59</v>
      </c>
      <c r="O359" s="93" t="str">
        <f>VLOOKUP(E359, Sales_Reps!A:C, 3, FALSE)</f>
        <v>West</v>
      </c>
      <c r="P359">
        <f>VLOOKUP(D359, Products!A:E, 4, FALSE)</f>
        <v>1412</v>
      </c>
      <c r="Q359">
        <f>IF(COUNTIF($A$2:A359, A359)=2, 1, 0)</f>
        <v>0</v>
      </c>
      <c r="R359">
        <f>IF(ISNA(MATCH(C359, Customers!$A:$A, 0)), 1, 0)</f>
        <v>0</v>
      </c>
      <c r="S359" s="94" t="b">
        <f>VLOOKUP(D359, Products!A:F, 6, FALSE)</f>
        <v>1</v>
      </c>
    </row>
    <row r="360" spans="1:19">
      <c r="A360" s="102" t="s">
        <v>751</v>
      </c>
      <c r="B360" s="2">
        <v>45447</v>
      </c>
      <c r="C360" s="1" t="s">
        <v>752</v>
      </c>
      <c r="D360" s="1" t="s">
        <v>259</v>
      </c>
      <c r="E360" s="1" t="s">
        <v>252</v>
      </c>
      <c r="F360" s="83">
        <v>9</v>
      </c>
      <c r="G360" s="92">
        <v>1540</v>
      </c>
      <c r="H360" s="3">
        <v>10.7</v>
      </c>
      <c r="I360" s="3">
        <v>12376.98</v>
      </c>
      <c r="J360" s="1" t="s">
        <v>87</v>
      </c>
      <c r="K360" s="1" t="s">
        <v>117</v>
      </c>
      <c r="L360" t="str">
        <f>VLOOKUP(D360, Products!A:C, 3, FALSE)</f>
        <v>Beauty</v>
      </c>
      <c r="M360" t="str">
        <f>VLOOKUP(C360, Customers!A:E, 5, FALSE)</f>
        <v>Retail</v>
      </c>
      <c r="N360">
        <f>VLOOKUP(C360, Customers!A:E, 3, FALSE)</f>
        <v>32</v>
      </c>
      <c r="O360" s="93" t="str">
        <f>VLOOKUP(E360, Sales_Reps!A:C, 3, FALSE)</f>
        <v>South</v>
      </c>
      <c r="P360">
        <f>VLOOKUP(D360, Products!A:E, 4, FALSE)</f>
        <v>647</v>
      </c>
      <c r="Q360">
        <f>IF(COUNTIF($A$2:A360, A360)=2, 1, 0)</f>
        <v>0</v>
      </c>
      <c r="R360">
        <f>IF(ISNA(MATCH(C360, Customers!$A:$A, 0)), 1, 0)</f>
        <v>0</v>
      </c>
      <c r="S360" s="94" t="b">
        <f>VLOOKUP(D360, Products!A:F, 6, FALSE)</f>
        <v>0</v>
      </c>
    </row>
    <row r="361" spans="1:19">
      <c r="A361" s="102" t="s">
        <v>753</v>
      </c>
      <c r="B361" s="2">
        <v>45607</v>
      </c>
      <c r="C361" s="1" t="s">
        <v>208</v>
      </c>
      <c r="D361" s="1" t="s">
        <v>195</v>
      </c>
      <c r="E361" s="1" t="s">
        <v>158</v>
      </c>
      <c r="F361" s="83">
        <v>9</v>
      </c>
      <c r="G361" s="92">
        <v>2860</v>
      </c>
      <c r="H361" s="3">
        <v>12.9</v>
      </c>
      <c r="I361" s="3">
        <v>22419.54</v>
      </c>
      <c r="J361" s="1" t="s">
        <v>87</v>
      </c>
      <c r="K361" s="1" t="s">
        <v>133</v>
      </c>
      <c r="L361" t="str">
        <f>VLOOKUP(D361, Products!A:C, 3, FALSE)</f>
        <v>Sports</v>
      </c>
      <c r="M361" t="str">
        <f>VLOOKUP(C361, Customers!A:E, 5, FALSE)</f>
        <v>Retail</v>
      </c>
      <c r="N361">
        <f>VLOOKUP(C361, Customers!A:E, 3, FALSE)</f>
        <v>26</v>
      </c>
      <c r="O361" s="93" t="str">
        <f>VLOOKUP(E361, Sales_Reps!A:C, 3, FALSE)</f>
        <v>East</v>
      </c>
      <c r="P361">
        <f>VLOOKUP(D361, Products!A:E, 4, FALSE)</f>
        <v>2028</v>
      </c>
      <c r="Q361">
        <f>IF(COUNTIF($A$2:A361, A361)=2, 1, 0)</f>
        <v>0</v>
      </c>
      <c r="R361">
        <f>IF(ISNA(MATCH(C361, Customers!$A:$A, 0)), 1, 0)</f>
        <v>0</v>
      </c>
      <c r="S361" s="94" t="b">
        <f>VLOOKUP(D361, Products!A:F, 6, FALSE)</f>
        <v>1</v>
      </c>
    </row>
    <row r="362" spans="1:19">
      <c r="A362" s="102" t="s">
        <v>754</v>
      </c>
      <c r="B362" s="2">
        <v>45379</v>
      </c>
      <c r="C362" s="1" t="s">
        <v>700</v>
      </c>
      <c r="D362" s="1" t="s">
        <v>338</v>
      </c>
      <c r="E362" s="1" t="s">
        <v>346</v>
      </c>
      <c r="F362" s="83">
        <v>5</v>
      </c>
      <c r="G362" s="92">
        <v>2210</v>
      </c>
      <c r="H362" s="3">
        <v>5.0999999999999996</v>
      </c>
      <c r="I362" s="3">
        <v>10486.45</v>
      </c>
      <c r="J362" s="1" t="s">
        <v>87</v>
      </c>
      <c r="K362" s="1" t="s">
        <v>94</v>
      </c>
      <c r="L362" t="str">
        <f>VLOOKUP(D362, Products!A:C, 3, FALSE)</f>
        <v>Grocery</v>
      </c>
      <c r="M362" t="str">
        <f>VLOOKUP(C362, Customers!A:E, 5, FALSE)</f>
        <v>SMB</v>
      </c>
      <c r="N362">
        <f>VLOOKUP(C362, Customers!A:E, 3, FALSE)</f>
        <v>46</v>
      </c>
      <c r="O362" s="93" t="str">
        <f>VLOOKUP(E362, Sales_Reps!A:C, 3, FALSE)</f>
        <v>South</v>
      </c>
      <c r="P362">
        <f>VLOOKUP(D362, Products!A:E, 4, FALSE)</f>
        <v>1010</v>
      </c>
      <c r="Q362">
        <f>IF(COUNTIF($A$2:A362, A362)=2, 1, 0)</f>
        <v>0</v>
      </c>
      <c r="R362">
        <f>IF(ISNA(MATCH(C362, Customers!$A:$A, 0)), 1, 0)</f>
        <v>0</v>
      </c>
      <c r="S362" s="94" t="b">
        <f>VLOOKUP(D362, Products!A:F, 6, FALSE)</f>
        <v>1</v>
      </c>
    </row>
    <row r="363" spans="1:19">
      <c r="A363" s="102" t="s">
        <v>755</v>
      </c>
      <c r="B363" s="2">
        <v>45591</v>
      </c>
      <c r="C363" s="1" t="s">
        <v>378</v>
      </c>
      <c r="D363" s="1" t="s">
        <v>267</v>
      </c>
      <c r="E363" s="1" t="s">
        <v>229</v>
      </c>
      <c r="F363" s="83">
        <v>1</v>
      </c>
      <c r="G363" s="92">
        <v>1220</v>
      </c>
      <c r="H363" s="3">
        <v>16.100000000000001</v>
      </c>
      <c r="I363" s="3">
        <v>1023.58</v>
      </c>
      <c r="J363" s="1" t="s">
        <v>87</v>
      </c>
      <c r="K363" s="1" t="s">
        <v>94</v>
      </c>
      <c r="L363" t="str">
        <f>VLOOKUP(D363, Products!A:C, 3, FALSE)</f>
        <v>Electronics</v>
      </c>
      <c r="M363" t="str">
        <f>VLOOKUP(C363, Customers!A:E, 5, FALSE)</f>
        <v>SMB</v>
      </c>
      <c r="N363">
        <f>VLOOKUP(C363, Customers!A:E, 3, FALSE)</f>
        <v>53</v>
      </c>
      <c r="O363" s="93" t="str">
        <f>VLOOKUP(E363, Sales_Reps!A:C, 3, FALSE)</f>
        <v>West</v>
      </c>
      <c r="P363">
        <f>VLOOKUP(D363, Products!A:E, 4, FALSE)</f>
        <v>517</v>
      </c>
      <c r="Q363">
        <f>IF(COUNTIF($A$2:A363, A363)=2, 1, 0)</f>
        <v>0</v>
      </c>
      <c r="R363">
        <f>IF(ISNA(MATCH(C363, Customers!$A:$A, 0)), 1, 0)</f>
        <v>0</v>
      </c>
      <c r="S363" s="94" t="b">
        <f>VLOOKUP(D363, Products!A:F, 6, FALSE)</f>
        <v>1</v>
      </c>
    </row>
    <row r="364" spans="1:19">
      <c r="A364" s="102" t="s">
        <v>756</v>
      </c>
      <c r="B364" s="2">
        <v>45561</v>
      </c>
      <c r="C364" s="1" t="s">
        <v>757</v>
      </c>
      <c r="D364" s="1" t="s">
        <v>187</v>
      </c>
      <c r="E364" s="1" t="s">
        <v>103</v>
      </c>
      <c r="F364" s="83">
        <v>2</v>
      </c>
      <c r="G364" s="92">
        <v>3570</v>
      </c>
      <c r="H364" s="3">
        <v>1.1000000000000001</v>
      </c>
      <c r="I364" s="3">
        <v>7061.46</v>
      </c>
      <c r="J364" s="1" t="s">
        <v>87</v>
      </c>
      <c r="K364" s="1" t="s">
        <v>117</v>
      </c>
      <c r="L364" t="str">
        <f>VLOOKUP(D364, Products!A:C, 3, FALSE)</f>
        <v>Electronics</v>
      </c>
      <c r="M364" t="str">
        <f>VLOOKUP(C364, Customers!A:E, 5, FALSE)</f>
        <v>Corporate</v>
      </c>
      <c r="N364">
        <f>VLOOKUP(C364, Customers!A:E, 3, FALSE)</f>
        <v>43</v>
      </c>
      <c r="O364" s="93" t="str">
        <f>VLOOKUP(E364, Sales_Reps!A:C, 3, FALSE)</f>
        <v>North</v>
      </c>
      <c r="P364">
        <f>VLOOKUP(D364, Products!A:E, 4, FALSE)</f>
        <v>1665</v>
      </c>
      <c r="Q364">
        <f>IF(COUNTIF($A$2:A364, A364)=2, 1, 0)</f>
        <v>0</v>
      </c>
      <c r="R364">
        <f>IF(ISNA(MATCH(C364, Customers!$A:$A, 0)), 1, 0)</f>
        <v>0</v>
      </c>
      <c r="S364" s="94" t="b">
        <f>VLOOKUP(D364, Products!A:F, 6, FALSE)</f>
        <v>1</v>
      </c>
    </row>
    <row r="365" spans="1:19">
      <c r="A365" s="102" t="s">
        <v>758</v>
      </c>
      <c r="B365" s="2">
        <v>45308</v>
      </c>
      <c r="C365" s="1" t="s">
        <v>759</v>
      </c>
      <c r="D365" s="1" t="s">
        <v>452</v>
      </c>
      <c r="E365" s="1" t="s">
        <v>346</v>
      </c>
      <c r="F365" s="83">
        <v>10</v>
      </c>
      <c r="G365" s="92">
        <v>3450</v>
      </c>
      <c r="H365" s="3">
        <v>12.6</v>
      </c>
      <c r="I365" s="3">
        <v>30153</v>
      </c>
      <c r="J365" s="1" t="s">
        <v>87</v>
      </c>
      <c r="K365" s="1" t="s">
        <v>117</v>
      </c>
      <c r="L365" t="str">
        <f>VLOOKUP(D365, Products!A:C, 3, FALSE)</f>
        <v>Apparel</v>
      </c>
      <c r="M365" t="str">
        <f>VLOOKUP(C365, Customers!A:E, 5, FALSE)</f>
        <v>Retail</v>
      </c>
      <c r="N365">
        <f>VLOOKUP(C365, Customers!A:E, 3, FALSE)</f>
        <v>29</v>
      </c>
      <c r="O365" s="93" t="str">
        <f>VLOOKUP(E365, Sales_Reps!A:C, 3, FALSE)</f>
        <v>South</v>
      </c>
      <c r="P365">
        <f>VLOOKUP(D365, Products!A:E, 4, FALSE)</f>
        <v>1748</v>
      </c>
      <c r="Q365">
        <f>IF(COUNTIF($A$2:A365, A365)=2, 1, 0)</f>
        <v>0</v>
      </c>
      <c r="R365">
        <f>IF(ISNA(MATCH(C365, Customers!$A:$A, 0)), 1, 0)</f>
        <v>0</v>
      </c>
      <c r="S365" s="94" t="b">
        <f>VLOOKUP(D365, Products!A:F, 6, FALSE)</f>
        <v>1</v>
      </c>
    </row>
    <row r="366" spans="1:19">
      <c r="A366" s="102" t="s">
        <v>760</v>
      </c>
      <c r="B366" s="2">
        <v>45563</v>
      </c>
      <c r="C366" s="1" t="s">
        <v>738</v>
      </c>
      <c r="D366" s="1" t="s">
        <v>338</v>
      </c>
      <c r="E366" s="1" t="s">
        <v>158</v>
      </c>
      <c r="F366" s="83">
        <v>4</v>
      </c>
      <c r="G366" s="92">
        <v>2210</v>
      </c>
      <c r="H366" s="3">
        <v>5.4</v>
      </c>
      <c r="I366" s="3">
        <v>8362.64</v>
      </c>
      <c r="J366" s="1" t="s">
        <v>87</v>
      </c>
      <c r="K366" s="1" t="s">
        <v>88</v>
      </c>
      <c r="L366" t="str">
        <f>VLOOKUP(D366, Products!A:C, 3, FALSE)</f>
        <v>Grocery</v>
      </c>
      <c r="M366" t="str">
        <f>VLOOKUP(C366, Customers!A:E, 5, FALSE)</f>
        <v>Retail</v>
      </c>
      <c r="N366">
        <f>VLOOKUP(C366, Customers!A:E, 3, FALSE)</f>
        <v>36</v>
      </c>
      <c r="O366" s="93" t="str">
        <f>VLOOKUP(E366, Sales_Reps!A:C, 3, FALSE)</f>
        <v>East</v>
      </c>
      <c r="P366">
        <f>VLOOKUP(D366, Products!A:E, 4, FALSE)</f>
        <v>1010</v>
      </c>
      <c r="Q366">
        <f>IF(COUNTIF($A$2:A366, A366)=2, 1, 0)</f>
        <v>0</v>
      </c>
      <c r="R366">
        <f>IF(ISNA(MATCH(C366, Customers!$A:$A, 0)), 1, 0)</f>
        <v>0</v>
      </c>
      <c r="S366" s="94" t="b">
        <f>VLOOKUP(D366, Products!A:F, 6, FALSE)</f>
        <v>1</v>
      </c>
    </row>
    <row r="367" spans="1:19">
      <c r="A367" s="102" t="s">
        <v>761</v>
      </c>
      <c r="B367" s="2">
        <v>45476</v>
      </c>
      <c r="C367" s="1" t="s">
        <v>762</v>
      </c>
      <c r="D367" s="1" t="s">
        <v>502</v>
      </c>
      <c r="E367" s="1" t="s">
        <v>98</v>
      </c>
      <c r="F367" s="83">
        <v>6</v>
      </c>
      <c r="G367" s="92">
        <v>1090</v>
      </c>
      <c r="H367" s="3">
        <v>2.9</v>
      </c>
      <c r="I367" s="3">
        <v>6350.34</v>
      </c>
      <c r="J367" s="1" t="s">
        <v>140</v>
      </c>
      <c r="K367" s="1" t="s">
        <v>133</v>
      </c>
      <c r="L367" t="str">
        <f>VLOOKUP(D367, Products!A:C, 3, FALSE)</f>
        <v>Home</v>
      </c>
      <c r="M367" t="str">
        <f>VLOOKUP(C367, Customers!A:E, 5, FALSE)</f>
        <v>Retail</v>
      </c>
      <c r="N367">
        <f>VLOOKUP(C367, Customers!A:E, 3, FALSE)</f>
        <v>52</v>
      </c>
      <c r="O367" s="93" t="str">
        <f>VLOOKUP(E367, Sales_Reps!A:C, 3, FALSE)</f>
        <v>South</v>
      </c>
      <c r="P367">
        <f>VLOOKUP(D367, Products!A:E, 4, FALSE)</f>
        <v>464</v>
      </c>
      <c r="Q367">
        <f>IF(COUNTIF($A$2:A367, A367)=2, 1, 0)</f>
        <v>0</v>
      </c>
      <c r="R367">
        <f>IF(ISNA(MATCH(C367, Customers!$A:$A, 0)), 1, 0)</f>
        <v>0</v>
      </c>
      <c r="S367" s="94" t="b">
        <f>VLOOKUP(D367, Products!A:F, 6, FALSE)</f>
        <v>1</v>
      </c>
    </row>
    <row r="368" spans="1:19">
      <c r="A368" s="102" t="s">
        <v>763</v>
      </c>
      <c r="B368" s="2">
        <v>45364</v>
      </c>
      <c r="C368" s="1" t="s">
        <v>764</v>
      </c>
      <c r="D368" s="1" t="s">
        <v>259</v>
      </c>
      <c r="E368" s="1" t="s">
        <v>238</v>
      </c>
      <c r="F368" s="83">
        <v>8</v>
      </c>
      <c r="G368" s="92">
        <v>1540</v>
      </c>
      <c r="H368" s="3">
        <v>17.899999999999999</v>
      </c>
      <c r="I368" s="3">
        <v>10114.719999999999</v>
      </c>
      <c r="J368" s="1" t="s">
        <v>93</v>
      </c>
      <c r="K368" s="1" t="s">
        <v>94</v>
      </c>
      <c r="L368" t="str">
        <f>VLOOKUP(D368, Products!A:C, 3, FALSE)</f>
        <v>Beauty</v>
      </c>
      <c r="M368" t="str">
        <f>VLOOKUP(C368, Customers!A:E, 5, FALSE)</f>
        <v>SMB</v>
      </c>
      <c r="N368">
        <f>VLOOKUP(C368, Customers!A:E, 3, FALSE)</f>
        <v>26</v>
      </c>
      <c r="O368" s="93" t="str">
        <f>VLOOKUP(E368, Sales_Reps!A:C, 3, FALSE)</f>
        <v>East</v>
      </c>
      <c r="P368">
        <f>VLOOKUP(D368, Products!A:E, 4, FALSE)</f>
        <v>647</v>
      </c>
      <c r="Q368">
        <f>IF(COUNTIF($A$2:A368, A368)=2, 1, 0)</f>
        <v>0</v>
      </c>
      <c r="R368">
        <f>IF(ISNA(MATCH(C368, Customers!$A:$A, 0)), 1, 0)</f>
        <v>0</v>
      </c>
      <c r="S368" s="94" t="b">
        <f>VLOOKUP(D368, Products!A:F, 6, FALSE)</f>
        <v>0</v>
      </c>
    </row>
    <row r="369" spans="1:19">
      <c r="A369" s="102" t="s">
        <v>765</v>
      </c>
      <c r="B369" s="2">
        <v>45371</v>
      </c>
      <c r="C369" s="1" t="s">
        <v>485</v>
      </c>
      <c r="D369" s="1" t="s">
        <v>138</v>
      </c>
      <c r="E369" s="1" t="s">
        <v>128</v>
      </c>
      <c r="F369" s="83">
        <v>9</v>
      </c>
      <c r="G369" s="92">
        <v>2600</v>
      </c>
      <c r="H369" s="3">
        <v>4.0999999999999996</v>
      </c>
      <c r="I369" s="3">
        <v>22440.6</v>
      </c>
      <c r="J369" s="1" t="s">
        <v>87</v>
      </c>
      <c r="K369" s="1" t="s">
        <v>88</v>
      </c>
      <c r="L369" t="str">
        <f>VLOOKUP(D369, Products!A:C, 3, FALSE)</f>
        <v>Electronics</v>
      </c>
      <c r="M369" t="str">
        <f>VLOOKUP(C369, Customers!A:E, 5, FALSE)</f>
        <v>Retail</v>
      </c>
      <c r="N369">
        <f>VLOOKUP(C369, Customers!A:E, 3, FALSE)</f>
        <v>49</v>
      </c>
      <c r="O369" s="93" t="str">
        <f>VLOOKUP(E369, Sales_Reps!A:C, 3, FALSE)</f>
        <v>West</v>
      </c>
      <c r="P369">
        <f>VLOOKUP(D369, Products!A:E, 4, FALSE)</f>
        <v>1052</v>
      </c>
      <c r="Q369">
        <f>IF(COUNTIF($A$2:A369, A369)=2, 1, 0)</f>
        <v>0</v>
      </c>
      <c r="R369">
        <f>IF(ISNA(MATCH(C369, Customers!$A:$A, 0)), 1, 0)</f>
        <v>0</v>
      </c>
      <c r="S369" s="94" t="b">
        <f>VLOOKUP(D369, Products!A:F, 6, FALSE)</f>
        <v>1</v>
      </c>
    </row>
    <row r="370" spans="1:19">
      <c r="A370" s="102" t="s">
        <v>766</v>
      </c>
      <c r="B370" s="2">
        <v>45623</v>
      </c>
      <c r="C370" s="1" t="s">
        <v>680</v>
      </c>
      <c r="D370" s="1" t="s">
        <v>147</v>
      </c>
      <c r="E370" s="1" t="s">
        <v>86</v>
      </c>
      <c r="F370" s="83">
        <v>2</v>
      </c>
      <c r="G370" s="92">
        <v>190</v>
      </c>
      <c r="H370" s="3">
        <v>4.8</v>
      </c>
      <c r="I370" s="3">
        <v>361.76</v>
      </c>
      <c r="J370" s="1" t="s">
        <v>87</v>
      </c>
      <c r="K370" s="1" t="s">
        <v>94</v>
      </c>
      <c r="L370" t="str">
        <f>VLOOKUP(D370, Products!A:C, 3, FALSE)</f>
        <v>Sports</v>
      </c>
      <c r="M370" t="str">
        <f>VLOOKUP(C370, Customers!A:E, 5, FALSE)</f>
        <v>Retail</v>
      </c>
      <c r="N370">
        <f>VLOOKUP(C370, Customers!A:E, 3, FALSE)</f>
        <v>26</v>
      </c>
      <c r="O370" s="93" t="str">
        <f>VLOOKUP(E370, Sales_Reps!A:C, 3, FALSE)</f>
        <v>North</v>
      </c>
      <c r="P370">
        <f>VLOOKUP(D370, Products!A:E, 4, FALSE)</f>
        <v>147</v>
      </c>
      <c r="Q370">
        <f>IF(COUNTIF($A$2:A370, A370)=2, 1, 0)</f>
        <v>0</v>
      </c>
      <c r="R370">
        <f>IF(ISNA(MATCH(C370, Customers!$A:$A, 0)), 1, 0)</f>
        <v>0</v>
      </c>
      <c r="S370" s="94" t="b">
        <f>VLOOKUP(D370, Products!A:F, 6, FALSE)</f>
        <v>1</v>
      </c>
    </row>
    <row r="371" spans="1:19">
      <c r="A371" s="102" t="s">
        <v>767</v>
      </c>
      <c r="B371" s="2">
        <v>45441</v>
      </c>
      <c r="C371" s="1" t="s">
        <v>768</v>
      </c>
      <c r="D371" s="1" t="s">
        <v>167</v>
      </c>
      <c r="E371" s="1" t="s">
        <v>98</v>
      </c>
      <c r="F371" s="83">
        <v>9</v>
      </c>
      <c r="G371" s="92">
        <v>2480</v>
      </c>
      <c r="H371" s="3">
        <v>28.3</v>
      </c>
      <c r="I371" s="3">
        <v>16003.44</v>
      </c>
      <c r="J371" s="1" t="s">
        <v>87</v>
      </c>
      <c r="K371" s="1" t="s">
        <v>88</v>
      </c>
      <c r="L371" t="str">
        <f>VLOOKUP(D371, Products!A:C, 3, FALSE)</f>
        <v>Apparel</v>
      </c>
      <c r="M371" t="str">
        <f>VLOOKUP(C371, Customers!A:E, 5, FALSE)</f>
        <v>Corporate</v>
      </c>
      <c r="N371">
        <f>VLOOKUP(C371, Customers!A:E, 3, FALSE)</f>
        <v>42</v>
      </c>
      <c r="O371" s="93" t="str">
        <f>VLOOKUP(E371, Sales_Reps!A:C, 3, FALSE)</f>
        <v>South</v>
      </c>
      <c r="P371">
        <f>VLOOKUP(D371, Products!A:E, 4, FALSE)</f>
        <v>1173</v>
      </c>
      <c r="Q371">
        <f>IF(COUNTIF($A$2:A371, A371)=2, 1, 0)</f>
        <v>0</v>
      </c>
      <c r="R371">
        <f>IF(ISNA(MATCH(C371, Customers!$A:$A, 0)), 1, 0)</f>
        <v>0</v>
      </c>
      <c r="S371" s="94" t="b">
        <f>VLOOKUP(D371, Products!A:F, 6, FALSE)</f>
        <v>1</v>
      </c>
    </row>
    <row r="372" spans="1:19">
      <c r="A372" s="102" t="s">
        <v>769</v>
      </c>
      <c r="B372" s="2">
        <v>45442</v>
      </c>
      <c r="C372" s="1" t="s">
        <v>770</v>
      </c>
      <c r="D372" s="1" t="s">
        <v>386</v>
      </c>
      <c r="E372" s="1" t="s">
        <v>103</v>
      </c>
      <c r="F372" s="83">
        <v>7</v>
      </c>
      <c r="G372" s="92">
        <v>2290</v>
      </c>
      <c r="H372" s="3">
        <v>25</v>
      </c>
      <c r="I372" s="3">
        <v>12022.5</v>
      </c>
      <c r="J372" s="1" t="s">
        <v>140</v>
      </c>
      <c r="K372" s="1" t="s">
        <v>88</v>
      </c>
      <c r="L372" t="str">
        <f>VLOOKUP(D372, Products!A:C, 3, FALSE)</f>
        <v>Beauty</v>
      </c>
      <c r="M372" t="str">
        <f>VLOOKUP(C372, Customers!A:E, 5, FALSE)</f>
        <v>Retail</v>
      </c>
      <c r="N372">
        <f>VLOOKUP(C372, Customers!A:E, 3, FALSE)</f>
        <v>35</v>
      </c>
      <c r="O372" s="93" t="str">
        <f>VLOOKUP(E372, Sales_Reps!A:C, 3, FALSE)</f>
        <v>North</v>
      </c>
      <c r="P372">
        <f>VLOOKUP(D372, Products!A:E, 4, FALSE)</f>
        <v>1219</v>
      </c>
      <c r="Q372">
        <f>IF(COUNTIF($A$2:A372, A372)=2, 1, 0)</f>
        <v>0</v>
      </c>
      <c r="R372">
        <f>IF(ISNA(MATCH(C372, Customers!$A:$A, 0)), 1, 0)</f>
        <v>0</v>
      </c>
      <c r="S372" s="94" t="b">
        <f>VLOOKUP(D372, Products!A:F, 6, FALSE)</f>
        <v>1</v>
      </c>
    </row>
    <row r="373" spans="1:19">
      <c r="A373" s="102" t="s">
        <v>771</v>
      </c>
      <c r="B373" s="2">
        <v>45567</v>
      </c>
      <c r="C373" s="1" t="s">
        <v>236</v>
      </c>
      <c r="D373" s="1" t="s">
        <v>259</v>
      </c>
      <c r="E373" s="1" t="s">
        <v>188</v>
      </c>
      <c r="F373" s="83">
        <v>9</v>
      </c>
      <c r="G373" s="92">
        <v>1540</v>
      </c>
      <c r="H373" s="3">
        <v>23.3</v>
      </c>
      <c r="I373" s="3">
        <v>10630.62</v>
      </c>
      <c r="J373" s="1" t="s">
        <v>87</v>
      </c>
      <c r="K373" s="1" t="s">
        <v>133</v>
      </c>
      <c r="L373" t="str">
        <f>VLOOKUP(D373, Products!A:C, 3, FALSE)</f>
        <v>Beauty</v>
      </c>
      <c r="M373" t="str">
        <f>VLOOKUP(C373, Customers!A:E, 5, FALSE)</f>
        <v>Retail</v>
      </c>
      <c r="N373">
        <f>VLOOKUP(C373, Customers!A:E, 3, FALSE)</f>
        <v>64</v>
      </c>
      <c r="O373" s="93" t="str">
        <f>VLOOKUP(E373, Sales_Reps!A:C, 3, FALSE)</f>
        <v>South</v>
      </c>
      <c r="P373">
        <f>VLOOKUP(D373, Products!A:E, 4, FALSE)</f>
        <v>647</v>
      </c>
      <c r="Q373">
        <f>IF(COUNTIF($A$2:A373, A373)=2, 1, 0)</f>
        <v>0</v>
      </c>
      <c r="R373">
        <f>IF(ISNA(MATCH(C373, Customers!$A:$A, 0)), 1, 0)</f>
        <v>0</v>
      </c>
      <c r="S373" s="94" t="b">
        <f>VLOOKUP(D373, Products!A:F, 6, FALSE)</f>
        <v>0</v>
      </c>
    </row>
    <row r="374" spans="1:19">
      <c r="A374" s="102" t="s">
        <v>772</v>
      </c>
      <c r="B374" s="2">
        <v>45653</v>
      </c>
      <c r="C374" s="1" t="s">
        <v>359</v>
      </c>
      <c r="D374" s="1" t="s">
        <v>443</v>
      </c>
      <c r="E374" s="1" t="s">
        <v>111</v>
      </c>
      <c r="F374" s="83">
        <v>2</v>
      </c>
      <c r="G374" s="92">
        <v>5080</v>
      </c>
      <c r="H374" s="3">
        <v>2.5</v>
      </c>
      <c r="I374" s="3">
        <v>9906</v>
      </c>
      <c r="J374" s="1" t="s">
        <v>140</v>
      </c>
      <c r="K374" s="1" t="s">
        <v>99</v>
      </c>
      <c r="L374" t="str">
        <f>VLOOKUP(D374, Products!A:C, 3, FALSE)</f>
        <v>Home</v>
      </c>
      <c r="M374" t="str">
        <f>VLOOKUP(C374, Customers!A:E, 5, FALSE)</f>
        <v>SMB</v>
      </c>
      <c r="N374">
        <f>VLOOKUP(C374, Customers!A:E, 3, FALSE)</f>
        <v>28</v>
      </c>
      <c r="O374" s="93" t="str">
        <f>VLOOKUP(E374, Sales_Reps!A:C, 3, FALSE)</f>
        <v>West</v>
      </c>
      <c r="P374">
        <f>VLOOKUP(D374, Products!A:E, 4, FALSE)</f>
        <v>2459</v>
      </c>
      <c r="Q374">
        <f>IF(COUNTIF($A$2:A374, A374)=2, 1, 0)</f>
        <v>0</v>
      </c>
      <c r="R374">
        <f>IF(ISNA(MATCH(C374, Customers!$A:$A, 0)), 1, 0)</f>
        <v>0</v>
      </c>
      <c r="S374" s="94" t="b">
        <f>VLOOKUP(D374, Products!A:F, 6, FALSE)</f>
        <v>1</v>
      </c>
    </row>
    <row r="375" spans="1:19">
      <c r="A375" s="102" t="s">
        <v>773</v>
      </c>
      <c r="B375" s="2">
        <v>45331</v>
      </c>
      <c r="C375" s="1" t="s">
        <v>493</v>
      </c>
      <c r="D375" s="1" t="s">
        <v>355</v>
      </c>
      <c r="E375" s="1" t="s">
        <v>346</v>
      </c>
      <c r="F375" s="83">
        <v>4</v>
      </c>
      <c r="G375" s="92">
        <v>2510</v>
      </c>
      <c r="H375" s="3">
        <v>23.6</v>
      </c>
      <c r="I375" s="3">
        <v>7670.56</v>
      </c>
      <c r="J375" s="1" t="s">
        <v>87</v>
      </c>
      <c r="K375" s="1" t="s">
        <v>88</v>
      </c>
      <c r="L375" t="str">
        <f>VLOOKUP(D375, Products!A:C, 3, FALSE)</f>
        <v>Apparel</v>
      </c>
      <c r="M375" t="str">
        <f>VLOOKUP(C375, Customers!A:E, 5, FALSE)</f>
        <v>Retail</v>
      </c>
      <c r="N375">
        <f>VLOOKUP(C375, Customers!A:E, 3, FALSE)</f>
        <v>57</v>
      </c>
      <c r="O375" s="93" t="str">
        <f>VLOOKUP(E375, Sales_Reps!A:C, 3, FALSE)</f>
        <v>South</v>
      </c>
      <c r="P375">
        <f>VLOOKUP(D375, Products!A:E, 4, FALSE)</f>
        <v>1075</v>
      </c>
      <c r="Q375">
        <f>IF(COUNTIF($A$2:A375, A375)=2, 1, 0)</f>
        <v>0</v>
      </c>
      <c r="R375">
        <f>IF(ISNA(MATCH(C375, Customers!$A:$A, 0)), 1, 0)</f>
        <v>0</v>
      </c>
      <c r="S375" s="94" t="b">
        <f>VLOOKUP(D375, Products!A:F, 6, FALSE)</f>
        <v>0</v>
      </c>
    </row>
    <row r="376" spans="1:19">
      <c r="A376" s="102" t="s">
        <v>774</v>
      </c>
      <c r="B376" s="2">
        <v>45332</v>
      </c>
      <c r="C376" s="1" t="s">
        <v>359</v>
      </c>
      <c r="D376" s="1" t="s">
        <v>386</v>
      </c>
      <c r="E376" s="1" t="s">
        <v>273</v>
      </c>
      <c r="F376" s="83">
        <v>5</v>
      </c>
      <c r="G376" s="92">
        <v>2290</v>
      </c>
      <c r="H376" s="3">
        <v>17</v>
      </c>
      <c r="I376" s="3">
        <v>9503.5</v>
      </c>
      <c r="J376" s="1" t="s">
        <v>87</v>
      </c>
      <c r="K376" s="1" t="s">
        <v>99</v>
      </c>
      <c r="L376" t="str">
        <f>VLOOKUP(D376, Products!A:C, 3, FALSE)</f>
        <v>Beauty</v>
      </c>
      <c r="M376" t="str">
        <f>VLOOKUP(C376, Customers!A:E, 5, FALSE)</f>
        <v>SMB</v>
      </c>
      <c r="N376">
        <f>VLOOKUP(C376, Customers!A:E, 3, FALSE)</f>
        <v>28</v>
      </c>
      <c r="O376" s="93" t="str">
        <f>VLOOKUP(E376, Sales_Reps!A:C, 3, FALSE)</f>
        <v>South</v>
      </c>
      <c r="P376">
        <f>VLOOKUP(D376, Products!A:E, 4, FALSE)</f>
        <v>1219</v>
      </c>
      <c r="Q376">
        <f>IF(COUNTIF($A$2:A376, A376)=2, 1, 0)</f>
        <v>0</v>
      </c>
      <c r="R376">
        <f>IF(ISNA(MATCH(C376, Customers!$A:$A, 0)), 1, 0)</f>
        <v>0</v>
      </c>
      <c r="S376" s="94" t="b">
        <f>VLOOKUP(D376, Products!A:F, 6, FALSE)</f>
        <v>1</v>
      </c>
    </row>
    <row r="377" spans="1:19">
      <c r="A377" s="102" t="s">
        <v>775</v>
      </c>
      <c r="B377" s="2">
        <v>45340</v>
      </c>
      <c r="C377" s="1" t="s">
        <v>328</v>
      </c>
      <c r="D377" s="1" t="s">
        <v>97</v>
      </c>
      <c r="E377" s="1" t="s">
        <v>103</v>
      </c>
      <c r="F377" s="83">
        <v>8</v>
      </c>
      <c r="G377" s="92">
        <v>470</v>
      </c>
      <c r="H377" s="3">
        <v>9.3000000000000007</v>
      </c>
      <c r="I377" s="3">
        <v>3410.32</v>
      </c>
      <c r="J377" s="1" t="s">
        <v>87</v>
      </c>
      <c r="K377" s="1" t="s">
        <v>94</v>
      </c>
      <c r="L377" t="str">
        <f>VLOOKUP(D377, Products!A:C, 3, FALSE)</f>
        <v>Sports</v>
      </c>
      <c r="M377" t="str">
        <f>VLOOKUP(C377, Customers!A:E, 5, FALSE)</f>
        <v>Retail</v>
      </c>
      <c r="N377">
        <f>VLOOKUP(C377, Customers!A:E, 3, FALSE)</f>
        <v>28</v>
      </c>
      <c r="O377" s="93" t="str">
        <f>VLOOKUP(E377, Sales_Reps!A:C, 3, FALSE)</f>
        <v>North</v>
      </c>
      <c r="P377">
        <f>VLOOKUP(D377, Products!A:E, 4, FALSE)</f>
        <v>302</v>
      </c>
      <c r="Q377">
        <f>IF(COUNTIF($A$2:A377, A377)=2, 1, 0)</f>
        <v>0</v>
      </c>
      <c r="R377">
        <f>IF(ISNA(MATCH(C377, Customers!$A:$A, 0)), 1, 0)</f>
        <v>0</v>
      </c>
      <c r="S377" s="94" t="b">
        <f>VLOOKUP(D377, Products!A:F, 6, FALSE)</f>
        <v>0</v>
      </c>
    </row>
    <row r="378" spans="1:19">
      <c r="A378" s="102" t="s">
        <v>776</v>
      </c>
      <c r="B378" s="2">
        <v>45564</v>
      </c>
      <c r="C378" s="1" t="s">
        <v>320</v>
      </c>
      <c r="D378" s="1" t="s">
        <v>191</v>
      </c>
      <c r="E378" s="1" t="s">
        <v>204</v>
      </c>
      <c r="F378" s="83">
        <v>8</v>
      </c>
      <c r="G378" s="92">
        <v>5100</v>
      </c>
      <c r="H378" s="3">
        <v>4.5999999999999996</v>
      </c>
      <c r="I378" s="3">
        <v>38923.199999999997</v>
      </c>
      <c r="J378" s="1" t="s">
        <v>87</v>
      </c>
      <c r="K378" s="1" t="s">
        <v>133</v>
      </c>
      <c r="L378" t="str">
        <f>VLOOKUP(D378, Products!A:C, 3, FALSE)</f>
        <v>Beauty</v>
      </c>
      <c r="M378" t="str">
        <f>VLOOKUP(C378, Customers!A:E, 5, FALSE)</f>
        <v>SMB</v>
      </c>
      <c r="N378">
        <f>VLOOKUP(C378, Customers!A:E, 3, FALSE)</f>
        <v>36</v>
      </c>
      <c r="O378" s="93" t="str">
        <f>VLOOKUP(E378, Sales_Reps!A:C, 3, FALSE)</f>
        <v>South</v>
      </c>
      <c r="P378">
        <f>VLOOKUP(D378, Products!A:E, 4, FALSE)</f>
        <v>2237</v>
      </c>
      <c r="Q378">
        <f>IF(COUNTIF($A$2:A378, A378)=2, 1, 0)</f>
        <v>0</v>
      </c>
      <c r="R378">
        <f>IF(ISNA(MATCH(C378, Customers!$A:$A, 0)), 1, 0)</f>
        <v>0</v>
      </c>
      <c r="S378" s="94" t="b">
        <f>VLOOKUP(D378, Products!A:F, 6, FALSE)</f>
        <v>1</v>
      </c>
    </row>
    <row r="379" spans="1:19">
      <c r="A379" s="102" t="s">
        <v>777</v>
      </c>
      <c r="B379" s="2">
        <v>45296</v>
      </c>
      <c r="C379" s="1" t="s">
        <v>582</v>
      </c>
      <c r="D379" s="1" t="s">
        <v>364</v>
      </c>
      <c r="E379" s="1" t="s">
        <v>132</v>
      </c>
      <c r="F379" s="83">
        <v>7</v>
      </c>
      <c r="G379" s="92">
        <v>5330</v>
      </c>
      <c r="H379" s="3">
        <v>2.5</v>
      </c>
      <c r="I379" s="3">
        <v>36377.25</v>
      </c>
      <c r="J379" s="1" t="s">
        <v>87</v>
      </c>
      <c r="K379" s="1" t="s">
        <v>94</v>
      </c>
      <c r="L379" t="str">
        <f>VLOOKUP(D379, Products!A:C, 3, FALSE)</f>
        <v>Electronics</v>
      </c>
      <c r="M379" t="str">
        <f>VLOOKUP(C379, Customers!A:E, 5, FALSE)</f>
        <v>SMB</v>
      </c>
      <c r="N379">
        <f>VLOOKUP(C379, Customers!A:E, 3, FALSE)</f>
        <v>59</v>
      </c>
      <c r="O379" s="93" t="str">
        <f>VLOOKUP(E379, Sales_Reps!A:C, 3, FALSE)</f>
        <v>South</v>
      </c>
      <c r="P379">
        <f>VLOOKUP(D379, Products!A:E, 4, FALSE)</f>
        <v>2405</v>
      </c>
      <c r="Q379">
        <f>IF(COUNTIF($A$2:A379, A379)=2, 1, 0)</f>
        <v>0</v>
      </c>
      <c r="R379">
        <f>IF(ISNA(MATCH(C379, Customers!$A:$A, 0)), 1, 0)</f>
        <v>0</v>
      </c>
      <c r="S379" s="94" t="b">
        <f>VLOOKUP(D379, Products!A:F, 6, FALSE)</f>
        <v>1</v>
      </c>
    </row>
    <row r="380" spans="1:19">
      <c r="A380" s="102" t="s">
        <v>778</v>
      </c>
      <c r="B380" s="2">
        <v>45364</v>
      </c>
      <c r="C380" s="1" t="s">
        <v>779</v>
      </c>
      <c r="D380" s="1" t="s">
        <v>295</v>
      </c>
      <c r="E380" s="1" t="s">
        <v>128</v>
      </c>
      <c r="F380" s="83">
        <v>10</v>
      </c>
      <c r="G380" s="92">
        <v>2030</v>
      </c>
      <c r="H380" s="3">
        <v>8.5</v>
      </c>
      <c r="I380" s="3">
        <v>18574.5</v>
      </c>
      <c r="J380" s="1" t="s">
        <v>87</v>
      </c>
      <c r="K380" s="1" t="s">
        <v>117</v>
      </c>
      <c r="L380" t="str">
        <f>VLOOKUP(D380, Products!A:C, 3, FALSE)</f>
        <v>Home</v>
      </c>
      <c r="M380" t="str">
        <f>VLOOKUP(C380, Customers!A:E, 5, FALSE)</f>
        <v>Retail</v>
      </c>
      <c r="N380">
        <f>VLOOKUP(C380, Customers!A:E, 3, FALSE)</f>
        <v>27</v>
      </c>
      <c r="O380" s="93" t="str">
        <f>VLOOKUP(E380, Sales_Reps!A:C, 3, FALSE)</f>
        <v>West</v>
      </c>
      <c r="P380">
        <f>VLOOKUP(D380, Products!A:E, 4, FALSE)</f>
        <v>1143</v>
      </c>
      <c r="Q380">
        <f>IF(COUNTIF($A$2:A380, A380)=2, 1, 0)</f>
        <v>0</v>
      </c>
      <c r="R380">
        <f>IF(ISNA(MATCH(C380, Customers!$A:$A, 0)), 1, 0)</f>
        <v>0</v>
      </c>
      <c r="S380" s="94" t="b">
        <f>VLOOKUP(D380, Products!A:F, 6, FALSE)</f>
        <v>1</v>
      </c>
    </row>
    <row r="381" spans="1:19">
      <c r="A381" s="102" t="s">
        <v>780</v>
      </c>
      <c r="B381" s="2">
        <v>45560</v>
      </c>
      <c r="C381" s="1" t="s">
        <v>781</v>
      </c>
      <c r="D381" s="1" t="s">
        <v>443</v>
      </c>
      <c r="E381" s="1" t="s">
        <v>148</v>
      </c>
      <c r="F381" s="83">
        <v>8</v>
      </c>
      <c r="G381" s="92">
        <v>5080</v>
      </c>
      <c r="H381" s="3">
        <v>9.6</v>
      </c>
      <c r="I381" s="3">
        <v>36738.559999999998</v>
      </c>
      <c r="J381" s="1" t="s">
        <v>140</v>
      </c>
      <c r="K381" s="1" t="s">
        <v>99</v>
      </c>
      <c r="L381" t="str">
        <f>VLOOKUP(D381, Products!A:C, 3, FALSE)</f>
        <v>Home</v>
      </c>
      <c r="M381" t="str">
        <f>VLOOKUP(C381, Customers!A:E, 5, FALSE)</f>
        <v>SMB</v>
      </c>
      <c r="N381">
        <f>VLOOKUP(C381, Customers!A:E, 3, FALSE)</f>
        <v>29</v>
      </c>
      <c r="O381" s="93" t="str">
        <f>VLOOKUP(E381, Sales_Reps!A:C, 3, FALSE)</f>
        <v>North</v>
      </c>
      <c r="P381">
        <f>VLOOKUP(D381, Products!A:E, 4, FALSE)</f>
        <v>2459</v>
      </c>
      <c r="Q381">
        <f>IF(COUNTIF($A$2:A381, A381)=2, 1, 0)</f>
        <v>0</v>
      </c>
      <c r="R381">
        <f>IF(ISNA(MATCH(C381, Customers!$A:$A, 0)), 1, 0)</f>
        <v>0</v>
      </c>
      <c r="S381" s="94" t="b">
        <f>VLOOKUP(D381, Products!A:F, 6, FALSE)</f>
        <v>1</v>
      </c>
    </row>
    <row r="382" spans="1:19">
      <c r="A382" s="102" t="s">
        <v>782</v>
      </c>
      <c r="B382" s="2">
        <v>45378</v>
      </c>
      <c r="C382" s="1" t="s">
        <v>175</v>
      </c>
      <c r="D382" s="1" t="s">
        <v>367</v>
      </c>
      <c r="E382" s="1" t="s">
        <v>98</v>
      </c>
      <c r="F382" s="83">
        <v>1</v>
      </c>
      <c r="G382" s="92">
        <v>2380</v>
      </c>
      <c r="H382" s="3">
        <v>11.6</v>
      </c>
      <c r="I382" s="3">
        <v>2103.92</v>
      </c>
      <c r="J382" s="1" t="s">
        <v>93</v>
      </c>
      <c r="K382" s="1" t="s">
        <v>133</v>
      </c>
      <c r="L382" t="str">
        <f>VLOOKUP(D382, Products!A:C, 3, FALSE)</f>
        <v>Grocery</v>
      </c>
      <c r="M382" t="str">
        <f>VLOOKUP(C382, Customers!A:E, 5, FALSE)</f>
        <v>SMB</v>
      </c>
      <c r="N382">
        <f>VLOOKUP(C382, Customers!A:E, 3, FALSE)</f>
        <v>40</v>
      </c>
      <c r="O382" s="93" t="str">
        <f>VLOOKUP(E382, Sales_Reps!A:C, 3, FALSE)</f>
        <v>South</v>
      </c>
      <c r="P382">
        <f>VLOOKUP(D382, Products!A:E, 4, FALSE)</f>
        <v>1182</v>
      </c>
      <c r="Q382">
        <f>IF(COUNTIF($A$2:A382, A382)=2, 1, 0)</f>
        <v>0</v>
      </c>
      <c r="R382">
        <f>IF(ISNA(MATCH(C382, Customers!$A:$A, 0)), 1, 0)</f>
        <v>0</v>
      </c>
      <c r="S382" s="94" t="b">
        <f>VLOOKUP(D382, Products!A:F, 6, FALSE)</f>
        <v>1</v>
      </c>
    </row>
    <row r="383" spans="1:19">
      <c r="A383" s="102" t="s">
        <v>783</v>
      </c>
      <c r="B383" s="2">
        <v>45590</v>
      </c>
      <c r="C383" s="1" t="s">
        <v>272</v>
      </c>
      <c r="D383" s="1" t="s">
        <v>259</v>
      </c>
      <c r="E383" s="1" t="s">
        <v>343</v>
      </c>
      <c r="F383" s="83">
        <v>8</v>
      </c>
      <c r="G383" s="92">
        <v>1540</v>
      </c>
      <c r="H383" s="3">
        <v>27.8</v>
      </c>
      <c r="I383" s="3">
        <v>8895.0400000000009</v>
      </c>
      <c r="J383" s="1" t="s">
        <v>87</v>
      </c>
      <c r="K383" s="1" t="s">
        <v>94</v>
      </c>
      <c r="L383" t="str">
        <f>VLOOKUP(D383, Products!A:C, 3, FALSE)</f>
        <v>Beauty</v>
      </c>
      <c r="M383" t="str">
        <f>VLOOKUP(C383, Customers!A:E, 5, FALSE)</f>
        <v>SMB</v>
      </c>
      <c r="N383">
        <f>VLOOKUP(C383, Customers!A:E, 3, FALSE)</f>
        <v>55</v>
      </c>
      <c r="O383" s="93" t="str">
        <f>VLOOKUP(E383, Sales_Reps!A:C, 3, FALSE)</f>
        <v>West</v>
      </c>
      <c r="P383">
        <f>VLOOKUP(D383, Products!A:E, 4, FALSE)</f>
        <v>647</v>
      </c>
      <c r="Q383">
        <f>IF(COUNTIF($A$2:A383, A383)=2, 1, 0)</f>
        <v>0</v>
      </c>
      <c r="R383">
        <f>IF(ISNA(MATCH(C383, Customers!$A:$A, 0)), 1, 0)</f>
        <v>0</v>
      </c>
      <c r="S383" s="94" t="b">
        <f>VLOOKUP(D383, Products!A:F, 6, FALSE)</f>
        <v>0</v>
      </c>
    </row>
    <row r="384" spans="1:19">
      <c r="A384" s="102" t="s">
        <v>784</v>
      </c>
      <c r="B384" s="2">
        <v>45591</v>
      </c>
      <c r="C384" s="1" t="s">
        <v>785</v>
      </c>
      <c r="D384" s="1" t="s">
        <v>131</v>
      </c>
      <c r="E384" s="1" t="s">
        <v>116</v>
      </c>
      <c r="F384" s="83">
        <v>1</v>
      </c>
      <c r="G384" s="92">
        <v>2270</v>
      </c>
      <c r="H384" s="3">
        <v>6.5</v>
      </c>
      <c r="I384" s="3">
        <v>2122.4499999999998</v>
      </c>
      <c r="J384" s="1" t="s">
        <v>93</v>
      </c>
      <c r="K384" s="1" t="s">
        <v>786</v>
      </c>
      <c r="L384" t="str">
        <f>VLOOKUP(D384, Products!A:C, 3, FALSE)</f>
        <v>Grocery</v>
      </c>
      <c r="M384" t="str">
        <f>VLOOKUP(C384, Customers!A:E, 5, FALSE)</f>
        <v>Retail</v>
      </c>
      <c r="N384">
        <f>VLOOKUP(C384, Customers!A:E, 3, FALSE)</f>
        <v>31</v>
      </c>
      <c r="O384" s="93" t="str">
        <f>VLOOKUP(E384, Sales_Reps!A:C, 3, FALSE)</f>
        <v>West</v>
      </c>
      <c r="P384">
        <f>VLOOKUP(D384, Products!A:E, 4, FALSE)</f>
        <v>1203</v>
      </c>
      <c r="Q384">
        <f>IF(COUNTIF($A$2:A384, A384)=2, 1, 0)</f>
        <v>0</v>
      </c>
      <c r="R384">
        <f>IF(ISNA(MATCH(C384, Customers!$A:$A, 0)), 1, 0)</f>
        <v>0</v>
      </c>
      <c r="S384" s="94" t="b">
        <f>VLOOKUP(D384, Products!A:F, 6, FALSE)</f>
        <v>1</v>
      </c>
    </row>
    <row r="385" spans="1:19">
      <c r="A385" s="102" t="s">
        <v>787</v>
      </c>
      <c r="B385" s="2">
        <v>45503</v>
      </c>
      <c r="C385" s="1" t="s">
        <v>316</v>
      </c>
      <c r="D385" s="1" t="s">
        <v>167</v>
      </c>
      <c r="E385" s="1" t="s">
        <v>128</v>
      </c>
      <c r="F385" s="83">
        <v>6</v>
      </c>
      <c r="G385" s="92">
        <v>2480</v>
      </c>
      <c r="H385" s="3">
        <v>25.9</v>
      </c>
      <c r="I385" s="3">
        <v>11026.08</v>
      </c>
      <c r="J385" s="1" t="s">
        <v>87</v>
      </c>
      <c r="K385" s="1" t="s">
        <v>88</v>
      </c>
      <c r="L385" t="str">
        <f>VLOOKUP(D385, Products!A:C, 3, FALSE)</f>
        <v>Apparel</v>
      </c>
      <c r="M385" t="str">
        <f>VLOOKUP(C385, Customers!A:E, 5, FALSE)</f>
        <v>SMB</v>
      </c>
      <c r="N385">
        <f>VLOOKUP(C385, Customers!A:E, 3, FALSE)</f>
        <v>60</v>
      </c>
      <c r="O385" s="93" t="str">
        <f>VLOOKUP(E385, Sales_Reps!A:C, 3, FALSE)</f>
        <v>West</v>
      </c>
      <c r="P385">
        <f>VLOOKUP(D385, Products!A:E, 4, FALSE)</f>
        <v>1173</v>
      </c>
      <c r="Q385">
        <f>IF(COUNTIF($A$2:A385, A385)=2, 1, 0)</f>
        <v>0</v>
      </c>
      <c r="R385">
        <f>IF(ISNA(MATCH(C385, Customers!$A:$A, 0)), 1, 0)</f>
        <v>0</v>
      </c>
      <c r="S385" s="94" t="b">
        <f>VLOOKUP(D385, Products!A:F, 6, FALSE)</f>
        <v>1</v>
      </c>
    </row>
    <row r="386" spans="1:19">
      <c r="A386" s="102" t="s">
        <v>788</v>
      </c>
      <c r="B386" s="2">
        <v>45608</v>
      </c>
      <c r="C386" s="1" t="s">
        <v>318</v>
      </c>
      <c r="D386" s="1" t="s">
        <v>659</v>
      </c>
      <c r="E386" s="1" t="s">
        <v>121</v>
      </c>
      <c r="F386" s="83">
        <v>3</v>
      </c>
      <c r="G386" s="92">
        <v>3560</v>
      </c>
      <c r="H386" s="3">
        <v>0.4</v>
      </c>
      <c r="I386" s="3">
        <v>10637.28</v>
      </c>
      <c r="J386" s="1" t="s">
        <v>144</v>
      </c>
      <c r="K386" s="1" t="s">
        <v>94</v>
      </c>
      <c r="L386" t="str">
        <f>VLOOKUP(D386, Products!A:C, 3, FALSE)</f>
        <v>Apparel</v>
      </c>
      <c r="M386" t="str">
        <f>VLOOKUP(C386, Customers!A:E, 5, FALSE)</f>
        <v>SMB</v>
      </c>
      <c r="N386">
        <f>VLOOKUP(C386, Customers!A:E, 3, FALSE)</f>
        <v>57</v>
      </c>
      <c r="O386" s="93" t="str">
        <f>VLOOKUP(E386, Sales_Reps!A:C, 3, FALSE)</f>
        <v>East</v>
      </c>
      <c r="P386">
        <f>VLOOKUP(D386, Products!A:E, 4, FALSE)</f>
        <v>2629</v>
      </c>
      <c r="Q386">
        <f>IF(COUNTIF($A$2:A386, A386)=2, 1, 0)</f>
        <v>0</v>
      </c>
      <c r="R386">
        <f>IF(ISNA(MATCH(C386, Customers!$A:$A, 0)), 1, 0)</f>
        <v>0</v>
      </c>
      <c r="S386" s="94" t="b">
        <f>VLOOKUP(D386, Products!A:F, 6, FALSE)</f>
        <v>1</v>
      </c>
    </row>
    <row r="387" spans="1:19">
      <c r="A387" s="102" t="s">
        <v>789</v>
      </c>
      <c r="B387" s="2">
        <v>45422</v>
      </c>
      <c r="C387" s="1" t="s">
        <v>651</v>
      </c>
      <c r="D387" s="1" t="s">
        <v>279</v>
      </c>
      <c r="E387" s="1" t="s">
        <v>103</v>
      </c>
      <c r="F387" s="83">
        <v>4</v>
      </c>
      <c r="G387" s="92">
        <v>2660</v>
      </c>
      <c r="H387" s="3">
        <v>19.7</v>
      </c>
      <c r="I387" s="3">
        <v>8543.92</v>
      </c>
      <c r="J387" s="1" t="s">
        <v>140</v>
      </c>
      <c r="K387" s="1" t="s">
        <v>133</v>
      </c>
      <c r="L387" t="str">
        <f>VLOOKUP(D387, Products!A:C, 3, FALSE)</f>
        <v>Electronics</v>
      </c>
      <c r="M387" t="str">
        <f>VLOOKUP(C387, Customers!A:E, 5, FALSE)</f>
        <v>Retail</v>
      </c>
      <c r="N387">
        <f>VLOOKUP(C387, Customers!A:E, 3, FALSE)</f>
        <v>50</v>
      </c>
      <c r="O387" s="93" t="str">
        <f>VLOOKUP(E387, Sales_Reps!A:C, 3, FALSE)</f>
        <v>North</v>
      </c>
      <c r="P387">
        <f>VLOOKUP(D387, Products!A:E, 4, FALSE)</f>
        <v>1259</v>
      </c>
      <c r="Q387">
        <f>IF(COUNTIF($A$2:A387, A387)=2, 1, 0)</f>
        <v>0</v>
      </c>
      <c r="R387">
        <f>IF(ISNA(MATCH(C387, Customers!$A:$A, 0)), 1, 0)</f>
        <v>0</v>
      </c>
      <c r="S387" s="94" t="b">
        <f>VLOOKUP(D387, Products!A:F, 6, FALSE)</f>
        <v>0</v>
      </c>
    </row>
    <row r="388" spans="1:19">
      <c r="A388" s="102" t="s">
        <v>790</v>
      </c>
      <c r="B388" s="2">
        <v>45386</v>
      </c>
      <c r="C388" s="1" t="s">
        <v>172</v>
      </c>
      <c r="D388" s="1" t="s">
        <v>267</v>
      </c>
      <c r="E388" s="1" t="s">
        <v>252</v>
      </c>
      <c r="F388" s="83">
        <v>10</v>
      </c>
      <c r="G388" s="92">
        <v>1220</v>
      </c>
      <c r="H388" s="3">
        <v>10.1</v>
      </c>
      <c r="I388" s="3">
        <v>10967.8</v>
      </c>
      <c r="J388" s="1" t="s">
        <v>140</v>
      </c>
      <c r="K388" s="1" t="s">
        <v>88</v>
      </c>
      <c r="L388" t="str">
        <f>VLOOKUP(D388, Products!A:C, 3, FALSE)</f>
        <v>Electronics</v>
      </c>
      <c r="M388" t="str">
        <f>VLOOKUP(C388, Customers!A:E, 5, FALSE)</f>
        <v>Retail</v>
      </c>
      <c r="N388">
        <f>VLOOKUP(C388, Customers!A:E, 3, FALSE)</f>
        <v>50</v>
      </c>
      <c r="O388" s="93" t="str">
        <f>VLOOKUP(E388, Sales_Reps!A:C, 3, FALSE)</f>
        <v>South</v>
      </c>
      <c r="P388">
        <f>VLOOKUP(D388, Products!A:E, 4, FALSE)</f>
        <v>517</v>
      </c>
      <c r="Q388">
        <f>IF(COUNTIF($A$2:A388, A388)=2, 1, 0)</f>
        <v>0</v>
      </c>
      <c r="R388">
        <f>IF(ISNA(MATCH(C388, Customers!$A:$A, 0)), 1, 0)</f>
        <v>0</v>
      </c>
      <c r="S388" s="94" t="b">
        <f>VLOOKUP(D388, Products!A:F, 6, FALSE)</f>
        <v>1</v>
      </c>
    </row>
    <row r="389" spans="1:19">
      <c r="A389" s="102" t="s">
        <v>791</v>
      </c>
      <c r="B389" s="2">
        <v>45584</v>
      </c>
      <c r="C389" s="1" t="s">
        <v>676</v>
      </c>
      <c r="D389" s="1" t="s">
        <v>138</v>
      </c>
      <c r="E389" s="1" t="s">
        <v>98</v>
      </c>
      <c r="F389" s="83">
        <v>8</v>
      </c>
      <c r="G389" s="92">
        <v>2600</v>
      </c>
      <c r="H389" s="3">
        <v>26.7</v>
      </c>
      <c r="I389" s="3">
        <v>15246.4</v>
      </c>
      <c r="J389" s="1" t="s">
        <v>87</v>
      </c>
      <c r="K389" s="1" t="s">
        <v>88</v>
      </c>
      <c r="L389" t="str">
        <f>VLOOKUP(D389, Products!A:C, 3, FALSE)</f>
        <v>Electronics</v>
      </c>
      <c r="M389" t="str">
        <f>VLOOKUP(C389, Customers!A:E, 5, FALSE)</f>
        <v>SMB</v>
      </c>
      <c r="N389">
        <f>VLOOKUP(C389, Customers!A:E, 3, FALSE)</f>
        <v>35</v>
      </c>
      <c r="O389" s="93" t="str">
        <f>VLOOKUP(E389, Sales_Reps!A:C, 3, FALSE)</f>
        <v>South</v>
      </c>
      <c r="P389">
        <f>VLOOKUP(D389, Products!A:E, 4, FALSE)</f>
        <v>1052</v>
      </c>
      <c r="Q389">
        <f>IF(COUNTIF($A$2:A389, A389)=2, 1, 0)</f>
        <v>0</v>
      </c>
      <c r="R389">
        <f>IF(ISNA(MATCH(C389, Customers!$A:$A, 0)), 1, 0)</f>
        <v>0</v>
      </c>
      <c r="S389" s="94" t="b">
        <f>VLOOKUP(D389, Products!A:F, 6, FALSE)</f>
        <v>1</v>
      </c>
    </row>
    <row r="390" spans="1:19">
      <c r="A390" s="102" t="s">
        <v>792</v>
      </c>
      <c r="B390" s="2">
        <v>45440</v>
      </c>
      <c r="C390" s="1" t="s">
        <v>518</v>
      </c>
      <c r="D390" s="1" t="s">
        <v>452</v>
      </c>
      <c r="E390" s="1" t="s">
        <v>192</v>
      </c>
      <c r="F390" s="83">
        <v>10</v>
      </c>
      <c r="G390" s="92">
        <v>3450</v>
      </c>
      <c r="H390" s="3">
        <v>20.399999999999999</v>
      </c>
      <c r="I390" s="3">
        <v>27462</v>
      </c>
      <c r="J390" s="1" t="s">
        <v>87</v>
      </c>
      <c r="K390" s="1" t="s">
        <v>88</v>
      </c>
      <c r="L390" t="str">
        <f>VLOOKUP(D390, Products!A:C, 3, FALSE)</f>
        <v>Apparel</v>
      </c>
      <c r="M390" t="str">
        <f>VLOOKUP(C390, Customers!A:E, 5, FALSE)</f>
        <v>Retail</v>
      </c>
      <c r="N390">
        <f>VLOOKUP(C390, Customers!A:E, 3, FALSE)</f>
        <v>49</v>
      </c>
      <c r="O390" s="93" t="str">
        <f>VLOOKUP(E390, Sales_Reps!A:C, 3, FALSE)</f>
        <v>East</v>
      </c>
      <c r="P390">
        <f>VLOOKUP(D390, Products!A:E, 4, FALSE)</f>
        <v>1748</v>
      </c>
      <c r="Q390">
        <f>IF(COUNTIF($A$2:A390, A390)=2, 1, 0)</f>
        <v>0</v>
      </c>
      <c r="R390">
        <f>IF(ISNA(MATCH(C390, Customers!$A:$A, 0)), 1, 0)</f>
        <v>0</v>
      </c>
      <c r="S390" s="94" t="b">
        <f>VLOOKUP(D390, Products!A:F, 6, FALSE)</f>
        <v>1</v>
      </c>
    </row>
    <row r="391" spans="1:19">
      <c r="A391" s="102" t="s">
        <v>793</v>
      </c>
      <c r="B391" s="2">
        <v>45440</v>
      </c>
      <c r="C391" s="1" t="s">
        <v>208</v>
      </c>
      <c r="D391" s="1" t="s">
        <v>515</v>
      </c>
      <c r="E391" s="1" t="s">
        <v>121</v>
      </c>
      <c r="F391" s="83">
        <v>1</v>
      </c>
      <c r="G391" s="92">
        <v>6940</v>
      </c>
      <c r="H391" s="3">
        <v>9.6999999999999993</v>
      </c>
      <c r="I391" s="3">
        <v>6266.82</v>
      </c>
      <c r="J391" s="1" t="s">
        <v>87</v>
      </c>
      <c r="K391" s="1" t="s">
        <v>133</v>
      </c>
      <c r="L391" t="str">
        <f>VLOOKUP(D391, Products!A:C, 3, FALSE)</f>
        <v>Sports</v>
      </c>
      <c r="M391" t="str">
        <f>VLOOKUP(C391, Customers!A:E, 5, FALSE)</f>
        <v>Retail</v>
      </c>
      <c r="N391">
        <f>VLOOKUP(C391, Customers!A:E, 3, FALSE)</f>
        <v>26</v>
      </c>
      <c r="O391" s="93" t="str">
        <f>VLOOKUP(E391, Sales_Reps!A:C, 3, FALSE)</f>
        <v>East</v>
      </c>
      <c r="P391">
        <f>VLOOKUP(D391, Products!A:E, 4, FALSE)</f>
        <v>2827</v>
      </c>
      <c r="Q391">
        <f>IF(COUNTIF($A$2:A391, A391)=2, 1, 0)</f>
        <v>0</v>
      </c>
      <c r="R391">
        <f>IF(ISNA(MATCH(C391, Customers!$A:$A, 0)), 1, 0)</f>
        <v>0</v>
      </c>
      <c r="S391" s="94" t="b">
        <f>VLOOKUP(D391, Products!A:F, 6, FALSE)</f>
        <v>1</v>
      </c>
    </row>
    <row r="392" spans="1:19">
      <c r="A392" s="102" t="s">
        <v>794</v>
      </c>
      <c r="B392" s="2">
        <v>45358</v>
      </c>
      <c r="C392" s="1" t="s">
        <v>795</v>
      </c>
      <c r="D392" s="1" t="s">
        <v>179</v>
      </c>
      <c r="E392" s="1" t="s">
        <v>103</v>
      </c>
      <c r="F392" s="83">
        <v>10</v>
      </c>
      <c r="G392" s="92">
        <v>3350</v>
      </c>
      <c r="H392" s="3">
        <v>3.2</v>
      </c>
      <c r="I392" s="3">
        <v>32428</v>
      </c>
      <c r="J392" s="1" t="s">
        <v>87</v>
      </c>
      <c r="K392" s="1" t="s">
        <v>94</v>
      </c>
      <c r="L392" t="str">
        <f>VLOOKUP(D392, Products!A:C, 3, FALSE)</f>
        <v>Beauty</v>
      </c>
      <c r="M392" t="str">
        <f>VLOOKUP(C392, Customers!A:E, 5, FALSE)</f>
        <v>Retail</v>
      </c>
      <c r="N392">
        <f>VLOOKUP(C392, Customers!A:E, 3, FALSE)</f>
        <v>22</v>
      </c>
      <c r="O392" s="93" t="str">
        <f>VLOOKUP(E392, Sales_Reps!A:C, 3, FALSE)</f>
        <v>North</v>
      </c>
      <c r="P392">
        <f>VLOOKUP(D392, Products!A:E, 4, FALSE)</f>
        <v>1728</v>
      </c>
      <c r="Q392">
        <f>IF(COUNTIF($A$2:A392, A392)=2, 1, 0)</f>
        <v>0</v>
      </c>
      <c r="R392">
        <f>IF(ISNA(MATCH(C392, Customers!$A:$A, 0)), 1, 0)</f>
        <v>0</v>
      </c>
      <c r="S392" s="94" t="b">
        <f>VLOOKUP(D392, Products!A:F, 6, FALSE)</f>
        <v>1</v>
      </c>
    </row>
    <row r="393" spans="1:19">
      <c r="A393" s="102" t="s">
        <v>796</v>
      </c>
      <c r="B393" s="2">
        <v>45387</v>
      </c>
      <c r="C393" s="1" t="s">
        <v>797</v>
      </c>
      <c r="D393" s="1" t="s">
        <v>259</v>
      </c>
      <c r="E393" s="1" t="s">
        <v>201</v>
      </c>
      <c r="F393" s="83">
        <v>7</v>
      </c>
      <c r="G393" s="92">
        <v>1540</v>
      </c>
      <c r="H393" s="3">
        <v>0.5</v>
      </c>
      <c r="I393" s="3">
        <v>10726.1</v>
      </c>
      <c r="J393" s="1" t="s">
        <v>87</v>
      </c>
      <c r="K393" s="1" t="s">
        <v>99</v>
      </c>
      <c r="L393" t="str">
        <f>VLOOKUP(D393, Products!A:C, 3, FALSE)</f>
        <v>Beauty</v>
      </c>
      <c r="M393" t="str">
        <f>VLOOKUP(C393, Customers!A:E, 5, FALSE)</f>
        <v>Retail</v>
      </c>
      <c r="N393">
        <f>VLOOKUP(C393, Customers!A:E, 3, FALSE)</f>
        <v>63</v>
      </c>
      <c r="O393" s="93" t="str">
        <f>VLOOKUP(E393, Sales_Reps!A:C, 3, FALSE)</f>
        <v>West</v>
      </c>
      <c r="P393">
        <f>VLOOKUP(D393, Products!A:E, 4, FALSE)</f>
        <v>647</v>
      </c>
      <c r="Q393">
        <f>IF(COUNTIF($A$2:A393, A393)=2, 1, 0)</f>
        <v>0</v>
      </c>
      <c r="R393">
        <f>IF(ISNA(MATCH(C393, Customers!$A:$A, 0)), 1, 0)</f>
        <v>0</v>
      </c>
      <c r="S393" s="94" t="b">
        <f>VLOOKUP(D393, Products!A:F, 6, FALSE)</f>
        <v>0</v>
      </c>
    </row>
    <row r="394" spans="1:19">
      <c r="A394" s="102" t="s">
        <v>798</v>
      </c>
      <c r="B394" s="2">
        <v>45655</v>
      </c>
      <c r="C394" s="1" t="s">
        <v>799</v>
      </c>
      <c r="D394" s="1" t="s">
        <v>85</v>
      </c>
      <c r="E394" s="1" t="s">
        <v>201</v>
      </c>
      <c r="F394" s="83">
        <v>10</v>
      </c>
      <c r="G394" s="92">
        <v>3620</v>
      </c>
      <c r="H394" s="3">
        <v>22</v>
      </c>
      <c r="I394" s="3">
        <v>28236</v>
      </c>
      <c r="J394" s="1" t="s">
        <v>87</v>
      </c>
      <c r="K394" s="1" t="s">
        <v>88</v>
      </c>
      <c r="L394" t="str">
        <f>VLOOKUP(D394, Products!A:C, 3, FALSE)</f>
        <v>Apparel</v>
      </c>
      <c r="M394" t="e">
        <f>VLOOKUP(C394, Customers!A:E, 5, FALSE)</f>
        <v>#N/A</v>
      </c>
      <c r="N394" t="e">
        <f>VLOOKUP(C394, Customers!A:E, 3, FALSE)</f>
        <v>#N/A</v>
      </c>
      <c r="O394" s="93" t="str">
        <f>VLOOKUP(E394, Sales_Reps!A:C, 3, FALSE)</f>
        <v>West</v>
      </c>
      <c r="P394">
        <f>VLOOKUP(D394, Products!A:E, 4, FALSE)</f>
        <v>2509</v>
      </c>
      <c r="Q394">
        <f>IF(COUNTIF($A$2:A394, A394)=2, 1, 0)</f>
        <v>0</v>
      </c>
      <c r="R394">
        <f>IF(ISNA(MATCH(C394, Customers!$A:$A, 0)), 1, 0)</f>
        <v>1</v>
      </c>
      <c r="S394" s="94" t="b">
        <f>VLOOKUP(D394, Products!A:F, 6, FALSE)</f>
        <v>1</v>
      </c>
    </row>
    <row r="395" spans="1:19">
      <c r="A395" s="102" t="s">
        <v>800</v>
      </c>
      <c r="B395" s="2">
        <v>45629</v>
      </c>
      <c r="C395" s="1" t="s">
        <v>233</v>
      </c>
      <c r="D395" s="1" t="s">
        <v>97</v>
      </c>
      <c r="E395" s="1" t="s">
        <v>201</v>
      </c>
      <c r="F395" s="83">
        <v>2</v>
      </c>
      <c r="G395" s="92">
        <v>470</v>
      </c>
      <c r="H395" s="3">
        <v>26.5</v>
      </c>
      <c r="I395" s="3">
        <v>690.9</v>
      </c>
      <c r="J395" s="1" t="s">
        <v>93</v>
      </c>
      <c r="K395" s="1" t="s">
        <v>88</v>
      </c>
      <c r="L395" t="str">
        <f>VLOOKUP(D395, Products!A:C, 3, FALSE)</f>
        <v>Sports</v>
      </c>
      <c r="M395" t="str">
        <f>VLOOKUP(C395, Customers!A:E, 5, FALSE)</f>
        <v>SMB</v>
      </c>
      <c r="N395">
        <f>VLOOKUP(C395, Customers!A:E, 3, FALSE)</f>
        <v>29</v>
      </c>
      <c r="O395" s="93" t="str">
        <f>VLOOKUP(E395, Sales_Reps!A:C, 3, FALSE)</f>
        <v>West</v>
      </c>
      <c r="P395">
        <f>VLOOKUP(D395, Products!A:E, 4, FALSE)</f>
        <v>302</v>
      </c>
      <c r="Q395">
        <f>IF(COUNTIF($A$2:A395, A395)=2, 1, 0)</f>
        <v>0</v>
      </c>
      <c r="R395">
        <f>IF(ISNA(MATCH(C395, Customers!$A:$A, 0)), 1, 0)</f>
        <v>0</v>
      </c>
      <c r="S395" s="94" t="b">
        <f>VLOOKUP(D395, Products!A:F, 6, FALSE)</f>
        <v>0</v>
      </c>
    </row>
    <row r="396" spans="1:19">
      <c r="A396" s="102" t="s">
        <v>801</v>
      </c>
      <c r="B396" s="2">
        <v>45323</v>
      </c>
      <c r="C396" s="1" t="s">
        <v>802</v>
      </c>
      <c r="D396" s="1" t="s">
        <v>102</v>
      </c>
      <c r="E396" s="1" t="s">
        <v>132</v>
      </c>
      <c r="F396" s="83">
        <v>6</v>
      </c>
      <c r="G396" s="92">
        <v>3660</v>
      </c>
      <c r="H396" s="3">
        <v>1.5</v>
      </c>
      <c r="I396" s="3">
        <v>21630.6</v>
      </c>
      <c r="J396" s="1" t="s">
        <v>87</v>
      </c>
      <c r="K396" s="1" t="s">
        <v>94</v>
      </c>
      <c r="L396" t="str">
        <f>VLOOKUP(D396, Products!A:C, 3, FALSE)</f>
        <v>Grocery</v>
      </c>
      <c r="M396" t="str">
        <f>VLOOKUP(C396, Customers!A:E, 5, FALSE)</f>
        <v>SMB</v>
      </c>
      <c r="N396">
        <f>VLOOKUP(C396, Customers!A:E, 3, FALSE)</f>
        <v>39</v>
      </c>
      <c r="O396" s="93" t="str">
        <f>VLOOKUP(E396, Sales_Reps!A:C, 3, FALSE)</f>
        <v>South</v>
      </c>
      <c r="P396">
        <f>VLOOKUP(D396, Products!A:E, 4, FALSE)</f>
        <v>2214</v>
      </c>
      <c r="Q396">
        <f>IF(COUNTIF($A$2:A396, A396)=2, 1, 0)</f>
        <v>0</v>
      </c>
      <c r="R396">
        <f>IF(ISNA(MATCH(C396, Customers!$A:$A, 0)), 1, 0)</f>
        <v>0</v>
      </c>
      <c r="S396" s="94" t="b">
        <f>VLOOKUP(D396, Products!A:F, 6, FALSE)</f>
        <v>0</v>
      </c>
    </row>
    <row r="397" spans="1:19">
      <c r="A397" s="102" t="s">
        <v>803</v>
      </c>
      <c r="B397" s="2">
        <v>45432</v>
      </c>
      <c r="C397" s="1" t="s">
        <v>119</v>
      </c>
      <c r="D397" s="1" t="s">
        <v>515</v>
      </c>
      <c r="E397" s="1" t="s">
        <v>238</v>
      </c>
      <c r="F397" s="83">
        <v>10</v>
      </c>
      <c r="G397" s="92">
        <v>6940</v>
      </c>
      <c r="H397" s="3">
        <v>1.9</v>
      </c>
      <c r="I397" s="3">
        <v>68081.399999999994</v>
      </c>
      <c r="J397" s="1" t="s">
        <v>87</v>
      </c>
      <c r="K397" s="1" t="s">
        <v>117</v>
      </c>
      <c r="L397" t="str">
        <f>VLOOKUP(D397, Products!A:C, 3, FALSE)</f>
        <v>Sports</v>
      </c>
      <c r="M397" t="str">
        <f>VLOOKUP(C397, Customers!A:E, 5, FALSE)</f>
        <v>Corporate</v>
      </c>
      <c r="N397">
        <f>VLOOKUP(C397, Customers!A:E, 3, FALSE)</f>
        <v>57</v>
      </c>
      <c r="O397" s="93" t="str">
        <f>VLOOKUP(E397, Sales_Reps!A:C, 3, FALSE)</f>
        <v>East</v>
      </c>
      <c r="P397">
        <f>VLOOKUP(D397, Products!A:E, 4, FALSE)</f>
        <v>2827</v>
      </c>
      <c r="Q397">
        <f>IF(COUNTIF($A$2:A397, A397)=2, 1, 0)</f>
        <v>0</v>
      </c>
      <c r="R397">
        <f>IF(ISNA(MATCH(C397, Customers!$A:$A, 0)), 1, 0)</f>
        <v>0</v>
      </c>
      <c r="S397" s="94" t="b">
        <f>VLOOKUP(D397, Products!A:F, 6, FALSE)</f>
        <v>1</v>
      </c>
    </row>
    <row r="398" spans="1:19">
      <c r="A398" s="102" t="s">
        <v>804</v>
      </c>
      <c r="B398" s="2">
        <v>45397</v>
      </c>
      <c r="C398" s="1" t="s">
        <v>580</v>
      </c>
      <c r="D398" s="1" t="s">
        <v>386</v>
      </c>
      <c r="E398" s="1" t="s">
        <v>92</v>
      </c>
      <c r="F398" s="83">
        <v>8</v>
      </c>
      <c r="G398" s="92">
        <v>2290</v>
      </c>
      <c r="H398" s="3">
        <v>27.9</v>
      </c>
      <c r="I398" s="3">
        <v>13208.72</v>
      </c>
      <c r="J398" s="1" t="s">
        <v>87</v>
      </c>
      <c r="K398" s="1" t="s">
        <v>88</v>
      </c>
      <c r="L398" t="str">
        <f>VLOOKUP(D398, Products!A:C, 3, FALSE)</f>
        <v>Beauty</v>
      </c>
      <c r="M398" t="str">
        <f>VLOOKUP(C398, Customers!A:E, 5, FALSE)</f>
        <v>Corporate</v>
      </c>
      <c r="N398">
        <f>VLOOKUP(C398, Customers!A:E, 3, FALSE)</f>
        <v>40</v>
      </c>
      <c r="O398" s="93" t="str">
        <f>VLOOKUP(E398, Sales_Reps!A:C, 3, FALSE)</f>
        <v>North</v>
      </c>
      <c r="P398">
        <f>VLOOKUP(D398, Products!A:E, 4, FALSE)</f>
        <v>1219</v>
      </c>
      <c r="Q398">
        <f>IF(COUNTIF($A$2:A398, A398)=2, 1, 0)</f>
        <v>0</v>
      </c>
      <c r="R398">
        <f>IF(ISNA(MATCH(C398, Customers!$A:$A, 0)), 1, 0)</f>
        <v>0</v>
      </c>
      <c r="S398" s="94" t="b">
        <f>VLOOKUP(D398, Products!A:F, 6, FALSE)</f>
        <v>1</v>
      </c>
    </row>
    <row r="399" spans="1:19">
      <c r="A399" s="102" t="s">
        <v>805</v>
      </c>
      <c r="B399" s="2">
        <v>45573</v>
      </c>
      <c r="C399" s="1" t="s">
        <v>512</v>
      </c>
      <c r="D399" s="1" t="s">
        <v>106</v>
      </c>
      <c r="E399" s="1" t="s">
        <v>116</v>
      </c>
      <c r="F399" s="83">
        <v>9</v>
      </c>
      <c r="G399" s="92">
        <v>3160</v>
      </c>
      <c r="H399" s="3">
        <v>10.199999999999999</v>
      </c>
      <c r="I399" s="3">
        <v>25539.119999999999</v>
      </c>
      <c r="J399" s="1" t="s">
        <v>87</v>
      </c>
      <c r="K399" s="1" t="s">
        <v>133</v>
      </c>
      <c r="L399" t="str">
        <f>VLOOKUP(D399, Products!A:C, 3, FALSE)</f>
        <v>Apparel</v>
      </c>
      <c r="M399" t="str">
        <f>VLOOKUP(C399, Customers!A:E, 5, FALSE)</f>
        <v>Retail</v>
      </c>
      <c r="N399">
        <f>VLOOKUP(C399, Customers!A:E, 3, FALSE)</f>
        <v>61</v>
      </c>
      <c r="O399" s="93" t="str">
        <f>VLOOKUP(E399, Sales_Reps!A:C, 3, FALSE)</f>
        <v>West</v>
      </c>
      <c r="P399">
        <f>VLOOKUP(D399, Products!A:E, 4, FALSE)</f>
        <v>1886</v>
      </c>
      <c r="Q399">
        <f>IF(COUNTIF($A$2:A399, A399)=2, 1, 0)</f>
        <v>0</v>
      </c>
      <c r="R399">
        <f>IF(ISNA(MATCH(C399, Customers!$A:$A, 0)), 1, 0)</f>
        <v>0</v>
      </c>
      <c r="S399" s="94" t="b">
        <f>VLOOKUP(D399, Products!A:F, 6, FALSE)</f>
        <v>1</v>
      </c>
    </row>
    <row r="400" spans="1:19">
      <c r="A400" s="102" t="s">
        <v>806</v>
      </c>
      <c r="B400" s="2">
        <v>45307</v>
      </c>
      <c r="C400" s="1" t="s">
        <v>807</v>
      </c>
      <c r="D400" s="1" t="s">
        <v>443</v>
      </c>
      <c r="E400" s="1" t="s">
        <v>128</v>
      </c>
      <c r="F400" s="83">
        <v>6</v>
      </c>
      <c r="G400" s="92">
        <v>5080</v>
      </c>
      <c r="H400" s="3">
        <v>25.4</v>
      </c>
      <c r="I400" s="3">
        <v>22738.080000000002</v>
      </c>
      <c r="J400" s="1" t="s">
        <v>87</v>
      </c>
      <c r="K400" s="1" t="s">
        <v>88</v>
      </c>
      <c r="L400" t="str">
        <f>VLOOKUP(D400, Products!A:C, 3, FALSE)</f>
        <v>Home</v>
      </c>
      <c r="M400" t="str">
        <f>VLOOKUP(C400, Customers!A:E, 5, FALSE)</f>
        <v>Retail</v>
      </c>
      <c r="N400">
        <f>VLOOKUP(C400, Customers!A:E, 3, FALSE)</f>
        <v>36</v>
      </c>
      <c r="O400" s="93" t="str">
        <f>VLOOKUP(E400, Sales_Reps!A:C, 3, FALSE)</f>
        <v>West</v>
      </c>
      <c r="P400">
        <f>VLOOKUP(D400, Products!A:E, 4, FALSE)</f>
        <v>2459</v>
      </c>
      <c r="Q400">
        <f>IF(COUNTIF($A$2:A400, A400)=2, 1, 0)</f>
        <v>0</v>
      </c>
      <c r="R400">
        <f>IF(ISNA(MATCH(C400, Customers!$A:$A, 0)), 1, 0)</f>
        <v>0</v>
      </c>
      <c r="S400" s="94" t="b">
        <f>VLOOKUP(D400, Products!A:F, 6, FALSE)</f>
        <v>1</v>
      </c>
    </row>
    <row r="401" spans="1:19">
      <c r="A401" s="102" t="s">
        <v>808</v>
      </c>
      <c r="B401" s="2">
        <v>45620</v>
      </c>
      <c r="C401" s="1" t="s">
        <v>744</v>
      </c>
      <c r="D401" s="1" t="s">
        <v>200</v>
      </c>
      <c r="E401" s="1" t="s">
        <v>325</v>
      </c>
      <c r="F401" s="83">
        <v>6</v>
      </c>
      <c r="G401" s="92">
        <v>2760</v>
      </c>
      <c r="H401" s="3">
        <v>21.3</v>
      </c>
      <c r="I401" s="3">
        <v>13032.72</v>
      </c>
      <c r="J401" s="1" t="s">
        <v>87</v>
      </c>
      <c r="K401" s="1" t="s">
        <v>133</v>
      </c>
      <c r="L401" t="str">
        <f>VLOOKUP(D401, Products!A:C, 3, FALSE)</f>
        <v>Grocery</v>
      </c>
      <c r="M401" t="str">
        <f>VLOOKUP(C401, Customers!A:E, 5, FALSE)</f>
        <v>Retail</v>
      </c>
      <c r="N401">
        <f>VLOOKUP(C401, Customers!A:E, 3, FALSE)</f>
        <v>64</v>
      </c>
      <c r="O401" s="93" t="str">
        <f>VLOOKUP(E401, Sales_Reps!A:C, 3, FALSE)</f>
        <v>South</v>
      </c>
      <c r="P401">
        <f>VLOOKUP(D401, Products!A:E, 4, FALSE)</f>
        <v>1435</v>
      </c>
      <c r="Q401">
        <f>IF(COUNTIF($A$2:A401, A401)=2, 1, 0)</f>
        <v>0</v>
      </c>
      <c r="R401">
        <f>IF(ISNA(MATCH(C401, Customers!$A:$A, 0)), 1, 0)</f>
        <v>0</v>
      </c>
      <c r="S401" s="94" t="b">
        <f>VLOOKUP(D401, Products!A:F, 6, FALSE)</f>
        <v>1</v>
      </c>
    </row>
    <row r="402" spans="1:19">
      <c r="A402" s="102" t="s">
        <v>809</v>
      </c>
      <c r="B402" s="2">
        <v>45462</v>
      </c>
      <c r="C402" s="1" t="s">
        <v>810</v>
      </c>
      <c r="D402" s="1" t="s">
        <v>267</v>
      </c>
      <c r="E402" s="1" t="s">
        <v>325</v>
      </c>
      <c r="F402" s="83">
        <v>5</v>
      </c>
      <c r="G402" s="92">
        <v>1220</v>
      </c>
      <c r="H402" s="3">
        <v>7.6</v>
      </c>
      <c r="I402" s="3">
        <v>5636.4</v>
      </c>
      <c r="J402" s="1" t="s">
        <v>87</v>
      </c>
      <c r="K402" s="1" t="s">
        <v>112</v>
      </c>
      <c r="L402" t="str">
        <f>VLOOKUP(D402, Products!A:C, 3, FALSE)</f>
        <v>Electronics</v>
      </c>
      <c r="M402" t="e">
        <f>VLOOKUP(C402, Customers!A:E, 5, FALSE)</f>
        <v>#N/A</v>
      </c>
      <c r="N402" t="e">
        <f>VLOOKUP(C402, Customers!A:E, 3, FALSE)</f>
        <v>#N/A</v>
      </c>
      <c r="O402" s="93" t="str">
        <f>VLOOKUP(E402, Sales_Reps!A:C, 3, FALSE)</f>
        <v>South</v>
      </c>
      <c r="P402">
        <f>VLOOKUP(D402, Products!A:E, 4, FALSE)</f>
        <v>517</v>
      </c>
      <c r="Q402">
        <f>IF(COUNTIF($A$2:A402, A402)=2, 1, 0)</f>
        <v>0</v>
      </c>
      <c r="R402">
        <f>IF(ISNA(MATCH(C402, Customers!$A:$A, 0)), 1, 0)</f>
        <v>1</v>
      </c>
      <c r="S402" s="94" t="b">
        <f>VLOOKUP(D402, Products!A:F, 6, FALSE)</f>
        <v>1</v>
      </c>
    </row>
    <row r="403" spans="1:19">
      <c r="A403" s="102" t="s">
        <v>811</v>
      </c>
      <c r="B403" s="2">
        <v>45622</v>
      </c>
      <c r="C403" s="1" t="s">
        <v>301</v>
      </c>
      <c r="D403" s="1" t="s">
        <v>184</v>
      </c>
      <c r="E403" s="1" t="s">
        <v>128</v>
      </c>
      <c r="F403" s="83">
        <v>5</v>
      </c>
      <c r="G403" s="92">
        <v>4880</v>
      </c>
      <c r="H403" s="3">
        <v>8.5</v>
      </c>
      <c r="I403" s="3">
        <v>22326</v>
      </c>
      <c r="J403" s="1" t="s">
        <v>87</v>
      </c>
      <c r="K403" s="1" t="s">
        <v>94</v>
      </c>
      <c r="L403" t="str">
        <f>VLOOKUP(D403, Products!A:C, 3, FALSE)</f>
        <v>Beauty</v>
      </c>
      <c r="M403" t="str">
        <f>VLOOKUP(C403, Customers!A:E, 5, FALSE)</f>
        <v>Retail</v>
      </c>
      <c r="N403">
        <f>VLOOKUP(C403, Customers!A:E, 3, FALSE)</f>
        <v>41</v>
      </c>
      <c r="O403" s="93" t="str">
        <f>VLOOKUP(E403, Sales_Reps!A:C, 3, FALSE)</f>
        <v>West</v>
      </c>
      <c r="P403">
        <f>VLOOKUP(D403, Products!A:E, 4, FALSE)</f>
        <v>2768</v>
      </c>
      <c r="Q403">
        <f>IF(COUNTIF($A$2:A403, A403)=2, 1, 0)</f>
        <v>0</v>
      </c>
      <c r="R403">
        <f>IF(ISNA(MATCH(C403, Customers!$A:$A, 0)), 1, 0)</f>
        <v>0</v>
      </c>
      <c r="S403" s="94" t="b">
        <f>VLOOKUP(D403, Products!A:F, 6, FALSE)</f>
        <v>1</v>
      </c>
    </row>
    <row r="404" spans="1:19">
      <c r="A404" s="102" t="s">
        <v>812</v>
      </c>
      <c r="B404" s="2">
        <v>45596</v>
      </c>
      <c r="C404" s="1" t="s">
        <v>231</v>
      </c>
      <c r="D404" s="1" t="s">
        <v>264</v>
      </c>
      <c r="E404" s="1" t="s">
        <v>285</v>
      </c>
      <c r="F404" s="83">
        <v>7</v>
      </c>
      <c r="G404" s="92">
        <v>4070</v>
      </c>
      <c r="H404" s="3">
        <v>28</v>
      </c>
      <c r="I404" s="3">
        <v>20512.8</v>
      </c>
      <c r="J404" s="1" t="s">
        <v>87</v>
      </c>
      <c r="K404" s="1" t="s">
        <v>117</v>
      </c>
      <c r="L404" t="str">
        <f>VLOOKUP(D404, Products!A:C, 3, FALSE)</f>
        <v>Grocery</v>
      </c>
      <c r="M404" t="str">
        <f>VLOOKUP(C404, Customers!A:E, 5, FALSE)</f>
        <v>SMB</v>
      </c>
      <c r="N404">
        <f>VLOOKUP(C404, Customers!A:E, 3, FALSE)</f>
        <v>64</v>
      </c>
      <c r="O404" s="93" t="str">
        <f>VLOOKUP(E404, Sales_Reps!A:C, 3, FALSE)</f>
        <v>East</v>
      </c>
      <c r="P404">
        <f>VLOOKUP(D404, Products!A:E, 4, FALSE)</f>
        <v>2027</v>
      </c>
      <c r="Q404">
        <f>IF(COUNTIF($A$2:A404, A404)=2, 1, 0)</f>
        <v>0</v>
      </c>
      <c r="R404">
        <f>IF(ISNA(MATCH(C404, Customers!$A:$A, 0)), 1, 0)</f>
        <v>0</v>
      </c>
      <c r="S404" s="94" t="b">
        <f>VLOOKUP(D404, Products!A:F, 6, FALSE)</f>
        <v>1</v>
      </c>
    </row>
    <row r="405" spans="1:19">
      <c r="A405" s="102" t="s">
        <v>813</v>
      </c>
      <c r="B405" s="2">
        <v>45506</v>
      </c>
      <c r="C405" s="1" t="s">
        <v>501</v>
      </c>
      <c r="D405" s="1" t="s">
        <v>408</v>
      </c>
      <c r="E405" s="1" t="s">
        <v>128</v>
      </c>
      <c r="F405" s="83">
        <v>2</v>
      </c>
      <c r="G405" s="92">
        <v>3970</v>
      </c>
      <c r="H405" s="3">
        <v>14</v>
      </c>
      <c r="I405" s="3">
        <v>6828.4</v>
      </c>
      <c r="J405" s="1" t="s">
        <v>87</v>
      </c>
      <c r="K405" s="1" t="s">
        <v>133</v>
      </c>
      <c r="L405" t="str">
        <f>VLOOKUP(D405, Products!A:C, 3, FALSE)</f>
        <v>Electronics</v>
      </c>
      <c r="M405" t="str">
        <f>VLOOKUP(C405, Customers!A:E, 5, FALSE)</f>
        <v>SMB</v>
      </c>
      <c r="N405">
        <f>VLOOKUP(C405, Customers!A:E, 3, FALSE)</f>
        <v>65</v>
      </c>
      <c r="O405" s="93" t="str">
        <f>VLOOKUP(E405, Sales_Reps!A:C, 3, FALSE)</f>
        <v>West</v>
      </c>
      <c r="P405">
        <f>VLOOKUP(D405, Products!A:E, 4, FALSE)</f>
        <v>2865</v>
      </c>
      <c r="Q405">
        <f>IF(COUNTIF($A$2:A405, A405)=2, 1, 0)</f>
        <v>0</v>
      </c>
      <c r="R405">
        <f>IF(ISNA(MATCH(C405, Customers!$A:$A, 0)), 1, 0)</f>
        <v>0</v>
      </c>
      <c r="S405" s="94" t="b">
        <f>VLOOKUP(D405, Products!A:F, 6, FALSE)</f>
        <v>1</v>
      </c>
    </row>
    <row r="406" spans="1:19">
      <c r="A406" s="102" t="s">
        <v>814</v>
      </c>
      <c r="B406" s="2">
        <v>45349</v>
      </c>
      <c r="C406" s="1" t="s">
        <v>266</v>
      </c>
      <c r="D406" s="1" t="s">
        <v>279</v>
      </c>
      <c r="E406" s="1" t="s">
        <v>303</v>
      </c>
      <c r="F406" s="83">
        <v>9</v>
      </c>
      <c r="G406" s="92">
        <v>2660</v>
      </c>
      <c r="H406" s="3">
        <v>10.1</v>
      </c>
      <c r="I406" s="3">
        <v>21522.06</v>
      </c>
      <c r="J406" s="1" t="s">
        <v>87</v>
      </c>
      <c r="K406" s="1" t="s">
        <v>99</v>
      </c>
      <c r="L406" t="str">
        <f>VLOOKUP(D406, Products!A:C, 3, FALSE)</f>
        <v>Electronics</v>
      </c>
      <c r="M406" t="str">
        <f>VLOOKUP(C406, Customers!A:E, 5, FALSE)</f>
        <v>Corporate</v>
      </c>
      <c r="N406">
        <f>VLOOKUP(C406, Customers!A:E, 3, FALSE)</f>
        <v>55</v>
      </c>
      <c r="O406" s="93" t="str">
        <f>VLOOKUP(E406, Sales_Reps!A:C, 3, FALSE)</f>
        <v>East</v>
      </c>
      <c r="P406">
        <f>VLOOKUP(D406, Products!A:E, 4, FALSE)</f>
        <v>1259</v>
      </c>
      <c r="Q406">
        <f>IF(COUNTIF($A$2:A406, A406)=2, 1, 0)</f>
        <v>0</v>
      </c>
      <c r="R406">
        <f>IF(ISNA(MATCH(C406, Customers!$A:$A, 0)), 1, 0)</f>
        <v>0</v>
      </c>
      <c r="S406" s="94" t="b">
        <f>VLOOKUP(D406, Products!A:F, 6, FALSE)</f>
        <v>0</v>
      </c>
    </row>
    <row r="407" spans="1:19">
      <c r="A407" s="102" t="s">
        <v>815</v>
      </c>
      <c r="B407" s="2">
        <v>45407</v>
      </c>
      <c r="C407" s="1" t="s">
        <v>816</v>
      </c>
      <c r="D407" s="1" t="s">
        <v>195</v>
      </c>
      <c r="E407" s="1" t="s">
        <v>285</v>
      </c>
      <c r="F407" s="83">
        <v>9</v>
      </c>
      <c r="G407" s="92">
        <v>2860</v>
      </c>
      <c r="H407" s="3">
        <v>10.1</v>
      </c>
      <c r="I407" s="3">
        <v>23140.26</v>
      </c>
      <c r="J407" s="1" t="s">
        <v>144</v>
      </c>
      <c r="K407" s="1" t="s">
        <v>88</v>
      </c>
      <c r="L407" t="str">
        <f>VLOOKUP(D407, Products!A:C, 3, FALSE)</f>
        <v>Sports</v>
      </c>
      <c r="M407" t="str">
        <f>VLOOKUP(C407, Customers!A:E, 5, FALSE)</f>
        <v>Retail</v>
      </c>
      <c r="N407">
        <f>VLOOKUP(C407, Customers!A:E, 3, FALSE)</f>
        <v>36</v>
      </c>
      <c r="O407" s="93" t="str">
        <f>VLOOKUP(E407, Sales_Reps!A:C, 3, FALSE)</f>
        <v>East</v>
      </c>
      <c r="P407">
        <f>VLOOKUP(D407, Products!A:E, 4, FALSE)</f>
        <v>2028</v>
      </c>
      <c r="Q407">
        <f>IF(COUNTIF($A$2:A407, A407)=2, 1, 0)</f>
        <v>0</v>
      </c>
      <c r="R407">
        <f>IF(ISNA(MATCH(C407, Customers!$A:$A, 0)), 1, 0)</f>
        <v>0</v>
      </c>
      <c r="S407" s="94" t="b">
        <f>VLOOKUP(D407, Products!A:F, 6, FALSE)</f>
        <v>1</v>
      </c>
    </row>
    <row r="408" spans="1:19">
      <c r="A408" s="102" t="s">
        <v>817</v>
      </c>
      <c r="B408" s="2">
        <v>45591</v>
      </c>
      <c r="C408" s="1" t="s">
        <v>291</v>
      </c>
      <c r="D408" s="1" t="s">
        <v>267</v>
      </c>
      <c r="E408" s="1" t="s">
        <v>86</v>
      </c>
      <c r="F408" s="83">
        <v>7</v>
      </c>
      <c r="G408" s="92">
        <v>1220</v>
      </c>
      <c r="H408" s="3">
        <v>23.5</v>
      </c>
      <c r="I408" s="3">
        <v>6533.1</v>
      </c>
      <c r="J408" s="1" t="s">
        <v>144</v>
      </c>
      <c r="K408" s="1" t="s">
        <v>99</v>
      </c>
      <c r="L408" t="str">
        <f>VLOOKUP(D408, Products!A:C, 3, FALSE)</f>
        <v>Electronics</v>
      </c>
      <c r="M408" t="str">
        <f>VLOOKUP(C408, Customers!A:E, 5, FALSE)</f>
        <v>Retail</v>
      </c>
      <c r="N408">
        <f>VLOOKUP(C408, Customers!A:E, 3, FALSE)</f>
        <v>35</v>
      </c>
      <c r="O408" s="93" t="str">
        <f>VLOOKUP(E408, Sales_Reps!A:C, 3, FALSE)</f>
        <v>North</v>
      </c>
      <c r="P408">
        <f>VLOOKUP(D408, Products!A:E, 4, FALSE)</f>
        <v>517</v>
      </c>
      <c r="Q408">
        <f>IF(COUNTIF($A$2:A408, A408)=2, 1, 0)</f>
        <v>0</v>
      </c>
      <c r="R408">
        <f>IF(ISNA(MATCH(C408, Customers!$A:$A, 0)), 1, 0)</f>
        <v>0</v>
      </c>
      <c r="S408" s="94" t="b">
        <f>VLOOKUP(D408, Products!A:F, 6, FALSE)</f>
        <v>1</v>
      </c>
    </row>
    <row r="409" spans="1:19">
      <c r="A409" s="102" t="s">
        <v>818</v>
      </c>
      <c r="B409" s="2">
        <v>45584</v>
      </c>
      <c r="C409" s="1" t="s">
        <v>434</v>
      </c>
      <c r="D409" s="1" t="s">
        <v>245</v>
      </c>
      <c r="E409" s="1" t="s">
        <v>201</v>
      </c>
      <c r="F409" s="83">
        <v>1</v>
      </c>
      <c r="G409" s="92">
        <v>2270</v>
      </c>
      <c r="H409" s="3">
        <v>5.8</v>
      </c>
      <c r="I409" s="3">
        <v>2138.34</v>
      </c>
      <c r="J409" s="1" t="s">
        <v>140</v>
      </c>
      <c r="K409" s="1" t="s">
        <v>99</v>
      </c>
      <c r="L409" t="str">
        <f>VLOOKUP(D409, Products!A:C, 3, FALSE)</f>
        <v>Grocery</v>
      </c>
      <c r="M409" t="str">
        <f>VLOOKUP(C409, Customers!A:E, 5, FALSE)</f>
        <v>Corporate</v>
      </c>
      <c r="N409">
        <f>VLOOKUP(C409, Customers!A:E, 3, FALSE)</f>
        <v>31</v>
      </c>
      <c r="O409" s="93" t="str">
        <f>VLOOKUP(E409, Sales_Reps!A:C, 3, FALSE)</f>
        <v>West</v>
      </c>
      <c r="P409">
        <f>VLOOKUP(D409, Products!A:E, 4, FALSE)</f>
        <v>1412</v>
      </c>
      <c r="Q409">
        <f>IF(COUNTIF($A$2:A409, A409)=2, 1, 0)</f>
        <v>0</v>
      </c>
      <c r="R409">
        <f>IF(ISNA(MATCH(C409, Customers!$A:$A, 0)), 1, 0)</f>
        <v>0</v>
      </c>
      <c r="S409" s="94" t="b">
        <f>VLOOKUP(D409, Products!A:F, 6, FALSE)</f>
        <v>1</v>
      </c>
    </row>
    <row r="410" spans="1:19">
      <c r="A410" s="102" t="s">
        <v>819</v>
      </c>
      <c r="B410" s="2">
        <v>45581</v>
      </c>
      <c r="C410" s="1" t="s">
        <v>617</v>
      </c>
      <c r="D410" s="1" t="s">
        <v>203</v>
      </c>
      <c r="E410" s="1" t="s">
        <v>297</v>
      </c>
      <c r="F410" s="83">
        <v>2</v>
      </c>
      <c r="G410" s="92">
        <v>660</v>
      </c>
      <c r="H410" s="3">
        <v>2.2999999999999998</v>
      </c>
      <c r="I410" s="3">
        <v>1289.6400000000001</v>
      </c>
      <c r="J410" s="1" t="s">
        <v>87</v>
      </c>
      <c r="K410" s="1" t="s">
        <v>112</v>
      </c>
      <c r="L410" t="str">
        <f>VLOOKUP(D410, Products!A:C, 3, FALSE)</f>
        <v>Home</v>
      </c>
      <c r="M410" t="str">
        <f>VLOOKUP(C410, Customers!A:E, 5, FALSE)</f>
        <v>SMB</v>
      </c>
      <c r="N410">
        <f>VLOOKUP(C410, Customers!A:E, 3, FALSE)</f>
        <v>65</v>
      </c>
      <c r="O410" s="93" t="str">
        <f>VLOOKUP(E410, Sales_Reps!A:C, 3, FALSE)</f>
        <v>North</v>
      </c>
      <c r="P410">
        <f>VLOOKUP(D410, Products!A:E, 4, FALSE)</f>
        <v>329</v>
      </c>
      <c r="Q410">
        <f>IF(COUNTIF($A$2:A410, A410)=2, 1, 0)</f>
        <v>0</v>
      </c>
      <c r="R410">
        <f>IF(ISNA(MATCH(C410, Customers!$A:$A, 0)), 1, 0)</f>
        <v>0</v>
      </c>
      <c r="S410" s="94" t="b">
        <f>VLOOKUP(D410, Products!A:F, 6, FALSE)</f>
        <v>1</v>
      </c>
    </row>
    <row r="411" spans="1:19">
      <c r="A411" s="102" t="s">
        <v>820</v>
      </c>
      <c r="B411" s="2">
        <v>45441</v>
      </c>
      <c r="C411" s="1" t="s">
        <v>345</v>
      </c>
      <c r="D411" s="1" t="s">
        <v>106</v>
      </c>
      <c r="E411" s="1" t="s">
        <v>98</v>
      </c>
      <c r="F411" s="83">
        <v>1</v>
      </c>
      <c r="G411" s="92">
        <v>3160</v>
      </c>
      <c r="H411" s="3">
        <v>5.6</v>
      </c>
      <c r="I411" s="3">
        <v>2983.04</v>
      </c>
      <c r="J411" s="1" t="s">
        <v>87</v>
      </c>
      <c r="K411" s="1" t="s">
        <v>94</v>
      </c>
      <c r="L411" t="str">
        <f>VLOOKUP(D411, Products!A:C, 3, FALSE)</f>
        <v>Apparel</v>
      </c>
      <c r="M411" t="str">
        <f>VLOOKUP(C411, Customers!A:E, 5, FALSE)</f>
        <v>Corporate</v>
      </c>
      <c r="N411">
        <f>VLOOKUP(C411, Customers!A:E, 3, FALSE)</f>
        <v>38</v>
      </c>
      <c r="O411" s="93" t="str">
        <f>VLOOKUP(E411, Sales_Reps!A:C, 3, FALSE)</f>
        <v>South</v>
      </c>
      <c r="P411">
        <f>VLOOKUP(D411, Products!A:E, 4, FALSE)</f>
        <v>1886</v>
      </c>
      <c r="Q411">
        <f>IF(COUNTIF($A$2:A411, A411)=2, 1, 0)</f>
        <v>0</v>
      </c>
      <c r="R411">
        <f>IF(ISNA(MATCH(C411, Customers!$A:$A, 0)), 1, 0)</f>
        <v>0</v>
      </c>
      <c r="S411" s="94" t="b">
        <f>VLOOKUP(D411, Products!A:F, 6, FALSE)</f>
        <v>1</v>
      </c>
    </row>
    <row r="412" spans="1:19">
      <c r="A412" s="102" t="s">
        <v>821</v>
      </c>
      <c r="B412" s="2">
        <v>45408</v>
      </c>
      <c r="C412" s="1" t="s">
        <v>105</v>
      </c>
      <c r="D412" s="1" t="s">
        <v>138</v>
      </c>
      <c r="E412" s="1" t="s">
        <v>252</v>
      </c>
      <c r="F412" s="83">
        <v>1</v>
      </c>
      <c r="G412" s="92">
        <v>2600</v>
      </c>
      <c r="H412" s="3">
        <v>1</v>
      </c>
      <c r="I412" s="3">
        <v>2574</v>
      </c>
      <c r="J412" s="1" t="s">
        <v>87</v>
      </c>
      <c r="K412" s="1" t="s">
        <v>94</v>
      </c>
      <c r="L412" t="str">
        <f>VLOOKUP(D412, Products!A:C, 3, FALSE)</f>
        <v>Electronics</v>
      </c>
      <c r="M412" t="str">
        <f>VLOOKUP(C412, Customers!A:E, 5, FALSE)</f>
        <v>Retail</v>
      </c>
      <c r="N412">
        <f>VLOOKUP(C412, Customers!A:E, 3, FALSE)</f>
        <v>36</v>
      </c>
      <c r="O412" s="93" t="str">
        <f>VLOOKUP(E412, Sales_Reps!A:C, 3, FALSE)</f>
        <v>South</v>
      </c>
      <c r="P412">
        <f>VLOOKUP(D412, Products!A:E, 4, FALSE)</f>
        <v>1052</v>
      </c>
      <c r="Q412">
        <f>IF(COUNTIF($A$2:A412, A412)=2, 1, 0)</f>
        <v>0</v>
      </c>
      <c r="R412">
        <f>IF(ISNA(MATCH(C412, Customers!$A:$A, 0)), 1, 0)</f>
        <v>0</v>
      </c>
      <c r="S412" s="94" t="b">
        <f>VLOOKUP(D412, Products!A:F, 6, FALSE)</f>
        <v>1</v>
      </c>
    </row>
    <row r="413" spans="1:19">
      <c r="A413" s="102" t="s">
        <v>822</v>
      </c>
      <c r="B413" s="2">
        <v>45515</v>
      </c>
      <c r="C413" s="1" t="s">
        <v>823</v>
      </c>
      <c r="D413" s="1" t="s">
        <v>270</v>
      </c>
      <c r="E413" s="1" t="s">
        <v>98</v>
      </c>
      <c r="F413" s="83">
        <v>4</v>
      </c>
      <c r="G413" s="92">
        <v>4610</v>
      </c>
      <c r="H413" s="3">
        <v>18.7</v>
      </c>
      <c r="I413" s="3">
        <v>14991.72</v>
      </c>
      <c r="J413" s="1" t="s">
        <v>87</v>
      </c>
      <c r="K413" s="1" t="s">
        <v>94</v>
      </c>
      <c r="L413" t="str">
        <f>VLOOKUP(D413, Products!A:C, 3, FALSE)</f>
        <v>Home</v>
      </c>
      <c r="M413" t="str">
        <f>VLOOKUP(C413, Customers!A:E, 5, FALSE)</f>
        <v>Retail</v>
      </c>
      <c r="N413">
        <f>VLOOKUP(C413, Customers!A:E, 3, FALSE)</f>
        <v>32</v>
      </c>
      <c r="O413" s="93" t="str">
        <f>VLOOKUP(E413, Sales_Reps!A:C, 3, FALSE)</f>
        <v>South</v>
      </c>
      <c r="P413">
        <f>VLOOKUP(D413, Products!A:E, 4, FALSE)</f>
        <v>1850</v>
      </c>
      <c r="Q413">
        <f>IF(COUNTIF($A$2:A413, A413)=2, 1, 0)</f>
        <v>0</v>
      </c>
      <c r="R413">
        <f>IF(ISNA(MATCH(C413, Customers!$A:$A, 0)), 1, 0)</f>
        <v>0</v>
      </c>
      <c r="S413" s="94" t="b">
        <f>VLOOKUP(D413, Products!A:F, 6, FALSE)</f>
        <v>1</v>
      </c>
    </row>
    <row r="414" spans="1:19">
      <c r="A414" s="102" t="s">
        <v>824</v>
      </c>
      <c r="B414" s="2">
        <v>45412</v>
      </c>
      <c r="C414" s="1" t="s">
        <v>559</v>
      </c>
      <c r="D414" s="1" t="s">
        <v>237</v>
      </c>
      <c r="E414" s="1" t="s">
        <v>303</v>
      </c>
      <c r="F414" s="83">
        <v>3</v>
      </c>
      <c r="G414" s="92">
        <v>3640</v>
      </c>
      <c r="H414" s="3">
        <v>9.6999999999999993</v>
      </c>
      <c r="I414" s="3">
        <v>9860.76</v>
      </c>
      <c r="J414" s="1" t="s">
        <v>140</v>
      </c>
      <c r="K414" s="1" t="s">
        <v>88</v>
      </c>
      <c r="L414" t="str">
        <f>VLOOKUP(D414, Products!A:C, 3, FALSE)</f>
        <v>Apparel</v>
      </c>
      <c r="M414" t="str">
        <f>VLOOKUP(C414, Customers!A:E, 5, FALSE)</f>
        <v>Retail</v>
      </c>
      <c r="N414">
        <f>VLOOKUP(C414, Customers!A:E, 3, FALSE)</f>
        <v>62</v>
      </c>
      <c r="O414" s="93" t="str">
        <f>VLOOKUP(E414, Sales_Reps!A:C, 3, FALSE)</f>
        <v>East</v>
      </c>
      <c r="P414">
        <f>VLOOKUP(D414, Products!A:E, 4, FALSE)</f>
        <v>2611</v>
      </c>
      <c r="Q414">
        <f>IF(COUNTIF($A$2:A414, A414)=2, 1, 0)</f>
        <v>0</v>
      </c>
      <c r="R414">
        <f>IF(ISNA(MATCH(C414, Customers!$A:$A, 0)), 1, 0)</f>
        <v>0</v>
      </c>
      <c r="S414" s="94" t="b">
        <f>VLOOKUP(D414, Products!A:F, 6, FALSE)</f>
        <v>1</v>
      </c>
    </row>
    <row r="415" spans="1:19">
      <c r="A415" s="102" t="s">
        <v>825</v>
      </c>
      <c r="B415" s="2">
        <v>45448</v>
      </c>
      <c r="C415" s="1" t="s">
        <v>546</v>
      </c>
      <c r="D415" s="1" t="s">
        <v>173</v>
      </c>
      <c r="E415" s="1" t="s">
        <v>139</v>
      </c>
      <c r="F415" s="83">
        <v>6</v>
      </c>
      <c r="G415" s="92">
        <v>2720</v>
      </c>
      <c r="H415" s="3">
        <v>13</v>
      </c>
      <c r="I415" s="3">
        <v>14198.4</v>
      </c>
      <c r="J415" s="1" t="s">
        <v>93</v>
      </c>
      <c r="K415" s="1" t="s">
        <v>99</v>
      </c>
      <c r="L415" t="str">
        <f>VLOOKUP(D415, Products!A:C, 3, FALSE)</f>
        <v>Apparel</v>
      </c>
      <c r="M415" t="str">
        <f>VLOOKUP(C415, Customers!A:E, 5, FALSE)</f>
        <v>SMB</v>
      </c>
      <c r="N415">
        <f>VLOOKUP(C415, Customers!A:E, 3, FALSE)</f>
        <v>29</v>
      </c>
      <c r="O415" s="93" t="str">
        <f>VLOOKUP(E415, Sales_Reps!A:C, 3, FALSE)</f>
        <v>North</v>
      </c>
      <c r="P415">
        <f>VLOOKUP(D415, Products!A:E, 4, FALSE)</f>
        <v>1962</v>
      </c>
      <c r="Q415">
        <f>IF(COUNTIF($A$2:A415, A415)=2, 1, 0)</f>
        <v>0</v>
      </c>
      <c r="R415">
        <f>IF(ISNA(MATCH(C415, Customers!$A:$A, 0)), 1, 0)</f>
        <v>0</v>
      </c>
      <c r="S415" s="94" t="b">
        <f>VLOOKUP(D415, Products!A:F, 6, FALSE)</f>
        <v>1</v>
      </c>
    </row>
    <row r="416" spans="1:19">
      <c r="A416" s="102" t="s">
        <v>826</v>
      </c>
      <c r="B416" s="2">
        <v>45644</v>
      </c>
      <c r="C416" s="1" t="s">
        <v>530</v>
      </c>
      <c r="D416" s="1" t="s">
        <v>461</v>
      </c>
      <c r="E416" s="1" t="s">
        <v>107</v>
      </c>
      <c r="F416" s="83">
        <v>5</v>
      </c>
      <c r="G416" s="92">
        <v>3780</v>
      </c>
      <c r="H416" s="3">
        <v>15.2</v>
      </c>
      <c r="I416" s="3">
        <v>16027.2</v>
      </c>
      <c r="J416" s="1" t="s">
        <v>87</v>
      </c>
      <c r="K416" s="1" t="s">
        <v>99</v>
      </c>
      <c r="L416" t="str">
        <f>VLOOKUP(D416, Products!A:C, 3, FALSE)</f>
        <v>Sports</v>
      </c>
      <c r="M416" t="str">
        <f>VLOOKUP(C416, Customers!A:E, 5, FALSE)</f>
        <v>Retail</v>
      </c>
      <c r="N416">
        <f>VLOOKUP(C416, Customers!A:E, 3, FALSE)</f>
        <v>45</v>
      </c>
      <c r="O416" s="93" t="str">
        <f>VLOOKUP(E416, Sales_Reps!A:C, 3, FALSE)</f>
        <v>North</v>
      </c>
      <c r="P416">
        <f>VLOOKUP(D416, Products!A:E, 4, FALSE)</f>
        <v>1860</v>
      </c>
      <c r="Q416">
        <f>IF(COUNTIF($A$2:A416, A416)=2, 1, 0)</f>
        <v>0</v>
      </c>
      <c r="R416">
        <f>IF(ISNA(MATCH(C416, Customers!$A:$A, 0)), 1, 0)</f>
        <v>0</v>
      </c>
      <c r="S416" s="94" t="b">
        <f>VLOOKUP(D416, Products!A:F, 6, FALSE)</f>
        <v>1</v>
      </c>
    </row>
    <row r="417" spans="1:19">
      <c r="A417" s="102" t="s">
        <v>827</v>
      </c>
      <c r="B417" s="2">
        <v>45407</v>
      </c>
      <c r="C417" s="1" t="s">
        <v>828</v>
      </c>
      <c r="D417" s="1" t="s">
        <v>502</v>
      </c>
      <c r="E417" s="1" t="s">
        <v>170</v>
      </c>
      <c r="F417" s="83">
        <v>9</v>
      </c>
      <c r="G417" s="92">
        <v>1090</v>
      </c>
      <c r="H417" s="3">
        <v>28.5</v>
      </c>
      <c r="I417" s="3">
        <v>7014.15</v>
      </c>
      <c r="J417" s="1" t="s">
        <v>87</v>
      </c>
      <c r="K417" s="1" t="s">
        <v>133</v>
      </c>
      <c r="L417" t="str">
        <f>VLOOKUP(D417, Products!A:C, 3, FALSE)</f>
        <v>Home</v>
      </c>
      <c r="M417" t="str">
        <f>VLOOKUP(C417, Customers!A:E, 5, FALSE)</f>
        <v>Retail</v>
      </c>
      <c r="N417">
        <f>VLOOKUP(C417, Customers!A:E, 3, FALSE)</f>
        <v>52</v>
      </c>
      <c r="O417" s="93" t="str">
        <f>VLOOKUP(E417, Sales_Reps!A:C, 3, FALSE)</f>
        <v>West</v>
      </c>
      <c r="P417">
        <f>VLOOKUP(D417, Products!A:E, 4, FALSE)</f>
        <v>464</v>
      </c>
      <c r="Q417">
        <f>IF(COUNTIF($A$2:A417, A417)=2, 1, 0)</f>
        <v>0</v>
      </c>
      <c r="R417">
        <f>IF(ISNA(MATCH(C417, Customers!$A:$A, 0)), 1, 0)</f>
        <v>0</v>
      </c>
      <c r="S417" s="94" t="b">
        <f>VLOOKUP(D417, Products!A:F, 6, FALSE)</f>
        <v>1</v>
      </c>
    </row>
    <row r="418" spans="1:19">
      <c r="A418" s="102" t="s">
        <v>829</v>
      </c>
      <c r="B418" s="2">
        <v>45581</v>
      </c>
      <c r="C418" s="1" t="s">
        <v>585</v>
      </c>
      <c r="D418" s="1" t="s">
        <v>502</v>
      </c>
      <c r="E418" s="1" t="s">
        <v>128</v>
      </c>
      <c r="F418" s="83">
        <v>6</v>
      </c>
      <c r="G418" s="92">
        <v>1090</v>
      </c>
      <c r="H418" s="3">
        <v>28.7</v>
      </c>
      <c r="I418" s="3">
        <v>4663.0200000000004</v>
      </c>
      <c r="J418" s="1" t="s">
        <v>87</v>
      </c>
      <c r="K418" s="1" t="s">
        <v>94</v>
      </c>
      <c r="L418" t="str">
        <f>VLOOKUP(D418, Products!A:C, 3, FALSE)</f>
        <v>Home</v>
      </c>
      <c r="M418" t="str">
        <f>VLOOKUP(C418, Customers!A:E, 5, FALSE)</f>
        <v>Retail</v>
      </c>
      <c r="N418">
        <f>VLOOKUP(C418, Customers!A:E, 3, FALSE)</f>
        <v>26</v>
      </c>
      <c r="O418" s="93" t="str">
        <f>VLOOKUP(E418, Sales_Reps!A:C, 3, FALSE)</f>
        <v>West</v>
      </c>
      <c r="P418">
        <f>VLOOKUP(D418, Products!A:E, 4, FALSE)</f>
        <v>464</v>
      </c>
      <c r="Q418">
        <f>IF(COUNTIF($A$2:A418, A418)=2, 1, 0)</f>
        <v>0</v>
      </c>
      <c r="R418">
        <f>IF(ISNA(MATCH(C418, Customers!$A:$A, 0)), 1, 0)</f>
        <v>0</v>
      </c>
      <c r="S418" s="94" t="b">
        <f>VLOOKUP(D418, Products!A:F, 6, FALSE)</f>
        <v>1</v>
      </c>
    </row>
    <row r="419" spans="1:19">
      <c r="A419" s="102" t="s">
        <v>830</v>
      </c>
      <c r="B419" s="2">
        <v>45366</v>
      </c>
      <c r="C419" s="1" t="s">
        <v>613</v>
      </c>
      <c r="D419" s="1" t="s">
        <v>355</v>
      </c>
      <c r="E419" s="1" t="s">
        <v>170</v>
      </c>
      <c r="F419" s="83">
        <v>5</v>
      </c>
      <c r="G419" s="92">
        <v>2510</v>
      </c>
      <c r="H419" s="3">
        <v>25</v>
      </c>
      <c r="I419" s="3">
        <v>9412.5</v>
      </c>
      <c r="J419" s="1" t="s">
        <v>87</v>
      </c>
      <c r="K419" s="1" t="s">
        <v>112</v>
      </c>
      <c r="L419" t="str">
        <f>VLOOKUP(D419, Products!A:C, 3, FALSE)</f>
        <v>Apparel</v>
      </c>
      <c r="M419" t="str">
        <f>VLOOKUP(C419, Customers!A:E, 5, FALSE)</f>
        <v>Retail</v>
      </c>
      <c r="N419">
        <f>VLOOKUP(C419, Customers!A:E, 3, FALSE)</f>
        <v>44</v>
      </c>
      <c r="O419" s="93" t="str">
        <f>VLOOKUP(E419, Sales_Reps!A:C, 3, FALSE)</f>
        <v>West</v>
      </c>
      <c r="P419">
        <f>VLOOKUP(D419, Products!A:E, 4, FALSE)</f>
        <v>1075</v>
      </c>
      <c r="Q419">
        <f>IF(COUNTIF($A$2:A419, A419)=2, 1, 0)</f>
        <v>0</v>
      </c>
      <c r="R419">
        <f>IF(ISNA(MATCH(C419, Customers!$A:$A, 0)), 1, 0)</f>
        <v>0</v>
      </c>
      <c r="S419" s="94" t="b">
        <f>VLOOKUP(D419, Products!A:F, 6, FALSE)</f>
        <v>0</v>
      </c>
    </row>
    <row r="420" spans="1:19">
      <c r="A420" s="102" t="s">
        <v>831</v>
      </c>
      <c r="B420" s="2">
        <v>45577</v>
      </c>
      <c r="C420" s="1" t="s">
        <v>373</v>
      </c>
      <c r="D420" s="1" t="s">
        <v>408</v>
      </c>
      <c r="E420" s="1" t="s">
        <v>132</v>
      </c>
      <c r="F420" s="83">
        <v>5</v>
      </c>
      <c r="G420" s="92">
        <v>3970</v>
      </c>
      <c r="H420" s="3">
        <v>26</v>
      </c>
      <c r="I420" s="3">
        <v>14689</v>
      </c>
      <c r="J420" s="1" t="s">
        <v>87</v>
      </c>
      <c r="K420" s="1" t="s">
        <v>88</v>
      </c>
      <c r="L420" t="str">
        <f>VLOOKUP(D420, Products!A:C, 3, FALSE)</f>
        <v>Electronics</v>
      </c>
      <c r="M420" t="str">
        <f>VLOOKUP(C420, Customers!A:E, 5, FALSE)</f>
        <v>Retail</v>
      </c>
      <c r="N420">
        <f>VLOOKUP(C420, Customers!A:E, 3, FALSE)</f>
        <v>43</v>
      </c>
      <c r="O420" s="93" t="str">
        <f>VLOOKUP(E420, Sales_Reps!A:C, 3, FALSE)</f>
        <v>South</v>
      </c>
      <c r="P420">
        <f>VLOOKUP(D420, Products!A:E, 4, FALSE)</f>
        <v>2865</v>
      </c>
      <c r="Q420">
        <f>IF(COUNTIF($A$2:A420, A420)=2, 1, 0)</f>
        <v>0</v>
      </c>
      <c r="R420">
        <f>IF(ISNA(MATCH(C420, Customers!$A:$A, 0)), 1, 0)</f>
        <v>0</v>
      </c>
      <c r="S420" s="94" t="b">
        <f>VLOOKUP(D420, Products!A:F, 6, FALSE)</f>
        <v>1</v>
      </c>
    </row>
    <row r="421" spans="1:19">
      <c r="A421" s="102" t="s">
        <v>832</v>
      </c>
      <c r="B421" s="2">
        <v>45333</v>
      </c>
      <c r="C421" s="1" t="s">
        <v>528</v>
      </c>
      <c r="D421" s="1" t="s">
        <v>264</v>
      </c>
      <c r="E421" s="1" t="s">
        <v>215</v>
      </c>
      <c r="F421" s="83">
        <v>9</v>
      </c>
      <c r="G421" s="92">
        <v>4070</v>
      </c>
      <c r="H421" s="3">
        <v>15.7</v>
      </c>
      <c r="I421" s="3">
        <v>30879.09</v>
      </c>
      <c r="J421" s="1" t="s">
        <v>87</v>
      </c>
      <c r="K421" s="1" t="s">
        <v>112</v>
      </c>
      <c r="L421" t="str">
        <f>VLOOKUP(D421, Products!A:C, 3, FALSE)</f>
        <v>Grocery</v>
      </c>
      <c r="M421" t="str">
        <f>VLOOKUP(C421, Customers!A:E, 5, FALSE)</f>
        <v>Retail</v>
      </c>
      <c r="N421">
        <f>VLOOKUP(C421, Customers!A:E, 3, FALSE)</f>
        <v>44</v>
      </c>
      <c r="O421" s="93" t="str">
        <f>VLOOKUP(E421, Sales_Reps!A:C, 3, FALSE)</f>
        <v>North</v>
      </c>
      <c r="P421">
        <f>VLOOKUP(D421, Products!A:E, 4, FALSE)</f>
        <v>2027</v>
      </c>
      <c r="Q421">
        <f>IF(COUNTIF($A$2:A421, A421)=2, 1, 0)</f>
        <v>0</v>
      </c>
      <c r="R421">
        <f>IF(ISNA(MATCH(C421, Customers!$A:$A, 0)), 1, 0)</f>
        <v>0</v>
      </c>
      <c r="S421" s="94" t="b">
        <f>VLOOKUP(D421, Products!A:F, 6, FALSE)</f>
        <v>1</v>
      </c>
    </row>
    <row r="422" spans="1:19">
      <c r="A422" s="102" t="s">
        <v>833</v>
      </c>
      <c r="B422" s="2">
        <v>45418</v>
      </c>
      <c r="C422" s="1" t="s">
        <v>254</v>
      </c>
      <c r="D422" s="1" t="s">
        <v>124</v>
      </c>
      <c r="E422" s="1" t="s">
        <v>139</v>
      </c>
      <c r="F422" s="83">
        <v>6</v>
      </c>
      <c r="G422" s="92">
        <v>5490</v>
      </c>
      <c r="H422" s="3">
        <v>8.5</v>
      </c>
      <c r="I422" s="3">
        <v>30140.1</v>
      </c>
      <c r="J422" s="1" t="s">
        <v>144</v>
      </c>
      <c r="K422" s="1" t="s">
        <v>94</v>
      </c>
      <c r="L422" t="str">
        <f>VLOOKUP(D422, Products!A:C, 3, FALSE)</f>
        <v>Home</v>
      </c>
      <c r="M422" t="str">
        <f>VLOOKUP(C422, Customers!A:E, 5, FALSE)</f>
        <v>Retail</v>
      </c>
      <c r="N422">
        <f>VLOOKUP(C422, Customers!A:E, 3, FALSE)</f>
        <v>24</v>
      </c>
      <c r="O422" s="93" t="str">
        <f>VLOOKUP(E422, Sales_Reps!A:C, 3, FALSE)</f>
        <v>North</v>
      </c>
      <c r="P422">
        <f>VLOOKUP(D422, Products!A:E, 4, FALSE)</f>
        <v>2549</v>
      </c>
      <c r="Q422">
        <f>IF(COUNTIF($A$2:A422, A422)=2, 1, 0)</f>
        <v>0</v>
      </c>
      <c r="R422">
        <f>IF(ISNA(MATCH(C422, Customers!$A:$A, 0)), 1, 0)</f>
        <v>0</v>
      </c>
      <c r="S422" s="94" t="b">
        <f>VLOOKUP(D422, Products!A:F, 6, FALSE)</f>
        <v>1</v>
      </c>
    </row>
    <row r="423" spans="1:19">
      <c r="A423" s="102" t="s">
        <v>834</v>
      </c>
      <c r="B423" s="2">
        <v>45615</v>
      </c>
      <c r="C423" s="1" t="s">
        <v>835</v>
      </c>
      <c r="D423" s="1" t="s">
        <v>182</v>
      </c>
      <c r="E423" s="1" t="s">
        <v>285</v>
      </c>
      <c r="F423" s="83">
        <v>9</v>
      </c>
      <c r="G423" s="92">
        <v>1010</v>
      </c>
      <c r="H423" s="3">
        <v>3.6</v>
      </c>
      <c r="I423" s="3">
        <v>8762.76</v>
      </c>
      <c r="J423" s="1" t="s">
        <v>87</v>
      </c>
      <c r="K423" s="1" t="s">
        <v>117</v>
      </c>
      <c r="L423" t="str">
        <f>VLOOKUP(D423, Products!A:C, 3, FALSE)</f>
        <v>Sports</v>
      </c>
      <c r="M423" t="str">
        <f>VLOOKUP(C423, Customers!A:E, 5, FALSE)</f>
        <v>Retail</v>
      </c>
      <c r="N423">
        <f>VLOOKUP(C423, Customers!A:E, 3, FALSE)</f>
        <v>52</v>
      </c>
      <c r="O423" s="93" t="str">
        <f>VLOOKUP(E423, Sales_Reps!A:C, 3, FALSE)</f>
        <v>East</v>
      </c>
      <c r="P423">
        <f>VLOOKUP(D423, Products!A:E, 4, FALSE)</f>
        <v>516</v>
      </c>
      <c r="Q423">
        <f>IF(COUNTIF($A$2:A423, A423)=2, 1, 0)</f>
        <v>0</v>
      </c>
      <c r="R423">
        <f>IF(ISNA(MATCH(C423, Customers!$A:$A, 0)), 1, 0)</f>
        <v>0</v>
      </c>
      <c r="S423" s="94" t="b">
        <f>VLOOKUP(D423, Products!A:F, 6, FALSE)</f>
        <v>1</v>
      </c>
    </row>
    <row r="424" spans="1:19">
      <c r="A424" s="102" t="s">
        <v>836</v>
      </c>
      <c r="B424" s="2">
        <v>45631</v>
      </c>
      <c r="C424" s="1" t="s">
        <v>837</v>
      </c>
      <c r="D424" s="1" t="s">
        <v>102</v>
      </c>
      <c r="E424" s="1" t="s">
        <v>107</v>
      </c>
      <c r="F424" s="83">
        <v>6</v>
      </c>
      <c r="G424" s="92">
        <v>3660</v>
      </c>
      <c r="H424" s="3">
        <v>10.8</v>
      </c>
      <c r="I424" s="3">
        <v>19588.32</v>
      </c>
      <c r="J424" s="1" t="s">
        <v>87</v>
      </c>
      <c r="K424" s="1" t="s">
        <v>117</v>
      </c>
      <c r="L424" t="str">
        <f>VLOOKUP(D424, Products!A:C, 3, FALSE)</f>
        <v>Grocery</v>
      </c>
      <c r="M424" t="str">
        <f>VLOOKUP(C424, Customers!A:E, 5, FALSE)</f>
        <v>Retail</v>
      </c>
      <c r="N424">
        <f>VLOOKUP(C424, Customers!A:E, 3, FALSE)</f>
        <v>37</v>
      </c>
      <c r="O424" s="93" t="str">
        <f>VLOOKUP(E424, Sales_Reps!A:C, 3, FALSE)</f>
        <v>North</v>
      </c>
      <c r="P424">
        <f>VLOOKUP(D424, Products!A:E, 4, FALSE)</f>
        <v>2214</v>
      </c>
      <c r="Q424">
        <f>IF(COUNTIF($A$2:A424, A424)=2, 1, 0)</f>
        <v>0</v>
      </c>
      <c r="R424">
        <f>IF(ISNA(MATCH(C424, Customers!$A:$A, 0)), 1, 0)</f>
        <v>0</v>
      </c>
      <c r="S424" s="94" t="b">
        <f>VLOOKUP(D424, Products!A:F, 6, FALSE)</f>
        <v>0</v>
      </c>
    </row>
    <row r="425" spans="1:19">
      <c r="A425" s="102" t="s">
        <v>838</v>
      </c>
      <c r="B425" s="2">
        <v>45524</v>
      </c>
      <c r="C425" s="1" t="s">
        <v>413</v>
      </c>
      <c r="D425" s="1" t="s">
        <v>157</v>
      </c>
      <c r="E425" s="1" t="s">
        <v>346</v>
      </c>
      <c r="F425" s="83">
        <v>6</v>
      </c>
      <c r="G425" s="92">
        <v>3450</v>
      </c>
      <c r="H425" s="3">
        <v>10.7</v>
      </c>
      <c r="I425" s="3">
        <v>18485.099999999999</v>
      </c>
      <c r="J425" s="1" t="s">
        <v>87</v>
      </c>
      <c r="K425" s="1" t="s">
        <v>88</v>
      </c>
      <c r="L425" t="str">
        <f>VLOOKUP(D425, Products!A:C, 3, FALSE)</f>
        <v>Beauty</v>
      </c>
      <c r="M425" t="str">
        <f>VLOOKUP(C425, Customers!A:E, 5, FALSE)</f>
        <v>Retail</v>
      </c>
      <c r="N425">
        <f>VLOOKUP(C425, Customers!A:E, 3, FALSE)</f>
        <v>22</v>
      </c>
      <c r="O425" s="93" t="str">
        <f>VLOOKUP(E425, Sales_Reps!A:C, 3, FALSE)</f>
        <v>South</v>
      </c>
      <c r="P425">
        <f>VLOOKUP(D425, Products!A:E, 4, FALSE)</f>
        <v>2420</v>
      </c>
      <c r="Q425">
        <f>IF(COUNTIF($A$2:A425, A425)=2, 1, 0)</f>
        <v>0</v>
      </c>
      <c r="R425">
        <f>IF(ISNA(MATCH(C425, Customers!$A:$A, 0)), 1, 0)</f>
        <v>0</v>
      </c>
      <c r="S425" s="94" t="b">
        <f>VLOOKUP(D425, Products!A:F, 6, FALSE)</f>
        <v>1</v>
      </c>
    </row>
    <row r="426" spans="1:19">
      <c r="A426" s="102" t="s">
        <v>839</v>
      </c>
      <c r="B426" s="2">
        <v>45379</v>
      </c>
      <c r="C426" s="1" t="s">
        <v>225</v>
      </c>
      <c r="D426" s="1" t="s">
        <v>264</v>
      </c>
      <c r="E426" s="1" t="s">
        <v>273</v>
      </c>
      <c r="F426" s="83">
        <v>10</v>
      </c>
      <c r="G426" s="92">
        <v>4070</v>
      </c>
      <c r="H426" s="3">
        <v>23.4</v>
      </c>
      <c r="I426" s="3">
        <v>31176.2</v>
      </c>
      <c r="J426" s="1" t="s">
        <v>144</v>
      </c>
      <c r="K426" s="1" t="s">
        <v>94</v>
      </c>
      <c r="L426" t="str">
        <f>VLOOKUP(D426, Products!A:C, 3, FALSE)</f>
        <v>Grocery</v>
      </c>
      <c r="M426" t="str">
        <f>VLOOKUP(C426, Customers!A:E, 5, FALSE)</f>
        <v>Retail</v>
      </c>
      <c r="N426">
        <f>VLOOKUP(C426, Customers!A:E, 3, FALSE)</f>
        <v>37</v>
      </c>
      <c r="O426" s="93" t="str">
        <f>VLOOKUP(E426, Sales_Reps!A:C, 3, FALSE)</f>
        <v>South</v>
      </c>
      <c r="P426">
        <f>VLOOKUP(D426, Products!A:E, 4, FALSE)</f>
        <v>2027</v>
      </c>
      <c r="Q426">
        <f>IF(COUNTIF($A$2:A426, A426)=2, 1, 0)</f>
        <v>0</v>
      </c>
      <c r="R426">
        <f>IF(ISNA(MATCH(C426, Customers!$A:$A, 0)), 1, 0)</f>
        <v>0</v>
      </c>
      <c r="S426" s="94" t="b">
        <f>VLOOKUP(D426, Products!A:F, 6, FALSE)</f>
        <v>1</v>
      </c>
    </row>
    <row r="427" spans="1:19">
      <c r="A427" s="102" t="s">
        <v>840</v>
      </c>
      <c r="B427" s="2">
        <v>45454</v>
      </c>
      <c r="C427" s="1" t="s">
        <v>841</v>
      </c>
      <c r="D427" s="1" t="s">
        <v>187</v>
      </c>
      <c r="E427" s="1" t="s">
        <v>111</v>
      </c>
      <c r="F427" s="83">
        <v>9</v>
      </c>
      <c r="G427" s="92">
        <v>3570</v>
      </c>
      <c r="H427" s="3">
        <v>15.2</v>
      </c>
      <c r="I427" s="3">
        <v>27246.240000000002</v>
      </c>
      <c r="J427" s="1" t="s">
        <v>87</v>
      </c>
      <c r="K427" s="1" t="s">
        <v>117</v>
      </c>
      <c r="L427" t="str">
        <f>VLOOKUP(D427, Products!A:C, 3, FALSE)</f>
        <v>Electronics</v>
      </c>
      <c r="M427" t="str">
        <f>VLOOKUP(C427, Customers!A:E, 5, FALSE)</f>
        <v>Corporate</v>
      </c>
      <c r="N427">
        <f>VLOOKUP(C427, Customers!A:E, 3, FALSE)</f>
        <v>41</v>
      </c>
      <c r="O427" s="93" t="str">
        <f>VLOOKUP(E427, Sales_Reps!A:C, 3, FALSE)</f>
        <v>West</v>
      </c>
      <c r="P427">
        <f>VLOOKUP(D427, Products!A:E, 4, FALSE)</f>
        <v>1665</v>
      </c>
      <c r="Q427">
        <f>IF(COUNTIF($A$2:A427, A427)=2, 1, 0)</f>
        <v>0</v>
      </c>
      <c r="R427">
        <f>IF(ISNA(MATCH(C427, Customers!$A:$A, 0)), 1, 0)</f>
        <v>0</v>
      </c>
      <c r="S427" s="94" t="b">
        <f>VLOOKUP(D427, Products!A:F, 6, FALSE)</f>
        <v>1</v>
      </c>
    </row>
    <row r="428" spans="1:19">
      <c r="A428" s="102" t="s">
        <v>842</v>
      </c>
      <c r="B428" s="2">
        <v>45562</v>
      </c>
      <c r="C428" s="1" t="s">
        <v>119</v>
      </c>
      <c r="D428" s="1" t="s">
        <v>515</v>
      </c>
      <c r="E428" s="1" t="s">
        <v>92</v>
      </c>
      <c r="F428" s="83">
        <v>10</v>
      </c>
      <c r="G428" s="92">
        <v>6940</v>
      </c>
      <c r="H428" s="3">
        <v>21.8</v>
      </c>
      <c r="I428" s="3">
        <v>54270.8</v>
      </c>
      <c r="J428" s="1" t="s">
        <v>93</v>
      </c>
      <c r="K428" s="1" t="s">
        <v>117</v>
      </c>
      <c r="L428" t="str">
        <f>VLOOKUP(D428, Products!A:C, 3, FALSE)</f>
        <v>Sports</v>
      </c>
      <c r="M428" t="str">
        <f>VLOOKUP(C428, Customers!A:E, 5, FALSE)</f>
        <v>Corporate</v>
      </c>
      <c r="N428">
        <f>VLOOKUP(C428, Customers!A:E, 3, FALSE)</f>
        <v>57</v>
      </c>
      <c r="O428" s="93" t="str">
        <f>VLOOKUP(E428, Sales_Reps!A:C, 3, FALSE)</f>
        <v>North</v>
      </c>
      <c r="P428">
        <f>VLOOKUP(D428, Products!A:E, 4, FALSE)</f>
        <v>2827</v>
      </c>
      <c r="Q428">
        <f>IF(COUNTIF($A$2:A428, A428)=2, 1, 0)</f>
        <v>0</v>
      </c>
      <c r="R428">
        <f>IF(ISNA(MATCH(C428, Customers!$A:$A, 0)), 1, 0)</f>
        <v>0</v>
      </c>
      <c r="S428" s="94" t="b">
        <f>VLOOKUP(D428, Products!A:F, 6, FALSE)</f>
        <v>1</v>
      </c>
    </row>
    <row r="429" spans="1:19">
      <c r="A429" s="102" t="s">
        <v>843</v>
      </c>
      <c r="B429" s="2">
        <v>45489</v>
      </c>
      <c r="C429" s="1" t="s">
        <v>316</v>
      </c>
      <c r="D429" s="1" t="s">
        <v>176</v>
      </c>
      <c r="E429" s="1" t="s">
        <v>98</v>
      </c>
      <c r="F429" s="83">
        <v>9</v>
      </c>
      <c r="G429" s="92">
        <v>1650</v>
      </c>
      <c r="H429" s="3">
        <v>24.3</v>
      </c>
      <c r="I429" s="3">
        <v>11241.45</v>
      </c>
      <c r="J429" s="1" t="s">
        <v>87</v>
      </c>
      <c r="K429" s="1" t="s">
        <v>88</v>
      </c>
      <c r="L429" t="str">
        <f>VLOOKUP(D429, Products!A:C, 3, FALSE)</f>
        <v>Beauty</v>
      </c>
      <c r="M429" t="str">
        <f>VLOOKUP(C429, Customers!A:E, 5, FALSE)</f>
        <v>SMB</v>
      </c>
      <c r="N429">
        <f>VLOOKUP(C429, Customers!A:E, 3, FALSE)</f>
        <v>60</v>
      </c>
      <c r="O429" s="93" t="str">
        <f>VLOOKUP(E429, Sales_Reps!A:C, 3, FALSE)</f>
        <v>South</v>
      </c>
      <c r="P429">
        <f>VLOOKUP(D429, Products!A:E, 4, FALSE)</f>
        <v>1222</v>
      </c>
      <c r="Q429">
        <f>IF(COUNTIF($A$2:A429, A429)=2, 1, 0)</f>
        <v>0</v>
      </c>
      <c r="R429">
        <f>IF(ISNA(MATCH(C429, Customers!$A:$A, 0)), 1, 0)</f>
        <v>0</v>
      </c>
      <c r="S429" s="94" t="b">
        <f>VLOOKUP(D429, Products!A:F, 6, FALSE)</f>
        <v>1</v>
      </c>
    </row>
    <row r="430" spans="1:19">
      <c r="A430" s="102" t="s">
        <v>844</v>
      </c>
      <c r="B430" s="2">
        <v>45624</v>
      </c>
      <c r="C430" s="1" t="s">
        <v>567</v>
      </c>
      <c r="D430" s="1" t="s">
        <v>120</v>
      </c>
      <c r="E430" s="1" t="s">
        <v>98</v>
      </c>
      <c r="F430" s="83">
        <v>10</v>
      </c>
      <c r="G430" s="92">
        <v>1430</v>
      </c>
      <c r="H430" s="3">
        <v>25.2</v>
      </c>
      <c r="I430" s="3">
        <v>10696.4</v>
      </c>
      <c r="J430" s="1" t="s">
        <v>87</v>
      </c>
      <c r="K430" s="1" t="s">
        <v>117</v>
      </c>
      <c r="L430" t="str">
        <f>VLOOKUP(D430, Products!A:C, 3, FALSE)</f>
        <v>Electronics</v>
      </c>
      <c r="M430" t="str">
        <f>VLOOKUP(C430, Customers!A:E, 5, FALSE)</f>
        <v>Corporate</v>
      </c>
      <c r="N430">
        <f>VLOOKUP(C430, Customers!A:E, 3, FALSE)</f>
        <v>41</v>
      </c>
      <c r="O430" s="93" t="str">
        <f>VLOOKUP(E430, Sales_Reps!A:C, 3, FALSE)</f>
        <v>South</v>
      </c>
      <c r="P430">
        <f>VLOOKUP(D430, Products!A:E, 4, FALSE)</f>
        <v>861</v>
      </c>
      <c r="Q430">
        <f>IF(COUNTIF($A$2:A430, A430)=2, 1, 0)</f>
        <v>0</v>
      </c>
      <c r="R430">
        <f>IF(ISNA(MATCH(C430, Customers!$A:$A, 0)), 1, 0)</f>
        <v>0</v>
      </c>
      <c r="S430" s="94" t="b">
        <f>VLOOKUP(D430, Products!A:F, 6, FALSE)</f>
        <v>1</v>
      </c>
    </row>
    <row r="431" spans="1:19">
      <c r="A431" s="102" t="s">
        <v>845</v>
      </c>
      <c r="B431" s="2">
        <v>45480</v>
      </c>
      <c r="C431" s="1" t="s">
        <v>624</v>
      </c>
      <c r="D431" s="1" t="s">
        <v>351</v>
      </c>
      <c r="E431" s="1" t="s">
        <v>132</v>
      </c>
      <c r="F431" s="83">
        <v>4</v>
      </c>
      <c r="G431" s="92">
        <v>4060</v>
      </c>
      <c r="H431" s="3">
        <v>1.6</v>
      </c>
      <c r="I431" s="3">
        <v>15980.16</v>
      </c>
      <c r="J431" s="1" t="s">
        <v>87</v>
      </c>
      <c r="K431" s="1" t="s">
        <v>88</v>
      </c>
      <c r="L431" t="str">
        <f>VLOOKUP(D431, Products!A:C, 3, FALSE)</f>
        <v>Grocery</v>
      </c>
      <c r="M431" t="str">
        <f>VLOOKUP(C431, Customers!A:E, 5, FALSE)</f>
        <v>Corporate</v>
      </c>
      <c r="N431">
        <f>VLOOKUP(C431, Customers!A:E, 3, FALSE)</f>
        <v>31</v>
      </c>
      <c r="O431" s="93" t="str">
        <f>VLOOKUP(E431, Sales_Reps!A:C, 3, FALSE)</f>
        <v>South</v>
      </c>
      <c r="P431">
        <f>VLOOKUP(D431, Products!A:E, 4, FALSE)</f>
        <v>2911</v>
      </c>
      <c r="Q431">
        <f>IF(COUNTIF($A$2:A431, A431)=2, 1, 0)</f>
        <v>0</v>
      </c>
      <c r="R431">
        <f>IF(ISNA(MATCH(C431, Customers!$A:$A, 0)), 1, 0)</f>
        <v>0</v>
      </c>
      <c r="S431" s="94" t="b">
        <f>VLOOKUP(D431, Products!A:F, 6, FALSE)</f>
        <v>1</v>
      </c>
    </row>
    <row r="432" spans="1:19">
      <c r="A432" s="102" t="s">
        <v>846</v>
      </c>
      <c r="B432" s="2">
        <v>45420</v>
      </c>
      <c r="C432" s="1" t="s">
        <v>606</v>
      </c>
      <c r="D432" s="1" t="s">
        <v>110</v>
      </c>
      <c r="E432" s="1" t="s">
        <v>92</v>
      </c>
      <c r="F432" s="83">
        <v>9</v>
      </c>
      <c r="G432" s="92">
        <v>370</v>
      </c>
      <c r="H432" s="3">
        <v>17</v>
      </c>
      <c r="I432" s="3">
        <v>2763.9</v>
      </c>
      <c r="J432" s="1" t="s">
        <v>87</v>
      </c>
      <c r="K432" s="1" t="s">
        <v>112</v>
      </c>
      <c r="L432" t="str">
        <f>VLOOKUP(D432, Products!A:C, 3, FALSE)</f>
        <v>Home</v>
      </c>
      <c r="M432" t="str">
        <f>VLOOKUP(C432, Customers!A:E, 5, FALSE)</f>
        <v>Retail</v>
      </c>
      <c r="N432">
        <f>VLOOKUP(C432, Customers!A:E, 3, FALSE)</f>
        <v>52</v>
      </c>
      <c r="O432" s="93" t="str">
        <f>VLOOKUP(E432, Sales_Reps!A:C, 3, FALSE)</f>
        <v>North</v>
      </c>
      <c r="P432">
        <f>VLOOKUP(D432, Products!A:E, 4, FALSE)</f>
        <v>288</v>
      </c>
      <c r="Q432">
        <f>IF(COUNTIF($A$2:A432, A432)=2, 1, 0)</f>
        <v>0</v>
      </c>
      <c r="R432">
        <f>IF(ISNA(MATCH(C432, Customers!$A:$A, 0)), 1, 0)</f>
        <v>0</v>
      </c>
      <c r="S432" s="94" t="b">
        <f>VLOOKUP(D432, Products!A:F, 6, FALSE)</f>
        <v>1</v>
      </c>
    </row>
    <row r="433" spans="1:19">
      <c r="A433" s="102" t="s">
        <v>847</v>
      </c>
      <c r="B433" s="2">
        <v>45322</v>
      </c>
      <c r="C433" s="1" t="s">
        <v>703</v>
      </c>
      <c r="D433" s="1" t="s">
        <v>259</v>
      </c>
      <c r="E433" s="1" t="s">
        <v>132</v>
      </c>
      <c r="F433" s="83">
        <v>1</v>
      </c>
      <c r="G433" s="92">
        <v>1540</v>
      </c>
      <c r="H433" s="3">
        <v>24</v>
      </c>
      <c r="I433" s="3">
        <v>1170.4000000000001</v>
      </c>
      <c r="J433" s="1" t="s">
        <v>140</v>
      </c>
      <c r="K433" s="1" t="s">
        <v>88</v>
      </c>
      <c r="L433" t="str">
        <f>VLOOKUP(D433, Products!A:C, 3, FALSE)</f>
        <v>Beauty</v>
      </c>
      <c r="M433" t="str">
        <f>VLOOKUP(C433, Customers!A:E, 5, FALSE)</f>
        <v>Corporate</v>
      </c>
      <c r="N433">
        <f>VLOOKUP(C433, Customers!A:E, 3, FALSE)</f>
        <v>52</v>
      </c>
      <c r="O433" s="93" t="str">
        <f>VLOOKUP(E433, Sales_Reps!A:C, 3, FALSE)</f>
        <v>South</v>
      </c>
      <c r="P433">
        <f>VLOOKUP(D433, Products!A:E, 4, FALSE)</f>
        <v>647</v>
      </c>
      <c r="Q433">
        <f>IF(COUNTIF($A$2:A433, A433)=2, 1, 0)</f>
        <v>0</v>
      </c>
      <c r="R433">
        <f>IF(ISNA(MATCH(C433, Customers!$A:$A, 0)), 1, 0)</f>
        <v>0</v>
      </c>
      <c r="S433" s="94" t="b">
        <f>VLOOKUP(D433, Products!A:F, 6, FALSE)</f>
        <v>0</v>
      </c>
    </row>
    <row r="434" spans="1:19">
      <c r="A434" s="102" t="s">
        <v>848</v>
      </c>
      <c r="B434" s="2">
        <v>45382</v>
      </c>
      <c r="C434" s="1" t="s">
        <v>563</v>
      </c>
      <c r="D434" s="1" t="s">
        <v>138</v>
      </c>
      <c r="E434" s="1" t="s">
        <v>111</v>
      </c>
      <c r="F434" s="83">
        <v>9</v>
      </c>
      <c r="G434" s="92">
        <v>2600</v>
      </c>
      <c r="H434" s="3">
        <v>7.7</v>
      </c>
      <c r="I434" s="3">
        <v>21598.2</v>
      </c>
      <c r="J434" s="1" t="s">
        <v>87</v>
      </c>
      <c r="K434" s="1" t="s">
        <v>88</v>
      </c>
      <c r="L434" t="str">
        <f>VLOOKUP(D434, Products!A:C, 3, FALSE)</f>
        <v>Electronics</v>
      </c>
      <c r="M434" t="str">
        <f>VLOOKUP(C434, Customers!A:E, 5, FALSE)</f>
        <v>SMB</v>
      </c>
      <c r="N434">
        <f>VLOOKUP(C434, Customers!A:E, 3, FALSE)</f>
        <v>24</v>
      </c>
      <c r="O434" s="93" t="str">
        <f>VLOOKUP(E434, Sales_Reps!A:C, 3, FALSE)</f>
        <v>West</v>
      </c>
      <c r="P434">
        <f>VLOOKUP(D434, Products!A:E, 4, FALSE)</f>
        <v>1052</v>
      </c>
      <c r="Q434">
        <f>IF(COUNTIF($A$2:A434, A434)=2, 1, 0)</f>
        <v>0</v>
      </c>
      <c r="R434">
        <f>IF(ISNA(MATCH(C434, Customers!$A:$A, 0)), 1, 0)</f>
        <v>0</v>
      </c>
      <c r="S434" s="94" t="b">
        <f>VLOOKUP(D434, Products!A:F, 6, FALSE)</f>
        <v>1</v>
      </c>
    </row>
    <row r="435" spans="1:19">
      <c r="A435" s="102" t="s">
        <v>849</v>
      </c>
      <c r="B435" s="2">
        <v>45497</v>
      </c>
      <c r="C435" s="1" t="s">
        <v>850</v>
      </c>
      <c r="D435" s="1" t="s">
        <v>355</v>
      </c>
      <c r="E435" s="1" t="s">
        <v>188</v>
      </c>
      <c r="F435" s="83">
        <v>8</v>
      </c>
      <c r="G435" s="92">
        <v>2510</v>
      </c>
      <c r="H435" s="3">
        <v>3.7</v>
      </c>
      <c r="I435" s="3">
        <v>19337.04</v>
      </c>
      <c r="J435" s="1" t="s">
        <v>87</v>
      </c>
      <c r="K435" s="1" t="s">
        <v>94</v>
      </c>
      <c r="L435" t="str">
        <f>VLOOKUP(D435, Products!A:C, 3, FALSE)</f>
        <v>Apparel</v>
      </c>
      <c r="M435" t="str">
        <f>VLOOKUP(C435, Customers!A:E, 5, FALSE)</f>
        <v>SMB</v>
      </c>
      <c r="N435">
        <f>VLOOKUP(C435, Customers!A:E, 3, FALSE)</f>
        <v>26</v>
      </c>
      <c r="O435" s="93" t="str">
        <f>VLOOKUP(E435, Sales_Reps!A:C, 3, FALSE)</f>
        <v>South</v>
      </c>
      <c r="P435">
        <f>VLOOKUP(D435, Products!A:E, 4, FALSE)</f>
        <v>1075</v>
      </c>
      <c r="Q435">
        <f>IF(COUNTIF($A$2:A435, A435)=2, 1, 0)</f>
        <v>0</v>
      </c>
      <c r="R435">
        <f>IF(ISNA(MATCH(C435, Customers!$A:$A, 0)), 1, 0)</f>
        <v>0</v>
      </c>
      <c r="S435" s="94" t="b">
        <f>VLOOKUP(D435, Products!A:F, 6, FALSE)</f>
        <v>0</v>
      </c>
    </row>
    <row r="436" spans="1:19">
      <c r="A436" s="102" t="s">
        <v>851</v>
      </c>
      <c r="B436" s="2">
        <v>45510</v>
      </c>
      <c r="C436" s="1" t="s">
        <v>624</v>
      </c>
      <c r="D436" s="1" t="s">
        <v>364</v>
      </c>
      <c r="E436" s="1" t="s">
        <v>148</v>
      </c>
      <c r="F436" s="83">
        <v>6</v>
      </c>
      <c r="G436" s="92">
        <v>5330</v>
      </c>
      <c r="H436" s="3">
        <v>8.4</v>
      </c>
      <c r="I436" s="3">
        <v>29293.68</v>
      </c>
      <c r="J436" s="1" t="s">
        <v>87</v>
      </c>
      <c r="K436" s="1" t="s">
        <v>88</v>
      </c>
      <c r="L436" t="str">
        <f>VLOOKUP(D436, Products!A:C, 3, FALSE)</f>
        <v>Electronics</v>
      </c>
      <c r="M436" t="str">
        <f>VLOOKUP(C436, Customers!A:E, 5, FALSE)</f>
        <v>Corporate</v>
      </c>
      <c r="N436">
        <f>VLOOKUP(C436, Customers!A:E, 3, FALSE)</f>
        <v>31</v>
      </c>
      <c r="O436" s="93" t="str">
        <f>VLOOKUP(E436, Sales_Reps!A:C, 3, FALSE)</f>
        <v>North</v>
      </c>
      <c r="P436">
        <f>VLOOKUP(D436, Products!A:E, 4, FALSE)</f>
        <v>2405</v>
      </c>
      <c r="Q436">
        <f>IF(COUNTIF($A$2:A436, A436)=2, 1, 0)</f>
        <v>0</v>
      </c>
      <c r="R436">
        <f>IF(ISNA(MATCH(C436, Customers!$A:$A, 0)), 1, 0)</f>
        <v>0</v>
      </c>
      <c r="S436" s="94" t="b">
        <f>VLOOKUP(D436, Products!A:F, 6, FALSE)</f>
        <v>1</v>
      </c>
    </row>
    <row r="437" spans="1:19">
      <c r="A437" s="102" t="s">
        <v>852</v>
      </c>
      <c r="B437" s="2">
        <v>45522</v>
      </c>
      <c r="C437" s="1" t="s">
        <v>429</v>
      </c>
      <c r="D437" s="1" t="s">
        <v>443</v>
      </c>
      <c r="E437" s="1" t="s">
        <v>98</v>
      </c>
      <c r="F437" s="83">
        <v>5</v>
      </c>
      <c r="G437" s="92">
        <v>5080</v>
      </c>
      <c r="H437" s="3">
        <v>10.3</v>
      </c>
      <c r="I437" s="3">
        <v>22783.8</v>
      </c>
      <c r="J437" s="1" t="s">
        <v>87</v>
      </c>
      <c r="K437" s="1" t="s">
        <v>117</v>
      </c>
      <c r="L437" t="str">
        <f>VLOOKUP(D437, Products!A:C, 3, FALSE)</f>
        <v>Home</v>
      </c>
      <c r="M437" t="str">
        <f>VLOOKUP(C437, Customers!A:E, 5, FALSE)</f>
        <v>Retail</v>
      </c>
      <c r="N437">
        <f>VLOOKUP(C437, Customers!A:E, 3, FALSE)</f>
        <v>55</v>
      </c>
      <c r="O437" s="93" t="str">
        <f>VLOOKUP(E437, Sales_Reps!A:C, 3, FALSE)</f>
        <v>South</v>
      </c>
      <c r="P437">
        <f>VLOOKUP(D437, Products!A:E, 4, FALSE)</f>
        <v>2459</v>
      </c>
      <c r="Q437">
        <f>IF(COUNTIF($A$2:A437, A437)=2, 1, 0)</f>
        <v>0</v>
      </c>
      <c r="R437">
        <f>IF(ISNA(MATCH(C437, Customers!$A:$A, 0)), 1, 0)</f>
        <v>0</v>
      </c>
      <c r="S437" s="94" t="b">
        <f>VLOOKUP(D437, Products!A:F, 6, FALSE)</f>
        <v>1</v>
      </c>
    </row>
    <row r="438" spans="1:19">
      <c r="A438" s="102" t="s">
        <v>853</v>
      </c>
      <c r="B438" s="2">
        <v>45381</v>
      </c>
      <c r="C438" s="1" t="s">
        <v>610</v>
      </c>
      <c r="D438" s="1" t="s">
        <v>264</v>
      </c>
      <c r="E438" s="1" t="s">
        <v>111</v>
      </c>
      <c r="F438" s="83">
        <v>3</v>
      </c>
      <c r="G438" s="92">
        <v>4070</v>
      </c>
      <c r="H438" s="3">
        <v>23.7</v>
      </c>
      <c r="I438" s="3">
        <v>9316.23</v>
      </c>
      <c r="J438" s="1" t="s">
        <v>87</v>
      </c>
      <c r="K438" s="1" t="s">
        <v>117</v>
      </c>
      <c r="L438" t="str">
        <f>VLOOKUP(D438, Products!A:C, 3, FALSE)</f>
        <v>Grocery</v>
      </c>
      <c r="M438" t="str">
        <f>VLOOKUP(C438, Customers!A:E, 5, FALSE)</f>
        <v>SMB</v>
      </c>
      <c r="N438">
        <f>VLOOKUP(C438, Customers!A:E, 3, FALSE)</f>
        <v>42</v>
      </c>
      <c r="O438" s="93" t="str">
        <f>VLOOKUP(E438, Sales_Reps!A:C, 3, FALSE)</f>
        <v>West</v>
      </c>
      <c r="P438">
        <f>VLOOKUP(D438, Products!A:E, 4, FALSE)</f>
        <v>2027</v>
      </c>
      <c r="Q438">
        <f>IF(COUNTIF($A$2:A438, A438)=2, 1, 0)</f>
        <v>0</v>
      </c>
      <c r="R438">
        <f>IF(ISNA(MATCH(C438, Customers!$A:$A, 0)), 1, 0)</f>
        <v>0</v>
      </c>
      <c r="S438" s="94" t="b">
        <f>VLOOKUP(D438, Products!A:F, 6, FALSE)</f>
        <v>1</v>
      </c>
    </row>
    <row r="439" spans="1:19">
      <c r="A439" s="102" t="s">
        <v>854</v>
      </c>
      <c r="B439" s="2">
        <v>45511</v>
      </c>
      <c r="C439" s="1" t="s">
        <v>190</v>
      </c>
      <c r="D439" s="1" t="s">
        <v>292</v>
      </c>
      <c r="E439" s="1" t="s">
        <v>252</v>
      </c>
      <c r="F439" s="83">
        <v>4</v>
      </c>
      <c r="G439" s="92">
        <v>620</v>
      </c>
      <c r="H439" s="3">
        <v>18.8</v>
      </c>
      <c r="I439" s="3">
        <v>2013.76</v>
      </c>
      <c r="J439" s="1" t="s">
        <v>87</v>
      </c>
      <c r="K439" s="1" t="s">
        <v>133</v>
      </c>
      <c r="L439" t="str">
        <f>VLOOKUP(D439, Products!A:C, 3, FALSE)</f>
        <v>Apparel</v>
      </c>
      <c r="M439" t="str">
        <f>VLOOKUP(C439, Customers!A:E, 5, FALSE)</f>
        <v>Corporate</v>
      </c>
      <c r="N439">
        <f>VLOOKUP(C439, Customers!A:E, 3, FALSE)</f>
        <v>56</v>
      </c>
      <c r="O439" s="93" t="str">
        <f>VLOOKUP(E439, Sales_Reps!A:C, 3, FALSE)</f>
        <v>South</v>
      </c>
      <c r="P439">
        <f>VLOOKUP(D439, Products!A:E, 4, FALSE)</f>
        <v>396</v>
      </c>
      <c r="Q439">
        <f>IF(COUNTIF($A$2:A439, A439)=2, 1, 0)</f>
        <v>0</v>
      </c>
      <c r="R439">
        <f>IF(ISNA(MATCH(C439, Customers!$A:$A, 0)), 1, 0)</f>
        <v>0</v>
      </c>
      <c r="S439" s="94" t="b">
        <f>VLOOKUP(D439, Products!A:F, 6, FALSE)</f>
        <v>1</v>
      </c>
    </row>
    <row r="440" spans="1:19">
      <c r="A440" s="102" t="s">
        <v>855</v>
      </c>
      <c r="B440" s="2">
        <v>45628</v>
      </c>
      <c r="C440" s="1" t="s">
        <v>856</v>
      </c>
      <c r="D440" s="1" t="s">
        <v>135</v>
      </c>
      <c r="E440" s="1" t="s">
        <v>238</v>
      </c>
      <c r="F440" s="83">
        <v>10</v>
      </c>
      <c r="G440" s="92">
        <v>2640</v>
      </c>
      <c r="H440" s="3">
        <v>12.7</v>
      </c>
      <c r="I440" s="3">
        <v>23047.200000000001</v>
      </c>
      <c r="J440" s="1" t="s">
        <v>87</v>
      </c>
      <c r="K440" s="1" t="s">
        <v>88</v>
      </c>
      <c r="L440" t="str">
        <f>VLOOKUP(D440, Products!A:C, 3, FALSE)</f>
        <v>Electronics</v>
      </c>
      <c r="M440" t="str">
        <f>VLOOKUP(C440, Customers!A:E, 5, FALSE)</f>
        <v>SMB</v>
      </c>
      <c r="N440">
        <f>VLOOKUP(C440, Customers!A:E, 3, FALSE)</f>
        <v>59</v>
      </c>
      <c r="O440" s="93" t="str">
        <f>VLOOKUP(E440, Sales_Reps!A:C, 3, FALSE)</f>
        <v>East</v>
      </c>
      <c r="P440">
        <f>VLOOKUP(D440, Products!A:E, 4, FALSE)</f>
        <v>1149</v>
      </c>
      <c r="Q440">
        <f>IF(COUNTIF($A$2:A440, A440)=2, 1, 0)</f>
        <v>0</v>
      </c>
      <c r="R440">
        <f>IF(ISNA(MATCH(C440, Customers!$A:$A, 0)), 1, 0)</f>
        <v>0</v>
      </c>
      <c r="S440" s="94" t="b">
        <f>VLOOKUP(D440, Products!A:F, 6, FALSE)</f>
        <v>1</v>
      </c>
    </row>
    <row r="441" spans="1:19">
      <c r="A441" s="102" t="s">
        <v>857</v>
      </c>
      <c r="B441" s="2">
        <v>45326</v>
      </c>
      <c r="C441" s="1" t="s">
        <v>469</v>
      </c>
      <c r="D441" s="1" t="s">
        <v>264</v>
      </c>
      <c r="E441" s="1" t="s">
        <v>170</v>
      </c>
      <c r="F441" s="83">
        <v>2</v>
      </c>
      <c r="G441" s="92">
        <v>4070</v>
      </c>
      <c r="H441" s="3">
        <v>29</v>
      </c>
      <c r="I441" s="3">
        <v>5779.4</v>
      </c>
      <c r="J441" s="1" t="s">
        <v>87</v>
      </c>
      <c r="K441" s="1" t="s">
        <v>117</v>
      </c>
      <c r="L441" t="str">
        <f>VLOOKUP(D441, Products!A:C, 3, FALSE)</f>
        <v>Grocery</v>
      </c>
      <c r="M441" t="str">
        <f>VLOOKUP(C441, Customers!A:E, 5, FALSE)</f>
        <v>SMB</v>
      </c>
      <c r="N441">
        <f>VLOOKUP(C441, Customers!A:E, 3, FALSE)</f>
        <v>43</v>
      </c>
      <c r="O441" s="93" t="str">
        <f>VLOOKUP(E441, Sales_Reps!A:C, 3, FALSE)</f>
        <v>West</v>
      </c>
      <c r="P441">
        <f>VLOOKUP(D441, Products!A:E, 4, FALSE)</f>
        <v>2027</v>
      </c>
      <c r="Q441">
        <f>IF(COUNTIF($A$2:A441, A441)=2, 1, 0)</f>
        <v>0</v>
      </c>
      <c r="R441">
        <f>IF(ISNA(MATCH(C441, Customers!$A:$A, 0)), 1, 0)</f>
        <v>0</v>
      </c>
      <c r="S441" s="94" t="b">
        <f>VLOOKUP(D441, Products!A:F, 6, FALSE)</f>
        <v>1</v>
      </c>
    </row>
    <row r="442" spans="1:19">
      <c r="A442" s="102" t="s">
        <v>858</v>
      </c>
      <c r="B442" s="2">
        <v>45561</v>
      </c>
      <c r="C442" s="1" t="s">
        <v>662</v>
      </c>
      <c r="D442" s="1" t="s">
        <v>182</v>
      </c>
      <c r="E442" s="1" t="s">
        <v>86</v>
      </c>
      <c r="F442" s="83">
        <v>8</v>
      </c>
      <c r="G442" s="92">
        <v>1010</v>
      </c>
      <c r="H442" s="3">
        <v>25.4</v>
      </c>
      <c r="I442" s="3">
        <v>6027.68</v>
      </c>
      <c r="J442" s="1" t="s">
        <v>87</v>
      </c>
      <c r="K442" s="1" t="s">
        <v>94</v>
      </c>
      <c r="L442" t="str">
        <f>VLOOKUP(D442, Products!A:C, 3, FALSE)</f>
        <v>Sports</v>
      </c>
      <c r="M442" t="str">
        <f>VLOOKUP(C442, Customers!A:E, 5, FALSE)</f>
        <v>Corporate</v>
      </c>
      <c r="N442">
        <f>VLOOKUP(C442, Customers!A:E, 3, FALSE)</f>
        <v>41</v>
      </c>
      <c r="O442" s="93" t="str">
        <f>VLOOKUP(E442, Sales_Reps!A:C, 3, FALSE)</f>
        <v>North</v>
      </c>
      <c r="P442">
        <f>VLOOKUP(D442, Products!A:E, 4, FALSE)</f>
        <v>516</v>
      </c>
      <c r="Q442">
        <f>IF(COUNTIF($A$2:A442, A442)=2, 1, 0)</f>
        <v>0</v>
      </c>
      <c r="R442">
        <f>IF(ISNA(MATCH(C442, Customers!$A:$A, 0)), 1, 0)</f>
        <v>0</v>
      </c>
      <c r="S442" s="94" t="b">
        <f>VLOOKUP(D442, Products!A:F, 6, FALSE)</f>
        <v>1</v>
      </c>
    </row>
    <row r="443" spans="1:19">
      <c r="A443" s="102" t="s">
        <v>859</v>
      </c>
      <c r="B443" s="2">
        <v>45629</v>
      </c>
      <c r="C443" s="1" t="s">
        <v>487</v>
      </c>
      <c r="D443" s="1" t="s">
        <v>143</v>
      </c>
      <c r="E443" s="1" t="s">
        <v>92</v>
      </c>
      <c r="F443" s="83">
        <v>8</v>
      </c>
      <c r="G443" s="92">
        <v>3250</v>
      </c>
      <c r="H443" s="3">
        <v>5.4</v>
      </c>
      <c r="I443" s="3">
        <v>24596</v>
      </c>
      <c r="J443" s="1" t="s">
        <v>87</v>
      </c>
      <c r="K443" s="1" t="s">
        <v>88</v>
      </c>
      <c r="L443" t="str">
        <f>VLOOKUP(D443, Products!A:C, 3, FALSE)</f>
        <v>Home</v>
      </c>
      <c r="M443" t="str">
        <f>VLOOKUP(C443, Customers!A:E, 5, FALSE)</f>
        <v>Corporate</v>
      </c>
      <c r="N443">
        <f>VLOOKUP(C443, Customers!A:E, 3, FALSE)</f>
        <v>29</v>
      </c>
      <c r="O443" s="93" t="str">
        <f>VLOOKUP(E443, Sales_Reps!A:C, 3, FALSE)</f>
        <v>North</v>
      </c>
      <c r="P443">
        <f>VLOOKUP(D443, Products!A:E, 4, FALSE)</f>
        <v>1556</v>
      </c>
      <c r="Q443">
        <f>IF(COUNTIF($A$2:A443, A443)=2, 1, 0)</f>
        <v>0</v>
      </c>
      <c r="R443">
        <f>IF(ISNA(MATCH(C443, Customers!$A:$A, 0)), 1, 0)</f>
        <v>0</v>
      </c>
      <c r="S443" s="94" t="b">
        <f>VLOOKUP(D443, Products!A:F, 6, FALSE)</f>
        <v>1</v>
      </c>
    </row>
    <row r="444" spans="1:19">
      <c r="A444" s="102" t="s">
        <v>860</v>
      </c>
      <c r="B444" s="2">
        <v>45460</v>
      </c>
      <c r="C444" s="1" t="s">
        <v>427</v>
      </c>
      <c r="D444" s="1" t="s">
        <v>120</v>
      </c>
      <c r="E444" s="1" t="s">
        <v>204</v>
      </c>
      <c r="F444" s="83">
        <v>7</v>
      </c>
      <c r="G444" s="92">
        <v>1430</v>
      </c>
      <c r="H444" s="3">
        <v>19.3</v>
      </c>
      <c r="I444" s="3">
        <v>8078.07</v>
      </c>
      <c r="J444" s="1" t="s">
        <v>87</v>
      </c>
      <c r="K444" s="1" t="s">
        <v>88</v>
      </c>
      <c r="L444" t="str">
        <f>VLOOKUP(D444, Products!A:C, 3, FALSE)</f>
        <v>Electronics</v>
      </c>
      <c r="M444" t="str">
        <f>VLOOKUP(C444, Customers!A:E, 5, FALSE)</f>
        <v>Corporate</v>
      </c>
      <c r="N444">
        <f>VLOOKUP(C444, Customers!A:E, 3, FALSE)</f>
        <v>48</v>
      </c>
      <c r="O444" s="93" t="str">
        <f>VLOOKUP(E444, Sales_Reps!A:C, 3, FALSE)</f>
        <v>South</v>
      </c>
      <c r="P444">
        <f>VLOOKUP(D444, Products!A:E, 4, FALSE)</f>
        <v>861</v>
      </c>
      <c r="Q444">
        <f>IF(COUNTIF($A$2:A444, A444)=2, 1, 0)</f>
        <v>0</v>
      </c>
      <c r="R444">
        <f>IF(ISNA(MATCH(C444, Customers!$A:$A, 0)), 1, 0)</f>
        <v>0</v>
      </c>
      <c r="S444" s="94" t="b">
        <f>VLOOKUP(D444, Products!A:F, 6, FALSE)</f>
        <v>1</v>
      </c>
    </row>
    <row r="445" spans="1:19">
      <c r="A445" s="102" t="s">
        <v>861</v>
      </c>
      <c r="B445" s="2">
        <v>45597</v>
      </c>
      <c r="C445" s="1" t="s">
        <v>376</v>
      </c>
      <c r="D445" s="1" t="s">
        <v>276</v>
      </c>
      <c r="E445" s="1" t="s">
        <v>303</v>
      </c>
      <c r="F445" s="83">
        <v>9</v>
      </c>
      <c r="G445" s="92">
        <v>3020</v>
      </c>
      <c r="H445" s="3">
        <v>15</v>
      </c>
      <c r="I445" s="3">
        <v>23103</v>
      </c>
      <c r="J445" s="1" t="s">
        <v>87</v>
      </c>
      <c r="K445" s="1" t="s">
        <v>117</v>
      </c>
      <c r="L445" t="str">
        <f>VLOOKUP(D445, Products!A:C, 3, FALSE)</f>
        <v>Beauty</v>
      </c>
      <c r="M445" t="str">
        <f>VLOOKUP(C445, Customers!A:E, 5, FALSE)</f>
        <v>SMB</v>
      </c>
      <c r="N445">
        <f>VLOOKUP(C445, Customers!A:E, 3, FALSE)</f>
        <v>44</v>
      </c>
      <c r="O445" s="93" t="str">
        <f>VLOOKUP(E445, Sales_Reps!A:C, 3, FALSE)</f>
        <v>East</v>
      </c>
      <c r="P445">
        <f>VLOOKUP(D445, Products!A:E, 4, FALSE)</f>
        <v>1626</v>
      </c>
      <c r="Q445">
        <f>IF(COUNTIF($A$2:A445, A445)=2, 1, 0)</f>
        <v>0</v>
      </c>
      <c r="R445">
        <f>IF(ISNA(MATCH(C445, Customers!$A:$A, 0)), 1, 0)</f>
        <v>0</v>
      </c>
      <c r="S445" s="94" t="b">
        <f>VLOOKUP(D445, Products!A:F, 6, FALSE)</f>
        <v>1</v>
      </c>
    </row>
    <row r="446" spans="1:19">
      <c r="A446" s="102" t="s">
        <v>862</v>
      </c>
      <c r="B446" s="2">
        <v>45324</v>
      </c>
      <c r="C446" s="1" t="s">
        <v>863</v>
      </c>
      <c r="D446" s="1" t="s">
        <v>279</v>
      </c>
      <c r="E446" s="1" t="s">
        <v>297</v>
      </c>
      <c r="F446" s="83">
        <v>2</v>
      </c>
      <c r="G446" s="92">
        <v>2660</v>
      </c>
      <c r="H446" s="3">
        <v>21.4</v>
      </c>
      <c r="I446" s="3">
        <v>4181.5200000000004</v>
      </c>
      <c r="J446" s="1" t="s">
        <v>87</v>
      </c>
      <c r="K446" s="1" t="s">
        <v>94</v>
      </c>
      <c r="L446" t="str">
        <f>VLOOKUP(D446, Products!A:C, 3, FALSE)</f>
        <v>Electronics</v>
      </c>
      <c r="M446" t="e">
        <f>VLOOKUP(C446, Customers!A:E, 5, FALSE)</f>
        <v>#N/A</v>
      </c>
      <c r="N446" t="e">
        <f>VLOOKUP(C446, Customers!A:E, 3, FALSE)</f>
        <v>#N/A</v>
      </c>
      <c r="O446" s="93" t="str">
        <f>VLOOKUP(E446, Sales_Reps!A:C, 3, FALSE)</f>
        <v>North</v>
      </c>
      <c r="P446">
        <f>VLOOKUP(D446, Products!A:E, 4, FALSE)</f>
        <v>1259</v>
      </c>
      <c r="Q446">
        <f>IF(COUNTIF($A$2:A446, A446)=2, 1, 0)</f>
        <v>0</v>
      </c>
      <c r="R446">
        <f>IF(ISNA(MATCH(C446, Customers!$A:$A, 0)), 1, 0)</f>
        <v>1</v>
      </c>
      <c r="S446" s="94" t="b">
        <f>VLOOKUP(D446, Products!A:F, 6, FALSE)</f>
        <v>0</v>
      </c>
    </row>
    <row r="447" spans="1:19">
      <c r="A447" s="102" t="s">
        <v>864</v>
      </c>
      <c r="B447" s="2">
        <v>45490</v>
      </c>
      <c r="C447" s="1" t="s">
        <v>181</v>
      </c>
      <c r="D447" s="1" t="s">
        <v>187</v>
      </c>
      <c r="E447" s="1" t="s">
        <v>121</v>
      </c>
      <c r="F447" s="83">
        <v>10</v>
      </c>
      <c r="G447" s="92">
        <v>3570</v>
      </c>
      <c r="H447" s="3">
        <v>20.3</v>
      </c>
      <c r="I447" s="3">
        <v>28452.9</v>
      </c>
      <c r="J447" s="1" t="s">
        <v>87</v>
      </c>
      <c r="K447" s="1" t="s">
        <v>99</v>
      </c>
      <c r="L447" t="str">
        <f>VLOOKUP(D447, Products!A:C, 3, FALSE)</f>
        <v>Electronics</v>
      </c>
      <c r="M447" t="str">
        <f>VLOOKUP(C447, Customers!A:E, 5, FALSE)</f>
        <v>Retail</v>
      </c>
      <c r="N447">
        <f>VLOOKUP(C447, Customers!A:E, 3, FALSE)</f>
        <v>31</v>
      </c>
      <c r="O447" s="93" t="str">
        <f>VLOOKUP(E447, Sales_Reps!A:C, 3, FALSE)</f>
        <v>East</v>
      </c>
      <c r="P447">
        <f>VLOOKUP(D447, Products!A:E, 4, FALSE)</f>
        <v>1665</v>
      </c>
      <c r="Q447">
        <f>IF(COUNTIF($A$2:A447, A447)=2, 1, 0)</f>
        <v>0</v>
      </c>
      <c r="R447">
        <f>IF(ISNA(MATCH(C447, Customers!$A:$A, 0)), 1, 0)</f>
        <v>0</v>
      </c>
      <c r="S447" s="94" t="b">
        <f>VLOOKUP(D447, Products!A:F, 6, FALSE)</f>
        <v>1</v>
      </c>
    </row>
    <row r="448" spans="1:19">
      <c r="A448" s="102" t="s">
        <v>865</v>
      </c>
      <c r="B448" s="2">
        <v>45330</v>
      </c>
      <c r="C448" s="1" t="s">
        <v>197</v>
      </c>
      <c r="D448" s="1" t="s">
        <v>179</v>
      </c>
      <c r="E448" s="1" t="s">
        <v>132</v>
      </c>
      <c r="F448" s="83">
        <v>4</v>
      </c>
      <c r="G448" s="92">
        <v>3350</v>
      </c>
      <c r="H448" s="3">
        <v>28.1</v>
      </c>
      <c r="I448" s="3">
        <v>9634.6</v>
      </c>
      <c r="J448" s="1" t="s">
        <v>87</v>
      </c>
      <c r="K448" s="1" t="s">
        <v>88</v>
      </c>
      <c r="L448" t="str">
        <f>VLOOKUP(D448, Products!A:C, 3, FALSE)</f>
        <v>Beauty</v>
      </c>
      <c r="M448" t="str">
        <f>VLOOKUP(C448, Customers!A:E, 5, FALSE)</f>
        <v>Corporate</v>
      </c>
      <c r="N448">
        <f>VLOOKUP(C448, Customers!A:E, 3, FALSE)</f>
        <v>47</v>
      </c>
      <c r="O448" s="93" t="str">
        <f>VLOOKUP(E448, Sales_Reps!A:C, 3, FALSE)</f>
        <v>South</v>
      </c>
      <c r="P448">
        <f>VLOOKUP(D448, Products!A:E, 4, FALSE)</f>
        <v>1728</v>
      </c>
      <c r="Q448">
        <f>IF(COUNTIF($A$2:A448, A448)=2, 1, 0)</f>
        <v>0</v>
      </c>
      <c r="R448">
        <f>IF(ISNA(MATCH(C448, Customers!$A:$A, 0)), 1, 0)</f>
        <v>0</v>
      </c>
      <c r="S448" s="94" t="b">
        <f>VLOOKUP(D448, Products!A:F, 6, FALSE)</f>
        <v>1</v>
      </c>
    </row>
    <row r="449" spans="1:19">
      <c r="A449" s="102" t="s">
        <v>866</v>
      </c>
      <c r="B449" s="2">
        <v>45336</v>
      </c>
      <c r="C449" s="1" t="s">
        <v>101</v>
      </c>
      <c r="D449" s="1" t="s">
        <v>167</v>
      </c>
      <c r="E449" s="1" t="s">
        <v>158</v>
      </c>
      <c r="F449" s="83">
        <v>1</v>
      </c>
      <c r="G449" s="92">
        <v>2480</v>
      </c>
      <c r="H449" s="3">
        <v>13.5</v>
      </c>
      <c r="I449" s="3">
        <v>2145.1999999999998</v>
      </c>
      <c r="J449" s="1" t="s">
        <v>87</v>
      </c>
      <c r="K449" s="1" t="s">
        <v>99</v>
      </c>
      <c r="L449" t="str">
        <f>VLOOKUP(D449, Products!A:C, 3, FALSE)</f>
        <v>Apparel</v>
      </c>
      <c r="M449" t="str">
        <f>VLOOKUP(C449, Customers!A:E, 5, FALSE)</f>
        <v>Corporate</v>
      </c>
      <c r="N449">
        <f>VLOOKUP(C449, Customers!A:E, 3, FALSE)</f>
        <v>46</v>
      </c>
      <c r="O449" s="93" t="str">
        <f>VLOOKUP(E449, Sales_Reps!A:C, 3, FALSE)</f>
        <v>East</v>
      </c>
      <c r="P449">
        <f>VLOOKUP(D449, Products!A:E, 4, FALSE)</f>
        <v>1173</v>
      </c>
      <c r="Q449">
        <f>IF(COUNTIF($A$2:A449, A449)=2, 1, 0)</f>
        <v>0</v>
      </c>
      <c r="R449">
        <f>IF(ISNA(MATCH(C449, Customers!$A:$A, 0)), 1, 0)</f>
        <v>0</v>
      </c>
      <c r="S449" s="94" t="b">
        <f>VLOOKUP(D449, Products!A:F, 6, FALSE)</f>
        <v>1</v>
      </c>
    </row>
    <row r="450" spans="1:19">
      <c r="A450" s="102" t="s">
        <v>867</v>
      </c>
      <c r="B450" s="2">
        <v>45649</v>
      </c>
      <c r="C450" s="1" t="s">
        <v>868</v>
      </c>
      <c r="D450" s="1" t="s">
        <v>360</v>
      </c>
      <c r="E450" s="1" t="s">
        <v>188</v>
      </c>
      <c r="F450" s="83">
        <v>10</v>
      </c>
      <c r="G450" s="92">
        <v>5410</v>
      </c>
      <c r="H450" s="3">
        <v>26.1</v>
      </c>
      <c r="I450" s="3">
        <v>39979.9</v>
      </c>
      <c r="J450" s="1" t="s">
        <v>87</v>
      </c>
      <c r="K450" s="1" t="s">
        <v>99</v>
      </c>
      <c r="L450" t="str">
        <f>VLOOKUP(D450, Products!A:C, 3, FALSE)</f>
        <v>Sports</v>
      </c>
      <c r="M450" t="str">
        <f>VLOOKUP(C450, Customers!A:E, 5, FALSE)</f>
        <v>SMB</v>
      </c>
      <c r="N450">
        <f>VLOOKUP(C450, Customers!A:E, 3, FALSE)</f>
        <v>38</v>
      </c>
      <c r="O450" s="93" t="str">
        <f>VLOOKUP(E450, Sales_Reps!A:C, 3, FALSE)</f>
        <v>South</v>
      </c>
      <c r="P450">
        <f>VLOOKUP(D450, Products!A:E, 4, FALSE)</f>
        <v>2265</v>
      </c>
      <c r="Q450">
        <f>IF(COUNTIF($A$2:A450, A450)=2, 1, 0)</f>
        <v>0</v>
      </c>
      <c r="R450">
        <f>IF(ISNA(MATCH(C450, Customers!$A:$A, 0)), 1, 0)</f>
        <v>0</v>
      </c>
      <c r="S450" s="94" t="b">
        <f>VLOOKUP(D450, Products!A:F, 6, FALSE)</f>
        <v>1</v>
      </c>
    </row>
    <row r="451" spans="1:19">
      <c r="A451" s="102" t="s">
        <v>869</v>
      </c>
      <c r="B451" s="2">
        <v>45586</v>
      </c>
      <c r="C451" s="1" t="s">
        <v>870</v>
      </c>
      <c r="D451" s="1" t="s">
        <v>203</v>
      </c>
      <c r="E451" s="1" t="s">
        <v>154</v>
      </c>
      <c r="F451" s="83">
        <v>2</v>
      </c>
      <c r="G451" s="92">
        <v>660</v>
      </c>
      <c r="H451" s="3">
        <v>5</v>
      </c>
      <c r="I451" s="3">
        <v>1254</v>
      </c>
      <c r="J451" s="1" t="s">
        <v>87</v>
      </c>
      <c r="K451" s="1" t="s">
        <v>117</v>
      </c>
      <c r="L451" t="str">
        <f>VLOOKUP(D451, Products!A:C, 3, FALSE)</f>
        <v>Home</v>
      </c>
      <c r="M451" t="str">
        <f>VLOOKUP(C451, Customers!A:E, 5, FALSE)</f>
        <v>Retail</v>
      </c>
      <c r="N451">
        <f>VLOOKUP(C451, Customers!A:E, 3, FALSE)</f>
        <v>47</v>
      </c>
      <c r="O451" s="93" t="str">
        <f>VLOOKUP(E451, Sales_Reps!A:C, 3, FALSE)</f>
        <v>East</v>
      </c>
      <c r="P451">
        <f>VLOOKUP(D451, Products!A:E, 4, FALSE)</f>
        <v>329</v>
      </c>
      <c r="Q451">
        <f>IF(COUNTIF($A$2:A451, A451)=2, 1, 0)</f>
        <v>0</v>
      </c>
      <c r="R451">
        <f>IF(ISNA(MATCH(C451, Customers!$A:$A, 0)), 1, 0)</f>
        <v>0</v>
      </c>
      <c r="S451" s="94" t="b">
        <f>VLOOKUP(D451, Products!A:F, 6, FALSE)</f>
        <v>1</v>
      </c>
    </row>
    <row r="452" spans="1:19">
      <c r="A452" s="102" t="s">
        <v>871</v>
      </c>
      <c r="B452" s="2">
        <v>45647</v>
      </c>
      <c r="C452" s="1" t="s">
        <v>872</v>
      </c>
      <c r="D452" s="1" t="s">
        <v>182</v>
      </c>
      <c r="E452" s="1" t="s">
        <v>86</v>
      </c>
      <c r="F452" s="83">
        <v>10</v>
      </c>
      <c r="G452" s="92">
        <v>1010</v>
      </c>
      <c r="H452" s="3">
        <v>10</v>
      </c>
      <c r="I452" s="3">
        <v>9090</v>
      </c>
      <c r="J452" s="1" t="s">
        <v>87</v>
      </c>
      <c r="K452" s="1" t="s">
        <v>112</v>
      </c>
      <c r="L452" t="str">
        <f>VLOOKUP(D452, Products!A:C, 3, FALSE)</f>
        <v>Sports</v>
      </c>
      <c r="M452" t="str">
        <f>VLOOKUP(C452, Customers!A:E, 5, FALSE)</f>
        <v>Corporate</v>
      </c>
      <c r="N452">
        <f>VLOOKUP(C452, Customers!A:E, 3, FALSE)</f>
        <v>62</v>
      </c>
      <c r="O452" s="93" t="str">
        <f>VLOOKUP(E452, Sales_Reps!A:C, 3, FALSE)</f>
        <v>North</v>
      </c>
      <c r="P452">
        <f>VLOOKUP(D452, Products!A:E, 4, FALSE)</f>
        <v>516</v>
      </c>
      <c r="Q452">
        <f>IF(COUNTIF($A$2:A452, A452)=2, 1, 0)</f>
        <v>0</v>
      </c>
      <c r="R452">
        <f>IF(ISNA(MATCH(C452, Customers!$A:$A, 0)), 1, 0)</f>
        <v>0</v>
      </c>
      <c r="S452" s="94" t="b">
        <f>VLOOKUP(D452, Products!A:F, 6, FALSE)</f>
        <v>1</v>
      </c>
    </row>
    <row r="453" spans="1:19">
      <c r="A453" s="102" t="s">
        <v>873</v>
      </c>
      <c r="B453" s="2">
        <v>45496</v>
      </c>
      <c r="C453" s="1" t="s">
        <v>874</v>
      </c>
      <c r="D453" s="1" t="s">
        <v>386</v>
      </c>
      <c r="E453" s="1" t="s">
        <v>215</v>
      </c>
      <c r="F453" s="83">
        <v>3</v>
      </c>
      <c r="G453" s="92">
        <v>2290</v>
      </c>
      <c r="H453" s="3">
        <v>8.9</v>
      </c>
      <c r="I453" s="3">
        <v>6258.57</v>
      </c>
      <c r="J453" s="1" t="s">
        <v>87</v>
      </c>
      <c r="K453" s="1" t="s">
        <v>112</v>
      </c>
      <c r="L453" t="str">
        <f>VLOOKUP(D453, Products!A:C, 3, FALSE)</f>
        <v>Beauty</v>
      </c>
      <c r="M453" t="str">
        <f>VLOOKUP(C453, Customers!A:E, 5, FALSE)</f>
        <v>Retail</v>
      </c>
      <c r="N453">
        <f>VLOOKUP(C453, Customers!A:E, 3, FALSE)</f>
        <v>57</v>
      </c>
      <c r="O453" s="93" t="str">
        <f>VLOOKUP(E453, Sales_Reps!A:C, 3, FALSE)</f>
        <v>North</v>
      </c>
      <c r="P453">
        <f>VLOOKUP(D453, Products!A:E, 4, FALSE)</f>
        <v>1219</v>
      </c>
      <c r="Q453">
        <f>IF(COUNTIF($A$2:A453, A453)=2, 1, 0)</f>
        <v>0</v>
      </c>
      <c r="R453">
        <f>IF(ISNA(MATCH(C453, Customers!$A:$A, 0)), 1, 0)</f>
        <v>0</v>
      </c>
      <c r="S453" s="94" t="b">
        <f>VLOOKUP(D453, Products!A:F, 6, FALSE)</f>
        <v>1</v>
      </c>
    </row>
    <row r="454" spans="1:19">
      <c r="A454" s="102" t="s">
        <v>875</v>
      </c>
      <c r="B454" s="2">
        <v>45369</v>
      </c>
      <c r="C454" s="1" t="s">
        <v>714</v>
      </c>
      <c r="D454" s="1" t="s">
        <v>157</v>
      </c>
      <c r="E454" s="1" t="s">
        <v>215</v>
      </c>
      <c r="F454" s="83">
        <v>9</v>
      </c>
      <c r="G454" s="92">
        <v>3450</v>
      </c>
      <c r="H454" s="3">
        <v>24.3</v>
      </c>
      <c r="I454" s="3">
        <v>23504.85</v>
      </c>
      <c r="J454" s="1" t="s">
        <v>87</v>
      </c>
      <c r="K454" s="1" t="s">
        <v>99</v>
      </c>
      <c r="L454" t="str">
        <f>VLOOKUP(D454, Products!A:C, 3, FALSE)</f>
        <v>Beauty</v>
      </c>
      <c r="M454" t="str">
        <f>VLOOKUP(C454, Customers!A:E, 5, FALSE)</f>
        <v>Retail</v>
      </c>
      <c r="N454">
        <f>VLOOKUP(C454, Customers!A:E, 3, FALSE)</f>
        <v>24</v>
      </c>
      <c r="O454" s="93" t="str">
        <f>VLOOKUP(E454, Sales_Reps!A:C, 3, FALSE)</f>
        <v>North</v>
      </c>
      <c r="P454">
        <f>VLOOKUP(D454, Products!A:E, 4, FALSE)</f>
        <v>2420</v>
      </c>
      <c r="Q454">
        <f>IF(COUNTIF($A$2:A454, A454)=2, 1, 0)</f>
        <v>0</v>
      </c>
      <c r="R454">
        <f>IF(ISNA(MATCH(C454, Customers!$A:$A, 0)), 1, 0)</f>
        <v>0</v>
      </c>
      <c r="S454" s="94" t="b">
        <f>VLOOKUP(D454, Products!A:F, 6, FALSE)</f>
        <v>1</v>
      </c>
    </row>
    <row r="455" spans="1:19">
      <c r="A455" s="102" t="s">
        <v>876</v>
      </c>
      <c r="B455" s="2">
        <v>45389</v>
      </c>
      <c r="C455" s="1" t="s">
        <v>289</v>
      </c>
      <c r="D455" s="1" t="s">
        <v>237</v>
      </c>
      <c r="E455" s="1" t="s">
        <v>148</v>
      </c>
      <c r="F455" s="83">
        <v>10</v>
      </c>
      <c r="G455" s="92">
        <v>3640</v>
      </c>
      <c r="H455" s="3">
        <v>21.4</v>
      </c>
      <c r="I455" s="3">
        <v>28610.400000000001</v>
      </c>
      <c r="J455" s="1" t="s">
        <v>140</v>
      </c>
      <c r="K455" s="1" t="s">
        <v>94</v>
      </c>
      <c r="L455" t="str">
        <f>VLOOKUP(D455, Products!A:C, 3, FALSE)</f>
        <v>Apparel</v>
      </c>
      <c r="M455" t="str">
        <f>VLOOKUP(C455, Customers!A:E, 5, FALSE)</f>
        <v>Retail</v>
      </c>
      <c r="N455">
        <f>VLOOKUP(C455, Customers!A:E, 3, FALSE)</f>
        <v>38</v>
      </c>
      <c r="O455" s="93" t="str">
        <f>VLOOKUP(E455, Sales_Reps!A:C, 3, FALSE)</f>
        <v>North</v>
      </c>
      <c r="P455">
        <f>VLOOKUP(D455, Products!A:E, 4, FALSE)</f>
        <v>2611</v>
      </c>
      <c r="Q455">
        <f>IF(COUNTIF($A$2:A455, A455)=2, 1, 0)</f>
        <v>0</v>
      </c>
      <c r="R455">
        <f>IF(ISNA(MATCH(C455, Customers!$A:$A, 0)), 1, 0)</f>
        <v>0</v>
      </c>
      <c r="S455" s="94" t="b">
        <f>VLOOKUP(D455, Products!A:F, 6, FALSE)</f>
        <v>1</v>
      </c>
    </row>
    <row r="456" spans="1:19">
      <c r="A456" s="102" t="s">
        <v>877</v>
      </c>
      <c r="B456" s="2">
        <v>45336</v>
      </c>
      <c r="C456" s="1" t="s">
        <v>878</v>
      </c>
      <c r="D456" s="1" t="s">
        <v>367</v>
      </c>
      <c r="E456" s="1" t="s">
        <v>188</v>
      </c>
      <c r="F456" s="83">
        <v>5</v>
      </c>
      <c r="G456" s="92">
        <v>2380</v>
      </c>
      <c r="H456" s="3">
        <v>12.2</v>
      </c>
      <c r="I456" s="3">
        <v>10448.200000000001</v>
      </c>
      <c r="J456" s="1" t="s">
        <v>87</v>
      </c>
      <c r="K456" s="1" t="s">
        <v>112</v>
      </c>
      <c r="L456" t="str">
        <f>VLOOKUP(D456, Products!A:C, 3, FALSE)</f>
        <v>Grocery</v>
      </c>
      <c r="M456" t="str">
        <f>VLOOKUP(C456, Customers!A:E, 5, FALSE)</f>
        <v>Corporate</v>
      </c>
      <c r="N456">
        <f>VLOOKUP(C456, Customers!A:E, 3, FALSE)</f>
        <v>62</v>
      </c>
      <c r="O456" s="93" t="str">
        <f>VLOOKUP(E456, Sales_Reps!A:C, 3, FALSE)</f>
        <v>South</v>
      </c>
      <c r="P456">
        <f>VLOOKUP(D456, Products!A:E, 4, FALSE)</f>
        <v>1182</v>
      </c>
      <c r="Q456">
        <f>IF(COUNTIF($A$2:A456, A456)=2, 1, 0)</f>
        <v>0</v>
      </c>
      <c r="R456">
        <f>IF(ISNA(MATCH(C456, Customers!$A:$A, 0)), 1, 0)</f>
        <v>0</v>
      </c>
      <c r="S456" s="94" t="b">
        <f>VLOOKUP(D456, Products!A:F, 6, FALSE)</f>
        <v>1</v>
      </c>
    </row>
    <row r="457" spans="1:19">
      <c r="A457" s="102" t="s">
        <v>879</v>
      </c>
      <c r="B457" s="2">
        <v>45505</v>
      </c>
      <c r="C457" s="1" t="s">
        <v>539</v>
      </c>
      <c r="D457" s="1" t="s">
        <v>360</v>
      </c>
      <c r="E457" s="1" t="s">
        <v>238</v>
      </c>
      <c r="F457" s="83">
        <v>10</v>
      </c>
      <c r="G457" s="92">
        <v>5410</v>
      </c>
      <c r="H457" s="3">
        <v>29.8</v>
      </c>
      <c r="I457" s="3">
        <v>37978.199999999997</v>
      </c>
      <c r="J457" s="1" t="s">
        <v>87</v>
      </c>
      <c r="K457" s="1" t="s">
        <v>133</v>
      </c>
      <c r="L457" t="str">
        <f>VLOOKUP(D457, Products!A:C, 3, FALSE)</f>
        <v>Sports</v>
      </c>
      <c r="M457" t="str">
        <f>VLOOKUP(C457, Customers!A:E, 5, FALSE)</f>
        <v>Retail</v>
      </c>
      <c r="N457">
        <f>VLOOKUP(C457, Customers!A:E, 3, FALSE)</f>
        <v>38</v>
      </c>
      <c r="O457" s="93" t="str">
        <f>VLOOKUP(E457, Sales_Reps!A:C, 3, FALSE)</f>
        <v>East</v>
      </c>
      <c r="P457">
        <f>VLOOKUP(D457, Products!A:E, 4, FALSE)</f>
        <v>2265</v>
      </c>
      <c r="Q457">
        <f>IF(COUNTIF($A$2:A457, A457)=2, 1, 0)</f>
        <v>0</v>
      </c>
      <c r="R457">
        <f>IF(ISNA(MATCH(C457, Customers!$A:$A, 0)), 1, 0)</f>
        <v>0</v>
      </c>
      <c r="S457" s="94" t="b">
        <f>VLOOKUP(D457, Products!A:F, 6, FALSE)</f>
        <v>1</v>
      </c>
    </row>
    <row r="458" spans="1:19">
      <c r="A458" s="102" t="s">
        <v>880</v>
      </c>
      <c r="B458" s="2">
        <v>45375</v>
      </c>
      <c r="C458" s="1" t="s">
        <v>872</v>
      </c>
      <c r="D458" s="1" t="s">
        <v>176</v>
      </c>
      <c r="E458" s="1" t="s">
        <v>158</v>
      </c>
      <c r="F458" s="83">
        <v>3</v>
      </c>
      <c r="G458" s="92">
        <v>1650</v>
      </c>
      <c r="H458" s="3">
        <v>9.4</v>
      </c>
      <c r="I458" s="3">
        <v>4484.7</v>
      </c>
      <c r="J458" s="1" t="s">
        <v>140</v>
      </c>
      <c r="K458" s="1" t="s">
        <v>112</v>
      </c>
      <c r="L458" t="str">
        <f>VLOOKUP(D458, Products!A:C, 3, FALSE)</f>
        <v>Beauty</v>
      </c>
      <c r="M458" t="str">
        <f>VLOOKUP(C458, Customers!A:E, 5, FALSE)</f>
        <v>Corporate</v>
      </c>
      <c r="N458">
        <f>VLOOKUP(C458, Customers!A:E, 3, FALSE)</f>
        <v>62</v>
      </c>
      <c r="O458" s="93" t="str">
        <f>VLOOKUP(E458, Sales_Reps!A:C, 3, FALSE)</f>
        <v>East</v>
      </c>
      <c r="P458">
        <f>VLOOKUP(D458, Products!A:E, 4, FALSE)</f>
        <v>1222</v>
      </c>
      <c r="Q458">
        <f>IF(COUNTIF($A$2:A458, A458)=2, 1, 0)</f>
        <v>0</v>
      </c>
      <c r="R458">
        <f>IF(ISNA(MATCH(C458, Customers!$A:$A, 0)), 1, 0)</f>
        <v>0</v>
      </c>
      <c r="S458" s="94" t="b">
        <f>VLOOKUP(D458, Products!A:F, 6, FALSE)</f>
        <v>1</v>
      </c>
    </row>
    <row r="459" spans="1:19">
      <c r="A459" s="102" t="s">
        <v>881</v>
      </c>
      <c r="B459" s="2">
        <v>45383</v>
      </c>
      <c r="C459" s="1" t="s">
        <v>882</v>
      </c>
      <c r="D459" s="1" t="s">
        <v>138</v>
      </c>
      <c r="E459" s="1" t="s">
        <v>285</v>
      </c>
      <c r="F459" s="83">
        <v>7</v>
      </c>
      <c r="G459" s="92">
        <v>2600</v>
      </c>
      <c r="H459" s="3">
        <v>19.899999999999999</v>
      </c>
      <c r="I459" s="3">
        <v>14578.2</v>
      </c>
      <c r="J459" s="1" t="s">
        <v>93</v>
      </c>
      <c r="K459" s="1" t="s">
        <v>112</v>
      </c>
      <c r="L459" t="str">
        <f>VLOOKUP(D459, Products!A:C, 3, FALSE)</f>
        <v>Electronics</v>
      </c>
      <c r="M459" t="str">
        <f>VLOOKUP(C459, Customers!A:E, 5, FALSE)</f>
        <v>Retail</v>
      </c>
      <c r="N459">
        <f>VLOOKUP(C459, Customers!A:E, 3, FALSE)</f>
        <v>22</v>
      </c>
      <c r="O459" s="93" t="str">
        <f>VLOOKUP(E459, Sales_Reps!A:C, 3, FALSE)</f>
        <v>East</v>
      </c>
      <c r="P459">
        <f>VLOOKUP(D459, Products!A:E, 4, FALSE)</f>
        <v>1052</v>
      </c>
      <c r="Q459">
        <f>IF(COUNTIF($A$2:A459, A459)=2, 1, 0)</f>
        <v>0</v>
      </c>
      <c r="R459">
        <f>IF(ISNA(MATCH(C459, Customers!$A:$A, 0)), 1, 0)</f>
        <v>0</v>
      </c>
      <c r="S459" s="94" t="b">
        <f>VLOOKUP(D459, Products!A:F, 6, FALSE)</f>
        <v>1</v>
      </c>
    </row>
    <row r="460" spans="1:19">
      <c r="A460" s="102" t="s">
        <v>421</v>
      </c>
      <c r="B460" s="2">
        <v>45474</v>
      </c>
      <c r="C460" s="1" t="s">
        <v>883</v>
      </c>
      <c r="D460" s="1" t="s">
        <v>270</v>
      </c>
      <c r="E460" s="1" t="s">
        <v>297</v>
      </c>
      <c r="F460" s="83">
        <v>4</v>
      </c>
      <c r="G460" s="92">
        <v>4610</v>
      </c>
      <c r="H460" s="3">
        <v>13.2</v>
      </c>
      <c r="I460" s="3">
        <v>16005.92</v>
      </c>
      <c r="J460" s="1" t="s">
        <v>87</v>
      </c>
      <c r="K460" s="1" t="s">
        <v>133</v>
      </c>
      <c r="L460" t="str">
        <f>VLOOKUP(D460, Products!A:C, 3, FALSE)</f>
        <v>Home</v>
      </c>
      <c r="M460" t="str">
        <f>VLOOKUP(C460, Customers!A:E, 5, FALSE)</f>
        <v>SMB</v>
      </c>
      <c r="N460">
        <f>VLOOKUP(C460, Customers!A:E, 3, FALSE)</f>
        <v>28</v>
      </c>
      <c r="O460" s="93" t="str">
        <f>VLOOKUP(E460, Sales_Reps!A:C, 3, FALSE)</f>
        <v>North</v>
      </c>
      <c r="P460">
        <f>VLOOKUP(D460, Products!A:E, 4, FALSE)</f>
        <v>1850</v>
      </c>
      <c r="Q460">
        <f>IF(COUNTIF($A$2:A460, A460)=2, 1, 0)</f>
        <v>1</v>
      </c>
      <c r="R460">
        <f>IF(ISNA(MATCH(C460, Customers!$A:$A, 0)), 1, 0)</f>
        <v>0</v>
      </c>
      <c r="S460" s="94" t="b">
        <f>VLOOKUP(D460, Products!A:F, 6, FALSE)</f>
        <v>1</v>
      </c>
    </row>
    <row r="461" spans="1:19">
      <c r="A461" s="102" t="s">
        <v>884</v>
      </c>
      <c r="B461" s="2">
        <v>45361</v>
      </c>
      <c r="C461" s="1" t="s">
        <v>263</v>
      </c>
      <c r="D461" s="1" t="s">
        <v>270</v>
      </c>
      <c r="E461" s="1" t="s">
        <v>158</v>
      </c>
      <c r="F461" s="83">
        <v>9</v>
      </c>
      <c r="G461" s="92">
        <v>4610</v>
      </c>
      <c r="H461" s="3">
        <v>25.8</v>
      </c>
      <c r="I461" s="3">
        <v>30785.58</v>
      </c>
      <c r="J461" s="1" t="s">
        <v>87</v>
      </c>
      <c r="K461" s="1" t="s">
        <v>133</v>
      </c>
      <c r="L461" t="str">
        <f>VLOOKUP(D461, Products!A:C, 3, FALSE)</f>
        <v>Home</v>
      </c>
      <c r="M461" t="str">
        <f>VLOOKUP(C461, Customers!A:E, 5, FALSE)</f>
        <v>Retail</v>
      </c>
      <c r="N461">
        <f>VLOOKUP(C461, Customers!A:E, 3, FALSE)</f>
        <v>53</v>
      </c>
      <c r="O461" s="93" t="str">
        <f>VLOOKUP(E461, Sales_Reps!A:C, 3, FALSE)</f>
        <v>East</v>
      </c>
      <c r="P461">
        <f>VLOOKUP(D461, Products!A:E, 4, FALSE)</f>
        <v>1850</v>
      </c>
      <c r="Q461">
        <f>IF(COUNTIF($A$2:A461, A461)=2, 1, 0)</f>
        <v>0</v>
      </c>
      <c r="R461">
        <f>IF(ISNA(MATCH(C461, Customers!$A:$A, 0)), 1, 0)</f>
        <v>0</v>
      </c>
      <c r="S461" s="94" t="b">
        <f>VLOOKUP(D461, Products!A:F, 6, FALSE)</f>
        <v>1</v>
      </c>
    </row>
    <row r="462" spans="1:19">
      <c r="A462" s="102" t="s">
        <v>885</v>
      </c>
      <c r="B462" s="2">
        <v>45550</v>
      </c>
      <c r="C462" s="1" t="s">
        <v>886</v>
      </c>
      <c r="D462" s="1" t="s">
        <v>282</v>
      </c>
      <c r="E462" s="1" t="s">
        <v>98</v>
      </c>
      <c r="F462" s="83">
        <v>5</v>
      </c>
      <c r="G462" s="92">
        <v>300</v>
      </c>
      <c r="H462" s="3">
        <v>11.8</v>
      </c>
      <c r="I462" s="3">
        <v>1323</v>
      </c>
      <c r="J462" s="1" t="s">
        <v>87</v>
      </c>
      <c r="K462" s="1" t="s">
        <v>94</v>
      </c>
      <c r="L462" t="str">
        <f>VLOOKUP(D462, Products!A:C, 3, FALSE)</f>
        <v>Electronics</v>
      </c>
      <c r="M462" t="str">
        <f>VLOOKUP(C462, Customers!A:E, 5, FALSE)</f>
        <v>Corporate</v>
      </c>
      <c r="N462">
        <f>VLOOKUP(C462, Customers!A:E, 3, FALSE)</f>
        <v>44</v>
      </c>
      <c r="O462" s="93" t="str">
        <f>VLOOKUP(E462, Sales_Reps!A:C, 3, FALSE)</f>
        <v>South</v>
      </c>
      <c r="P462">
        <f>VLOOKUP(D462, Products!A:E, 4, FALSE)</f>
        <v>128</v>
      </c>
      <c r="Q462">
        <f>IF(COUNTIF($A$2:A462, A462)=2, 1, 0)</f>
        <v>0</v>
      </c>
      <c r="R462">
        <f>IF(ISNA(MATCH(C462, Customers!$A:$A, 0)), 1, 0)</f>
        <v>0</v>
      </c>
      <c r="S462" s="94" t="b">
        <f>VLOOKUP(D462, Products!A:F, 6, FALSE)</f>
        <v>1</v>
      </c>
    </row>
    <row r="463" spans="1:19">
      <c r="A463" s="102" t="s">
        <v>887</v>
      </c>
      <c r="B463" s="2">
        <v>45485</v>
      </c>
      <c r="C463" s="1" t="s">
        <v>795</v>
      </c>
      <c r="D463" s="1" t="s">
        <v>452</v>
      </c>
      <c r="E463" s="1" t="s">
        <v>192</v>
      </c>
      <c r="F463" s="83">
        <v>3</v>
      </c>
      <c r="G463" s="92">
        <v>3450</v>
      </c>
      <c r="H463" s="3">
        <v>14.2</v>
      </c>
      <c r="I463" s="3">
        <v>8880.2999999999993</v>
      </c>
      <c r="J463" s="1" t="s">
        <v>87</v>
      </c>
      <c r="K463" s="1" t="s">
        <v>94</v>
      </c>
      <c r="L463" t="str">
        <f>VLOOKUP(D463, Products!A:C, 3, FALSE)</f>
        <v>Apparel</v>
      </c>
      <c r="M463" t="str">
        <f>VLOOKUP(C463, Customers!A:E, 5, FALSE)</f>
        <v>Retail</v>
      </c>
      <c r="N463">
        <f>VLOOKUP(C463, Customers!A:E, 3, FALSE)</f>
        <v>22</v>
      </c>
      <c r="O463" s="93" t="str">
        <f>VLOOKUP(E463, Sales_Reps!A:C, 3, FALSE)</f>
        <v>East</v>
      </c>
      <c r="P463">
        <f>VLOOKUP(D463, Products!A:E, 4, FALSE)</f>
        <v>1748</v>
      </c>
      <c r="Q463">
        <f>IF(COUNTIF($A$2:A463, A463)=2, 1, 0)</f>
        <v>0</v>
      </c>
      <c r="R463">
        <f>IF(ISNA(MATCH(C463, Customers!$A:$A, 0)), 1, 0)</f>
        <v>0</v>
      </c>
      <c r="S463" s="94" t="b">
        <f>VLOOKUP(D463, Products!A:F, 6, FALSE)</f>
        <v>1</v>
      </c>
    </row>
    <row r="464" spans="1:19">
      <c r="A464" s="102" t="s">
        <v>888</v>
      </c>
      <c r="B464" s="2">
        <v>45523</v>
      </c>
      <c r="C464" s="1" t="s">
        <v>589</v>
      </c>
      <c r="D464" s="1" t="s">
        <v>173</v>
      </c>
      <c r="E464" s="1" t="s">
        <v>128</v>
      </c>
      <c r="F464" s="83">
        <v>2</v>
      </c>
      <c r="G464" s="92">
        <v>2720</v>
      </c>
      <c r="H464" s="3">
        <v>14.6</v>
      </c>
      <c r="I464" s="3">
        <v>4645.76</v>
      </c>
      <c r="J464" s="1" t="s">
        <v>140</v>
      </c>
      <c r="K464" s="1" t="s">
        <v>94</v>
      </c>
      <c r="L464" t="str">
        <f>VLOOKUP(D464, Products!A:C, 3, FALSE)</f>
        <v>Apparel</v>
      </c>
      <c r="M464" t="str">
        <f>VLOOKUP(C464, Customers!A:E, 5, FALSE)</f>
        <v>Corporate</v>
      </c>
      <c r="N464">
        <f>VLOOKUP(C464, Customers!A:E, 3, FALSE)</f>
        <v>30</v>
      </c>
      <c r="O464" s="93" t="str">
        <f>VLOOKUP(E464, Sales_Reps!A:C, 3, FALSE)</f>
        <v>West</v>
      </c>
      <c r="P464">
        <f>VLOOKUP(D464, Products!A:E, 4, FALSE)</f>
        <v>1962</v>
      </c>
      <c r="Q464">
        <f>IF(COUNTIF($A$2:A464, A464)=2, 1, 0)</f>
        <v>0</v>
      </c>
      <c r="R464">
        <f>IF(ISNA(MATCH(C464, Customers!$A:$A, 0)), 1, 0)</f>
        <v>0</v>
      </c>
      <c r="S464" s="94" t="b">
        <f>VLOOKUP(D464, Products!A:F, 6, FALSE)</f>
        <v>1</v>
      </c>
    </row>
    <row r="465" spans="1:19">
      <c r="A465" s="102" t="s">
        <v>889</v>
      </c>
      <c r="B465" s="2">
        <v>45626</v>
      </c>
      <c r="C465" s="1" t="s">
        <v>669</v>
      </c>
      <c r="D465" s="1" t="s">
        <v>279</v>
      </c>
      <c r="E465" s="1" t="s">
        <v>238</v>
      </c>
      <c r="F465" s="83">
        <v>7</v>
      </c>
      <c r="G465" s="92">
        <v>2660</v>
      </c>
      <c r="H465" s="3">
        <v>27.4</v>
      </c>
      <c r="I465" s="3">
        <v>13518.12</v>
      </c>
      <c r="J465" s="1" t="s">
        <v>140</v>
      </c>
      <c r="K465" s="1" t="s">
        <v>133</v>
      </c>
      <c r="L465" t="str">
        <f>VLOOKUP(D465, Products!A:C, 3, FALSE)</f>
        <v>Electronics</v>
      </c>
      <c r="M465" t="str">
        <f>VLOOKUP(C465, Customers!A:E, 5, FALSE)</f>
        <v>Retail</v>
      </c>
      <c r="N465">
        <f>VLOOKUP(C465, Customers!A:E, 3, FALSE)</f>
        <v>31</v>
      </c>
      <c r="O465" s="93" t="str">
        <f>VLOOKUP(E465, Sales_Reps!A:C, 3, FALSE)</f>
        <v>East</v>
      </c>
      <c r="P465">
        <f>VLOOKUP(D465, Products!A:E, 4, FALSE)</f>
        <v>1259</v>
      </c>
      <c r="Q465">
        <f>IF(COUNTIF($A$2:A465, A465)=2, 1, 0)</f>
        <v>0</v>
      </c>
      <c r="R465">
        <f>IF(ISNA(MATCH(C465, Customers!$A:$A, 0)), 1, 0)</f>
        <v>0</v>
      </c>
      <c r="S465" s="94" t="b">
        <f>VLOOKUP(D465, Products!A:F, 6, FALSE)</f>
        <v>0</v>
      </c>
    </row>
    <row r="466" spans="1:19">
      <c r="A466" s="102" t="s">
        <v>890</v>
      </c>
      <c r="B466" s="2">
        <v>45302</v>
      </c>
      <c r="C466" s="1" t="s">
        <v>615</v>
      </c>
      <c r="D466" s="1" t="s">
        <v>161</v>
      </c>
      <c r="E466" s="1" t="s">
        <v>92</v>
      </c>
      <c r="F466" s="83">
        <v>8</v>
      </c>
      <c r="G466" s="92">
        <v>3450</v>
      </c>
      <c r="H466" s="3">
        <v>20.399999999999999</v>
      </c>
      <c r="I466" s="3">
        <v>21969.599999999999</v>
      </c>
      <c r="J466" s="1" t="s">
        <v>87</v>
      </c>
      <c r="K466" s="1" t="s">
        <v>112</v>
      </c>
      <c r="L466" t="str">
        <f>VLOOKUP(D466, Products!A:C, 3, FALSE)</f>
        <v>Sports</v>
      </c>
      <c r="M466" t="str">
        <f>VLOOKUP(C466, Customers!A:E, 5, FALSE)</f>
        <v>Retail</v>
      </c>
      <c r="N466">
        <f>VLOOKUP(C466, Customers!A:E, 3, FALSE)</f>
        <v>53</v>
      </c>
      <c r="O466" s="93" t="str">
        <f>VLOOKUP(E466, Sales_Reps!A:C, 3, FALSE)</f>
        <v>North</v>
      </c>
      <c r="P466">
        <f>VLOOKUP(D466, Products!A:E, 4, FALSE)</f>
        <v>2467</v>
      </c>
      <c r="Q466">
        <f>IF(COUNTIF($A$2:A466, A466)=2, 1, 0)</f>
        <v>0</v>
      </c>
      <c r="R466">
        <f>IF(ISNA(MATCH(C466, Customers!$A:$A, 0)), 1, 0)</f>
        <v>0</v>
      </c>
      <c r="S466" s="94" t="b">
        <f>VLOOKUP(D466, Products!A:F, 6, FALSE)</f>
        <v>1</v>
      </c>
    </row>
    <row r="467" spans="1:19">
      <c r="A467" s="102" t="s">
        <v>891</v>
      </c>
      <c r="B467" s="2">
        <v>45427</v>
      </c>
      <c r="C467" s="1" t="s">
        <v>482</v>
      </c>
      <c r="D467" s="1" t="s">
        <v>360</v>
      </c>
      <c r="E467" s="1" t="s">
        <v>346</v>
      </c>
      <c r="F467" s="83">
        <v>2</v>
      </c>
      <c r="G467" s="92">
        <v>5410</v>
      </c>
      <c r="H467" s="3">
        <v>7.2</v>
      </c>
      <c r="I467" s="3">
        <v>10040.959999999999</v>
      </c>
      <c r="J467" s="1" t="s">
        <v>87</v>
      </c>
      <c r="K467" s="1" t="s">
        <v>133</v>
      </c>
      <c r="L467" t="str">
        <f>VLOOKUP(D467, Products!A:C, 3, FALSE)</f>
        <v>Sports</v>
      </c>
      <c r="M467" t="str">
        <f>VLOOKUP(C467, Customers!A:E, 5, FALSE)</f>
        <v>Corporate</v>
      </c>
      <c r="N467">
        <f>VLOOKUP(C467, Customers!A:E, 3, FALSE)</f>
        <v>52</v>
      </c>
      <c r="O467" s="93" t="str">
        <f>VLOOKUP(E467, Sales_Reps!A:C, 3, FALSE)</f>
        <v>South</v>
      </c>
      <c r="P467">
        <f>VLOOKUP(D467, Products!A:E, 4, FALSE)</f>
        <v>2265</v>
      </c>
      <c r="Q467">
        <f>IF(COUNTIF($A$2:A467, A467)=2, 1, 0)</f>
        <v>0</v>
      </c>
      <c r="R467">
        <f>IF(ISNA(MATCH(C467, Customers!$A:$A, 0)), 1, 0)</f>
        <v>0</v>
      </c>
      <c r="S467" s="94" t="b">
        <f>VLOOKUP(D467, Products!A:F, 6, FALSE)</f>
        <v>1</v>
      </c>
    </row>
    <row r="468" spans="1:19">
      <c r="A468" s="102" t="s">
        <v>892</v>
      </c>
      <c r="B468" s="2">
        <v>45315</v>
      </c>
      <c r="C468" s="1" t="s">
        <v>589</v>
      </c>
      <c r="D468" s="1" t="s">
        <v>248</v>
      </c>
      <c r="E468" s="1" t="s">
        <v>252</v>
      </c>
      <c r="F468" s="83">
        <v>3</v>
      </c>
      <c r="G468" s="92">
        <v>3870</v>
      </c>
      <c r="H468" s="3">
        <v>4.2</v>
      </c>
      <c r="I468" s="3">
        <v>11122.38</v>
      </c>
      <c r="J468" s="1" t="s">
        <v>87</v>
      </c>
      <c r="K468" s="1" t="s">
        <v>94</v>
      </c>
      <c r="L468" t="str">
        <f>VLOOKUP(D468, Products!A:C, 3, FALSE)</f>
        <v>Electronics</v>
      </c>
      <c r="M468" t="str">
        <f>VLOOKUP(C468, Customers!A:E, 5, FALSE)</f>
        <v>Corporate</v>
      </c>
      <c r="N468">
        <f>VLOOKUP(C468, Customers!A:E, 3, FALSE)</f>
        <v>30</v>
      </c>
      <c r="O468" s="93" t="str">
        <f>VLOOKUP(E468, Sales_Reps!A:C, 3, FALSE)</f>
        <v>South</v>
      </c>
      <c r="P468">
        <f>VLOOKUP(D468, Products!A:E, 4, FALSE)</f>
        <v>1559</v>
      </c>
      <c r="Q468">
        <f>IF(COUNTIF($A$2:A468, A468)=2, 1, 0)</f>
        <v>0</v>
      </c>
      <c r="R468">
        <f>IF(ISNA(MATCH(C468, Customers!$A:$A, 0)), 1, 0)</f>
        <v>0</v>
      </c>
      <c r="S468" s="94" t="b">
        <f>VLOOKUP(D468, Products!A:F, 6, FALSE)</f>
        <v>1</v>
      </c>
    </row>
    <row r="469" spans="1:19">
      <c r="A469" s="102" t="s">
        <v>893</v>
      </c>
      <c r="B469" s="2">
        <v>45328</v>
      </c>
      <c r="C469" s="1" t="s">
        <v>316</v>
      </c>
      <c r="D469" s="1" t="s">
        <v>131</v>
      </c>
      <c r="E469" s="1" t="s">
        <v>92</v>
      </c>
      <c r="F469" s="83">
        <v>10</v>
      </c>
      <c r="G469" s="92">
        <v>2270</v>
      </c>
      <c r="H469" s="3">
        <v>17.3</v>
      </c>
      <c r="I469" s="3">
        <v>18772.900000000001</v>
      </c>
      <c r="J469" s="1" t="s">
        <v>87</v>
      </c>
      <c r="K469" s="1" t="s">
        <v>88</v>
      </c>
      <c r="L469" t="str">
        <f>VLOOKUP(D469, Products!A:C, 3, FALSE)</f>
        <v>Grocery</v>
      </c>
      <c r="M469" t="str">
        <f>VLOOKUP(C469, Customers!A:E, 5, FALSE)</f>
        <v>SMB</v>
      </c>
      <c r="N469">
        <f>VLOOKUP(C469, Customers!A:E, 3, FALSE)</f>
        <v>60</v>
      </c>
      <c r="O469" s="93" t="str">
        <f>VLOOKUP(E469, Sales_Reps!A:C, 3, FALSE)</f>
        <v>North</v>
      </c>
      <c r="P469">
        <f>VLOOKUP(D469, Products!A:E, 4, FALSE)</f>
        <v>1203</v>
      </c>
      <c r="Q469">
        <f>IF(COUNTIF($A$2:A469, A469)=2, 1, 0)</f>
        <v>0</v>
      </c>
      <c r="R469">
        <f>IF(ISNA(MATCH(C469, Customers!$A:$A, 0)), 1, 0)</f>
        <v>0</v>
      </c>
      <c r="S469" s="94" t="b">
        <f>VLOOKUP(D469, Products!A:F, 6, FALSE)</f>
        <v>1</v>
      </c>
    </row>
    <row r="470" spans="1:19">
      <c r="A470" s="102" t="s">
        <v>894</v>
      </c>
      <c r="B470" s="2">
        <v>45394</v>
      </c>
      <c r="C470" s="1" t="s">
        <v>895</v>
      </c>
      <c r="D470" s="1" t="s">
        <v>364</v>
      </c>
      <c r="E470" s="1" t="s">
        <v>111</v>
      </c>
      <c r="F470" s="83">
        <v>1</v>
      </c>
      <c r="G470" s="92">
        <v>5330</v>
      </c>
      <c r="H470" s="3">
        <v>24.2</v>
      </c>
      <c r="I470" s="3">
        <v>4040.14</v>
      </c>
      <c r="J470" s="1" t="s">
        <v>87</v>
      </c>
      <c r="K470" s="1" t="s">
        <v>117</v>
      </c>
      <c r="L470" t="str">
        <f>VLOOKUP(D470, Products!A:C, 3, FALSE)</f>
        <v>Electronics</v>
      </c>
      <c r="M470" t="str">
        <f>VLOOKUP(C470, Customers!A:E, 5, FALSE)</f>
        <v>Retail</v>
      </c>
      <c r="N470">
        <f>VLOOKUP(C470, Customers!A:E, 3, FALSE)</f>
        <v>46</v>
      </c>
      <c r="O470" s="93" t="str">
        <f>VLOOKUP(E470, Sales_Reps!A:C, 3, FALSE)</f>
        <v>West</v>
      </c>
      <c r="P470">
        <f>VLOOKUP(D470, Products!A:E, 4, FALSE)</f>
        <v>2405</v>
      </c>
      <c r="Q470">
        <f>IF(COUNTIF($A$2:A470, A470)=2, 1, 0)</f>
        <v>0</v>
      </c>
      <c r="R470">
        <f>IF(ISNA(MATCH(C470, Customers!$A:$A, 0)), 1, 0)</f>
        <v>0</v>
      </c>
      <c r="S470" s="94" t="b">
        <f>VLOOKUP(D470, Products!A:F, 6, FALSE)</f>
        <v>1</v>
      </c>
    </row>
    <row r="471" spans="1:19">
      <c r="A471" s="102" t="s">
        <v>896</v>
      </c>
      <c r="B471" s="2">
        <v>45414</v>
      </c>
      <c r="C471" s="1" t="s">
        <v>119</v>
      </c>
      <c r="D471" s="1" t="s">
        <v>179</v>
      </c>
      <c r="E471" s="1" t="s">
        <v>188</v>
      </c>
      <c r="F471" s="83">
        <v>2</v>
      </c>
      <c r="G471" s="92">
        <v>3350</v>
      </c>
      <c r="H471" s="3">
        <v>23.4</v>
      </c>
      <c r="I471" s="3">
        <v>5132.2</v>
      </c>
      <c r="J471" s="1" t="s">
        <v>87</v>
      </c>
      <c r="K471" s="1" t="s">
        <v>117</v>
      </c>
      <c r="L471" t="str">
        <f>VLOOKUP(D471, Products!A:C, 3, FALSE)</f>
        <v>Beauty</v>
      </c>
      <c r="M471" t="str">
        <f>VLOOKUP(C471, Customers!A:E, 5, FALSE)</f>
        <v>Corporate</v>
      </c>
      <c r="N471">
        <f>VLOOKUP(C471, Customers!A:E, 3, FALSE)</f>
        <v>57</v>
      </c>
      <c r="O471" s="93" t="str">
        <f>VLOOKUP(E471, Sales_Reps!A:C, 3, FALSE)</f>
        <v>South</v>
      </c>
      <c r="P471">
        <f>VLOOKUP(D471, Products!A:E, 4, FALSE)</f>
        <v>1728</v>
      </c>
      <c r="Q471">
        <f>IF(COUNTIF($A$2:A471, A471)=2, 1, 0)</f>
        <v>0</v>
      </c>
      <c r="R471">
        <f>IF(ISNA(MATCH(C471, Customers!$A:$A, 0)), 1, 0)</f>
        <v>0</v>
      </c>
      <c r="S471" s="94" t="b">
        <f>VLOOKUP(D471, Products!A:F, 6, FALSE)</f>
        <v>1</v>
      </c>
    </row>
    <row r="472" spans="1:19">
      <c r="A472" s="102" t="s">
        <v>897</v>
      </c>
      <c r="B472" s="2">
        <v>45393</v>
      </c>
      <c r="C472" s="1" t="s">
        <v>823</v>
      </c>
      <c r="D472" s="1" t="s">
        <v>276</v>
      </c>
      <c r="E472" s="1" t="s">
        <v>103</v>
      </c>
      <c r="F472" s="83">
        <v>7</v>
      </c>
      <c r="G472" s="92">
        <v>3020</v>
      </c>
      <c r="H472" s="3">
        <v>23.7</v>
      </c>
      <c r="I472" s="3">
        <v>16129.82</v>
      </c>
      <c r="J472" s="1" t="s">
        <v>87</v>
      </c>
      <c r="K472" s="1" t="s">
        <v>94</v>
      </c>
      <c r="L472" t="str">
        <f>VLOOKUP(D472, Products!A:C, 3, FALSE)</f>
        <v>Beauty</v>
      </c>
      <c r="M472" t="str">
        <f>VLOOKUP(C472, Customers!A:E, 5, FALSE)</f>
        <v>Retail</v>
      </c>
      <c r="N472">
        <f>VLOOKUP(C472, Customers!A:E, 3, FALSE)</f>
        <v>32</v>
      </c>
      <c r="O472" s="93" t="str">
        <f>VLOOKUP(E472, Sales_Reps!A:C, 3, FALSE)</f>
        <v>North</v>
      </c>
      <c r="P472">
        <f>VLOOKUP(D472, Products!A:E, 4, FALSE)</f>
        <v>1626</v>
      </c>
      <c r="Q472">
        <f>IF(COUNTIF($A$2:A472, A472)=2, 1, 0)</f>
        <v>0</v>
      </c>
      <c r="R472">
        <f>IF(ISNA(MATCH(C472, Customers!$A:$A, 0)), 1, 0)</f>
        <v>0</v>
      </c>
      <c r="S472" s="94" t="b">
        <f>VLOOKUP(D472, Products!A:F, 6, FALSE)</f>
        <v>1</v>
      </c>
    </row>
    <row r="473" spans="1:19">
      <c r="A473" s="102" t="s">
        <v>898</v>
      </c>
      <c r="B473" s="2">
        <v>45535</v>
      </c>
      <c r="C473" s="1" t="s">
        <v>565</v>
      </c>
      <c r="D473" s="1" t="s">
        <v>106</v>
      </c>
      <c r="E473" s="1" t="s">
        <v>192</v>
      </c>
      <c r="F473" s="83">
        <v>7</v>
      </c>
      <c r="G473" s="92">
        <v>3160</v>
      </c>
      <c r="H473" s="3">
        <v>22.8</v>
      </c>
      <c r="I473" s="3">
        <v>17076.64</v>
      </c>
      <c r="J473" s="1" t="s">
        <v>87</v>
      </c>
      <c r="K473" s="1" t="s">
        <v>112</v>
      </c>
      <c r="L473" t="str">
        <f>VLOOKUP(D473, Products!A:C, 3, FALSE)</f>
        <v>Apparel</v>
      </c>
      <c r="M473" t="str">
        <f>VLOOKUP(C473, Customers!A:E, 5, FALSE)</f>
        <v>SMB</v>
      </c>
      <c r="N473">
        <f>VLOOKUP(C473, Customers!A:E, 3, FALSE)</f>
        <v>61</v>
      </c>
      <c r="O473" s="93" t="str">
        <f>VLOOKUP(E473, Sales_Reps!A:C, 3, FALSE)</f>
        <v>East</v>
      </c>
      <c r="P473">
        <f>VLOOKUP(D473, Products!A:E, 4, FALSE)</f>
        <v>1886</v>
      </c>
      <c r="Q473">
        <f>IF(COUNTIF($A$2:A473, A473)=2, 1, 0)</f>
        <v>0</v>
      </c>
      <c r="R473">
        <f>IF(ISNA(MATCH(C473, Customers!$A:$A, 0)), 1, 0)</f>
        <v>0</v>
      </c>
      <c r="S473" s="94" t="b">
        <f>VLOOKUP(D473, Products!A:F, 6, FALSE)</f>
        <v>1</v>
      </c>
    </row>
    <row r="474" spans="1:19">
      <c r="A474" s="102" t="s">
        <v>899</v>
      </c>
      <c r="B474" s="2">
        <v>45541</v>
      </c>
      <c r="C474" s="1" t="s">
        <v>900</v>
      </c>
      <c r="D474" s="1" t="s">
        <v>97</v>
      </c>
      <c r="E474" s="1" t="s">
        <v>192</v>
      </c>
      <c r="F474" s="83">
        <v>2</v>
      </c>
      <c r="G474" s="92">
        <v>470</v>
      </c>
      <c r="H474" s="3">
        <v>28.8</v>
      </c>
      <c r="I474" s="3">
        <v>669.28</v>
      </c>
      <c r="J474" s="1" t="s">
        <v>140</v>
      </c>
      <c r="K474" s="1" t="s">
        <v>117</v>
      </c>
      <c r="L474" t="str">
        <f>VLOOKUP(D474, Products!A:C, 3, FALSE)</f>
        <v>Sports</v>
      </c>
      <c r="M474" t="str">
        <f>VLOOKUP(C474, Customers!A:E, 5, FALSE)</f>
        <v>Retail</v>
      </c>
      <c r="N474">
        <f>VLOOKUP(C474, Customers!A:E, 3, FALSE)</f>
        <v>35</v>
      </c>
      <c r="O474" s="93" t="str">
        <f>VLOOKUP(E474, Sales_Reps!A:C, 3, FALSE)</f>
        <v>East</v>
      </c>
      <c r="P474">
        <f>VLOOKUP(D474, Products!A:E, 4, FALSE)</f>
        <v>302</v>
      </c>
      <c r="Q474">
        <f>IF(COUNTIF($A$2:A474, A474)=2, 1, 0)</f>
        <v>0</v>
      </c>
      <c r="R474">
        <f>IF(ISNA(MATCH(C474, Customers!$A:$A, 0)), 1, 0)</f>
        <v>0</v>
      </c>
      <c r="S474" s="94" t="b">
        <f>VLOOKUP(D474, Products!A:F, 6, FALSE)</f>
        <v>0</v>
      </c>
    </row>
    <row r="475" spans="1:19">
      <c r="A475" s="102" t="s">
        <v>901</v>
      </c>
      <c r="B475" s="2">
        <v>45454</v>
      </c>
      <c r="C475" s="1" t="s">
        <v>902</v>
      </c>
      <c r="D475" s="1" t="s">
        <v>143</v>
      </c>
      <c r="E475" s="1" t="s">
        <v>158</v>
      </c>
      <c r="F475" s="83">
        <v>2</v>
      </c>
      <c r="G475" s="92">
        <v>3250</v>
      </c>
      <c r="H475" s="3">
        <v>24.7</v>
      </c>
      <c r="I475" s="3">
        <v>4894.5</v>
      </c>
      <c r="J475" s="1" t="s">
        <v>87</v>
      </c>
      <c r="K475" s="1" t="s">
        <v>112</v>
      </c>
      <c r="L475" t="str">
        <f>VLOOKUP(D475, Products!A:C, 3, FALSE)</f>
        <v>Home</v>
      </c>
      <c r="M475" t="str">
        <f>VLOOKUP(C475, Customers!A:E, 5, FALSE)</f>
        <v>Retail</v>
      </c>
      <c r="N475">
        <f>VLOOKUP(C475, Customers!A:E, 3, FALSE)</f>
        <v>37</v>
      </c>
      <c r="O475" s="93" t="str">
        <f>VLOOKUP(E475, Sales_Reps!A:C, 3, FALSE)</f>
        <v>East</v>
      </c>
      <c r="P475">
        <f>VLOOKUP(D475, Products!A:E, 4, FALSE)</f>
        <v>1556</v>
      </c>
      <c r="Q475">
        <f>IF(COUNTIF($A$2:A475, A475)=2, 1, 0)</f>
        <v>0</v>
      </c>
      <c r="R475">
        <f>IF(ISNA(MATCH(C475, Customers!$A:$A, 0)), 1, 0)</f>
        <v>0</v>
      </c>
      <c r="S475" s="94" t="b">
        <f>VLOOKUP(D475, Products!A:F, 6, FALSE)</f>
        <v>1</v>
      </c>
    </row>
    <row r="476" spans="1:19">
      <c r="A476" s="102" t="s">
        <v>903</v>
      </c>
      <c r="B476" s="2">
        <v>45631</v>
      </c>
      <c r="C476" s="1" t="s">
        <v>390</v>
      </c>
      <c r="D476" s="1" t="s">
        <v>182</v>
      </c>
      <c r="E476" s="1" t="s">
        <v>154</v>
      </c>
      <c r="F476" s="83">
        <v>2</v>
      </c>
      <c r="G476" s="92">
        <v>1010</v>
      </c>
      <c r="H476" s="3">
        <v>5.2</v>
      </c>
      <c r="I476" s="3">
        <v>1914.96</v>
      </c>
      <c r="J476" s="1" t="s">
        <v>140</v>
      </c>
      <c r="K476" s="1" t="s">
        <v>88</v>
      </c>
      <c r="L476" t="str">
        <f>VLOOKUP(D476, Products!A:C, 3, FALSE)</f>
        <v>Sports</v>
      </c>
      <c r="M476" t="str">
        <f>VLOOKUP(C476, Customers!A:E, 5, FALSE)</f>
        <v>SMB</v>
      </c>
      <c r="N476">
        <f>VLOOKUP(C476, Customers!A:E, 3, FALSE)</f>
        <v>54</v>
      </c>
      <c r="O476" s="93" t="str">
        <f>VLOOKUP(E476, Sales_Reps!A:C, 3, FALSE)</f>
        <v>East</v>
      </c>
      <c r="P476">
        <f>VLOOKUP(D476, Products!A:E, 4, FALSE)</f>
        <v>516</v>
      </c>
      <c r="Q476">
        <f>IF(COUNTIF($A$2:A476, A476)=2, 1, 0)</f>
        <v>0</v>
      </c>
      <c r="R476">
        <f>IF(ISNA(MATCH(C476, Customers!$A:$A, 0)), 1, 0)</f>
        <v>0</v>
      </c>
      <c r="S476" s="94" t="b">
        <f>VLOOKUP(D476, Products!A:F, 6, FALSE)</f>
        <v>1</v>
      </c>
    </row>
    <row r="477" spans="1:19">
      <c r="A477" s="102" t="s">
        <v>904</v>
      </c>
      <c r="B477" s="2">
        <v>45588</v>
      </c>
      <c r="C477" s="1" t="s">
        <v>905</v>
      </c>
      <c r="D477" s="1" t="s">
        <v>282</v>
      </c>
      <c r="E477" s="1" t="s">
        <v>215</v>
      </c>
      <c r="F477" s="83">
        <v>9</v>
      </c>
      <c r="G477" s="92">
        <v>300</v>
      </c>
      <c r="H477" s="3">
        <v>7.9</v>
      </c>
      <c r="I477" s="3">
        <v>2486.6999999999998</v>
      </c>
      <c r="J477" s="1" t="s">
        <v>87</v>
      </c>
      <c r="K477" s="1" t="s">
        <v>112</v>
      </c>
      <c r="L477" t="str">
        <f>VLOOKUP(D477, Products!A:C, 3, FALSE)</f>
        <v>Electronics</v>
      </c>
      <c r="M477" t="str">
        <f>VLOOKUP(C477, Customers!A:E, 5, FALSE)</f>
        <v>SMB</v>
      </c>
      <c r="N477">
        <f>VLOOKUP(C477, Customers!A:E, 3, FALSE)</f>
        <v>43</v>
      </c>
      <c r="O477" s="93" t="str">
        <f>VLOOKUP(E477, Sales_Reps!A:C, 3, FALSE)</f>
        <v>North</v>
      </c>
      <c r="P477">
        <f>VLOOKUP(D477, Products!A:E, 4, FALSE)</f>
        <v>128</v>
      </c>
      <c r="Q477">
        <f>IF(COUNTIF($A$2:A477, A477)=2, 1, 0)</f>
        <v>0</v>
      </c>
      <c r="R477">
        <f>IF(ISNA(MATCH(C477, Customers!$A:$A, 0)), 1, 0)</f>
        <v>0</v>
      </c>
      <c r="S477" s="94" t="b">
        <f>VLOOKUP(D477, Products!A:F, 6, FALSE)</f>
        <v>1</v>
      </c>
    </row>
    <row r="478" spans="1:19">
      <c r="A478" s="102" t="s">
        <v>906</v>
      </c>
      <c r="B478" s="2">
        <v>45469</v>
      </c>
      <c r="C478" s="1" t="s">
        <v>703</v>
      </c>
      <c r="D478" s="1" t="s">
        <v>191</v>
      </c>
      <c r="E478" s="1" t="s">
        <v>103</v>
      </c>
      <c r="F478" s="83">
        <v>10</v>
      </c>
      <c r="G478" s="92">
        <v>5100</v>
      </c>
      <c r="H478" s="3">
        <v>26.3</v>
      </c>
      <c r="I478" s="3">
        <v>37587</v>
      </c>
      <c r="J478" s="1" t="s">
        <v>93</v>
      </c>
      <c r="K478" s="1" t="s">
        <v>88</v>
      </c>
      <c r="L478" t="str">
        <f>VLOOKUP(D478, Products!A:C, 3, FALSE)</f>
        <v>Beauty</v>
      </c>
      <c r="M478" t="str">
        <f>VLOOKUP(C478, Customers!A:E, 5, FALSE)</f>
        <v>Corporate</v>
      </c>
      <c r="N478">
        <f>VLOOKUP(C478, Customers!A:E, 3, FALSE)</f>
        <v>52</v>
      </c>
      <c r="O478" s="93" t="str">
        <f>VLOOKUP(E478, Sales_Reps!A:C, 3, FALSE)</f>
        <v>North</v>
      </c>
      <c r="P478">
        <f>VLOOKUP(D478, Products!A:E, 4, FALSE)</f>
        <v>2237</v>
      </c>
      <c r="Q478">
        <f>IF(COUNTIF($A$2:A478, A478)=2, 1, 0)</f>
        <v>0</v>
      </c>
      <c r="R478">
        <f>IF(ISNA(MATCH(C478, Customers!$A:$A, 0)), 1, 0)</f>
        <v>0</v>
      </c>
      <c r="S478" s="94" t="b">
        <f>VLOOKUP(D478, Products!A:F, 6, FALSE)</f>
        <v>1</v>
      </c>
    </row>
    <row r="479" spans="1:19">
      <c r="A479" s="102" t="s">
        <v>907</v>
      </c>
      <c r="B479" s="2">
        <v>45552</v>
      </c>
      <c r="C479" s="1" t="s">
        <v>908</v>
      </c>
      <c r="D479" s="1" t="s">
        <v>179</v>
      </c>
      <c r="E479" s="1" t="s">
        <v>128</v>
      </c>
      <c r="F479" s="83">
        <v>1</v>
      </c>
      <c r="G479" s="92">
        <v>3350</v>
      </c>
      <c r="H479" s="3">
        <v>8.5</v>
      </c>
      <c r="I479" s="3">
        <v>3065.25</v>
      </c>
      <c r="J479" s="1" t="s">
        <v>140</v>
      </c>
      <c r="K479" s="1" t="s">
        <v>133</v>
      </c>
      <c r="L479" t="str">
        <f>VLOOKUP(D479, Products!A:C, 3, FALSE)</f>
        <v>Beauty</v>
      </c>
      <c r="M479" t="str">
        <f>VLOOKUP(C479, Customers!A:E, 5, FALSE)</f>
        <v>Retail</v>
      </c>
      <c r="N479">
        <f>VLOOKUP(C479, Customers!A:E, 3, FALSE)</f>
        <v>31</v>
      </c>
      <c r="O479" s="93" t="str">
        <f>VLOOKUP(E479, Sales_Reps!A:C, 3, FALSE)</f>
        <v>West</v>
      </c>
      <c r="P479">
        <f>VLOOKUP(D479, Products!A:E, 4, FALSE)</f>
        <v>1728</v>
      </c>
      <c r="Q479">
        <f>IF(COUNTIF($A$2:A479, A479)=2, 1, 0)</f>
        <v>0</v>
      </c>
      <c r="R479">
        <f>IF(ISNA(MATCH(C479, Customers!$A:$A, 0)), 1, 0)</f>
        <v>0</v>
      </c>
      <c r="S479" s="94" t="b">
        <f>VLOOKUP(D479, Products!A:F, 6, FALSE)</f>
        <v>1</v>
      </c>
    </row>
    <row r="480" spans="1:19">
      <c r="A480" s="102" t="s">
        <v>909</v>
      </c>
      <c r="B480" s="2">
        <v>45554</v>
      </c>
      <c r="C480" s="1" t="s">
        <v>910</v>
      </c>
      <c r="D480" s="1" t="s">
        <v>143</v>
      </c>
      <c r="E480" s="1" t="s">
        <v>285</v>
      </c>
      <c r="F480" s="83">
        <v>2</v>
      </c>
      <c r="G480" s="92">
        <v>3250</v>
      </c>
      <c r="H480" s="3">
        <v>25.7</v>
      </c>
      <c r="I480" s="3">
        <v>4829.5</v>
      </c>
      <c r="J480" s="1" t="s">
        <v>144</v>
      </c>
      <c r="K480" s="1" t="s">
        <v>99</v>
      </c>
      <c r="L480" t="str">
        <f>VLOOKUP(D480, Products!A:C, 3, FALSE)</f>
        <v>Home</v>
      </c>
      <c r="M480" t="str">
        <f>VLOOKUP(C480, Customers!A:E, 5, FALSE)</f>
        <v>Retail</v>
      </c>
      <c r="N480">
        <f>VLOOKUP(C480, Customers!A:E, 3, FALSE)</f>
        <v>55</v>
      </c>
      <c r="O480" s="93" t="str">
        <f>VLOOKUP(E480, Sales_Reps!A:C, 3, FALSE)</f>
        <v>East</v>
      </c>
      <c r="P480">
        <f>VLOOKUP(D480, Products!A:E, 4, FALSE)</f>
        <v>1556</v>
      </c>
      <c r="Q480">
        <f>IF(COUNTIF($A$2:A480, A480)=2, 1, 0)</f>
        <v>0</v>
      </c>
      <c r="R480">
        <f>IF(ISNA(MATCH(C480, Customers!$A:$A, 0)), 1, 0)</f>
        <v>0</v>
      </c>
      <c r="S480" s="94" t="b">
        <f>VLOOKUP(D480, Products!A:F, 6, FALSE)</f>
        <v>1</v>
      </c>
    </row>
    <row r="481" spans="1:19">
      <c r="A481" s="102" t="s">
        <v>911</v>
      </c>
      <c r="B481" s="2">
        <v>45352</v>
      </c>
      <c r="C481" s="1" t="s">
        <v>146</v>
      </c>
      <c r="D481" s="1" t="s">
        <v>102</v>
      </c>
      <c r="E481" s="1" t="s">
        <v>107</v>
      </c>
      <c r="F481" s="83">
        <v>10</v>
      </c>
      <c r="G481" s="92">
        <v>3660</v>
      </c>
      <c r="H481" s="3">
        <v>12</v>
      </c>
      <c r="I481" s="3">
        <v>32208</v>
      </c>
      <c r="J481" s="1" t="s">
        <v>87</v>
      </c>
      <c r="K481" s="1" t="s">
        <v>88</v>
      </c>
      <c r="L481" t="str">
        <f>VLOOKUP(D481, Products!A:C, 3, FALSE)</f>
        <v>Grocery</v>
      </c>
      <c r="M481" t="str">
        <f>VLOOKUP(C481, Customers!A:E, 5, FALSE)</f>
        <v>Retail</v>
      </c>
      <c r="N481">
        <f>VLOOKUP(C481, Customers!A:E, 3, FALSE)</f>
        <v>38</v>
      </c>
      <c r="O481" s="93" t="str">
        <f>VLOOKUP(E481, Sales_Reps!A:C, 3, FALSE)</f>
        <v>North</v>
      </c>
      <c r="P481">
        <f>VLOOKUP(D481, Products!A:E, 4, FALSE)</f>
        <v>2214</v>
      </c>
      <c r="Q481">
        <f>IF(COUNTIF($A$2:A481, A481)=2, 1, 0)</f>
        <v>0</v>
      </c>
      <c r="R481">
        <f>IF(ISNA(MATCH(C481, Customers!$A:$A, 0)), 1, 0)</f>
        <v>0</v>
      </c>
      <c r="S481" s="94" t="b">
        <f>VLOOKUP(D481, Products!A:F, 6, FALSE)</f>
        <v>0</v>
      </c>
    </row>
    <row r="482" spans="1:19">
      <c r="A482" s="102" t="s">
        <v>912</v>
      </c>
      <c r="B482" s="2">
        <v>45521</v>
      </c>
      <c r="C482" s="1" t="s">
        <v>217</v>
      </c>
      <c r="D482" s="1" t="s">
        <v>151</v>
      </c>
      <c r="E482" s="1" t="s">
        <v>204</v>
      </c>
      <c r="F482" s="83">
        <v>1</v>
      </c>
      <c r="G482" s="92">
        <v>2400</v>
      </c>
      <c r="H482" s="3">
        <v>24.5</v>
      </c>
      <c r="I482" s="3">
        <v>1812</v>
      </c>
      <c r="J482" s="1" t="s">
        <v>87</v>
      </c>
      <c r="K482" s="1" t="s">
        <v>94</v>
      </c>
      <c r="L482" t="str">
        <f>VLOOKUP(D482, Products!A:C, 3, FALSE)</f>
        <v>Sports</v>
      </c>
      <c r="M482" t="str">
        <f>VLOOKUP(C482, Customers!A:E, 5, FALSE)</f>
        <v>Retail</v>
      </c>
      <c r="N482">
        <f>VLOOKUP(C482, Customers!A:E, 3, FALSE)</f>
        <v>51</v>
      </c>
      <c r="O482" s="93" t="str">
        <f>VLOOKUP(E482, Sales_Reps!A:C, 3, FALSE)</f>
        <v>South</v>
      </c>
      <c r="P482">
        <f>VLOOKUP(D482, Products!A:E, 4, FALSE)</f>
        <v>974</v>
      </c>
      <c r="Q482">
        <f>IF(COUNTIF($A$2:A482, A482)=2, 1, 0)</f>
        <v>0</v>
      </c>
      <c r="R482">
        <f>IF(ISNA(MATCH(C482, Customers!$A:$A, 0)), 1, 0)</f>
        <v>0</v>
      </c>
      <c r="S482" s="94" t="b">
        <f>VLOOKUP(D482, Products!A:F, 6, FALSE)</f>
        <v>1</v>
      </c>
    </row>
    <row r="483" spans="1:19">
      <c r="A483" s="102" t="s">
        <v>913</v>
      </c>
      <c r="B483" s="2">
        <v>45496</v>
      </c>
      <c r="C483" s="1" t="s">
        <v>434</v>
      </c>
      <c r="D483" s="1" t="s">
        <v>502</v>
      </c>
      <c r="E483" s="1" t="s">
        <v>132</v>
      </c>
      <c r="F483" s="83">
        <v>1</v>
      </c>
      <c r="G483" s="92">
        <v>1090</v>
      </c>
      <c r="H483" s="3">
        <v>18.399999999999999</v>
      </c>
      <c r="I483" s="3">
        <v>889.44</v>
      </c>
      <c r="J483" s="1" t="s">
        <v>87</v>
      </c>
      <c r="K483" s="1" t="s">
        <v>99</v>
      </c>
      <c r="L483" t="str">
        <f>VLOOKUP(D483, Products!A:C, 3, FALSE)</f>
        <v>Home</v>
      </c>
      <c r="M483" t="str">
        <f>VLOOKUP(C483, Customers!A:E, 5, FALSE)</f>
        <v>Corporate</v>
      </c>
      <c r="N483">
        <f>VLOOKUP(C483, Customers!A:E, 3, FALSE)</f>
        <v>31</v>
      </c>
      <c r="O483" s="93" t="str">
        <f>VLOOKUP(E483, Sales_Reps!A:C, 3, FALSE)</f>
        <v>South</v>
      </c>
      <c r="P483">
        <f>VLOOKUP(D483, Products!A:E, 4, FALSE)</f>
        <v>464</v>
      </c>
      <c r="Q483">
        <f>IF(COUNTIF($A$2:A483, A483)=2, 1, 0)</f>
        <v>0</v>
      </c>
      <c r="R483">
        <f>IF(ISNA(MATCH(C483, Customers!$A:$A, 0)), 1, 0)</f>
        <v>0</v>
      </c>
      <c r="S483" s="94" t="b">
        <f>VLOOKUP(D483, Products!A:F, 6, FALSE)</f>
        <v>1</v>
      </c>
    </row>
    <row r="484" spans="1:19">
      <c r="A484" s="102" t="s">
        <v>914</v>
      </c>
      <c r="B484" s="2">
        <v>45404</v>
      </c>
      <c r="C484" s="1" t="s">
        <v>795</v>
      </c>
      <c r="D484" s="1" t="s">
        <v>461</v>
      </c>
      <c r="E484" s="1" t="s">
        <v>188</v>
      </c>
      <c r="F484" s="83">
        <v>6</v>
      </c>
      <c r="G484" s="92">
        <v>3780</v>
      </c>
      <c r="H484" s="3">
        <v>15.9</v>
      </c>
      <c r="I484" s="3">
        <v>19073.88</v>
      </c>
      <c r="J484" s="1" t="s">
        <v>87</v>
      </c>
      <c r="K484" s="1" t="s">
        <v>94</v>
      </c>
      <c r="L484" t="str">
        <f>VLOOKUP(D484, Products!A:C, 3, FALSE)</f>
        <v>Sports</v>
      </c>
      <c r="M484" t="str">
        <f>VLOOKUP(C484, Customers!A:E, 5, FALSE)</f>
        <v>Retail</v>
      </c>
      <c r="N484">
        <f>VLOOKUP(C484, Customers!A:E, 3, FALSE)</f>
        <v>22</v>
      </c>
      <c r="O484" s="93" t="str">
        <f>VLOOKUP(E484, Sales_Reps!A:C, 3, FALSE)</f>
        <v>South</v>
      </c>
      <c r="P484">
        <f>VLOOKUP(D484, Products!A:E, 4, FALSE)</f>
        <v>1860</v>
      </c>
      <c r="Q484">
        <f>IF(COUNTIF($A$2:A484, A484)=2, 1, 0)</f>
        <v>0</v>
      </c>
      <c r="R484">
        <f>IF(ISNA(MATCH(C484, Customers!$A:$A, 0)), 1, 0)</f>
        <v>0</v>
      </c>
      <c r="S484" s="94" t="b">
        <f>VLOOKUP(D484, Products!A:F, 6, FALSE)</f>
        <v>1</v>
      </c>
    </row>
    <row r="485" spans="1:19">
      <c r="A485" s="102" t="s">
        <v>915</v>
      </c>
      <c r="B485" s="2">
        <v>45330</v>
      </c>
      <c r="C485" s="1" t="s">
        <v>479</v>
      </c>
      <c r="D485" s="1" t="s">
        <v>179</v>
      </c>
      <c r="E485" s="1" t="s">
        <v>121</v>
      </c>
      <c r="F485" s="83">
        <v>3</v>
      </c>
      <c r="G485" s="92">
        <v>3350</v>
      </c>
      <c r="H485" s="3">
        <v>18.8</v>
      </c>
      <c r="I485" s="3">
        <v>8160.6</v>
      </c>
      <c r="J485" s="1" t="s">
        <v>144</v>
      </c>
      <c r="K485" s="1" t="s">
        <v>88</v>
      </c>
      <c r="L485" t="str">
        <f>VLOOKUP(D485, Products!A:C, 3, FALSE)</f>
        <v>Beauty</v>
      </c>
      <c r="M485" t="str">
        <f>VLOOKUP(C485, Customers!A:E, 5, FALSE)</f>
        <v>SMB</v>
      </c>
      <c r="N485">
        <f>VLOOKUP(C485, Customers!A:E, 3, FALSE)</f>
        <v>49</v>
      </c>
      <c r="O485" s="93" t="str">
        <f>VLOOKUP(E485, Sales_Reps!A:C, 3, FALSE)</f>
        <v>East</v>
      </c>
      <c r="P485">
        <f>VLOOKUP(D485, Products!A:E, 4, FALSE)</f>
        <v>1728</v>
      </c>
      <c r="Q485">
        <f>IF(COUNTIF($A$2:A485, A485)=2, 1, 0)</f>
        <v>0</v>
      </c>
      <c r="R485">
        <f>IF(ISNA(MATCH(C485, Customers!$A:$A, 0)), 1, 0)</f>
        <v>0</v>
      </c>
      <c r="S485" s="94" t="b">
        <f>VLOOKUP(D485, Products!A:F, 6, FALSE)</f>
        <v>1</v>
      </c>
    </row>
    <row r="486" spans="1:19">
      <c r="A486" s="102" t="s">
        <v>916</v>
      </c>
      <c r="B486" s="2">
        <v>45323</v>
      </c>
      <c r="C486" s="1" t="s">
        <v>119</v>
      </c>
      <c r="D486" s="1" t="s">
        <v>164</v>
      </c>
      <c r="E486" s="1" t="s">
        <v>170</v>
      </c>
      <c r="F486" s="83">
        <v>3</v>
      </c>
      <c r="G486" s="92">
        <v>1080</v>
      </c>
      <c r="H486" s="3">
        <v>3.4</v>
      </c>
      <c r="I486" s="3">
        <v>3129.84</v>
      </c>
      <c r="J486" s="1" t="s">
        <v>87</v>
      </c>
      <c r="K486" s="1" t="s">
        <v>117</v>
      </c>
      <c r="L486" t="str">
        <f>VLOOKUP(D486, Products!A:C, 3, FALSE)</f>
        <v>Home</v>
      </c>
      <c r="M486" t="str">
        <f>VLOOKUP(C486, Customers!A:E, 5, FALSE)</f>
        <v>Corporate</v>
      </c>
      <c r="N486">
        <f>VLOOKUP(C486, Customers!A:E, 3, FALSE)</f>
        <v>57</v>
      </c>
      <c r="O486" s="93" t="str">
        <f>VLOOKUP(E486, Sales_Reps!A:C, 3, FALSE)</f>
        <v>West</v>
      </c>
      <c r="P486">
        <f>VLOOKUP(D486, Products!A:E, 4, FALSE)</f>
        <v>519</v>
      </c>
      <c r="Q486">
        <f>IF(COUNTIF($A$2:A486, A486)=2, 1, 0)</f>
        <v>0</v>
      </c>
      <c r="R486">
        <f>IF(ISNA(MATCH(C486, Customers!$A:$A, 0)), 1, 0)</f>
        <v>0</v>
      </c>
      <c r="S486" s="94" t="b">
        <f>VLOOKUP(D486, Products!A:F, 6, FALSE)</f>
        <v>1</v>
      </c>
    </row>
    <row r="487" spans="1:19">
      <c r="A487" s="102" t="s">
        <v>917</v>
      </c>
      <c r="B487" s="2">
        <v>45519</v>
      </c>
      <c r="C487" s="1" t="s">
        <v>318</v>
      </c>
      <c r="D487" s="1" t="s">
        <v>264</v>
      </c>
      <c r="E487" s="1" t="s">
        <v>285</v>
      </c>
      <c r="F487" s="83">
        <v>6</v>
      </c>
      <c r="G487" s="92">
        <v>4070</v>
      </c>
      <c r="H487" s="3">
        <v>27.7</v>
      </c>
      <c r="I487" s="3">
        <v>17655.66</v>
      </c>
      <c r="J487" s="1" t="s">
        <v>93</v>
      </c>
      <c r="K487" s="1" t="s">
        <v>94</v>
      </c>
      <c r="L487" t="str">
        <f>VLOOKUP(D487, Products!A:C, 3, FALSE)</f>
        <v>Grocery</v>
      </c>
      <c r="M487" t="str">
        <f>VLOOKUP(C487, Customers!A:E, 5, FALSE)</f>
        <v>SMB</v>
      </c>
      <c r="N487">
        <f>VLOOKUP(C487, Customers!A:E, 3, FALSE)</f>
        <v>57</v>
      </c>
      <c r="O487" s="93" t="str">
        <f>VLOOKUP(E487, Sales_Reps!A:C, 3, FALSE)</f>
        <v>East</v>
      </c>
      <c r="P487">
        <f>VLOOKUP(D487, Products!A:E, 4, FALSE)</f>
        <v>2027</v>
      </c>
      <c r="Q487">
        <f>IF(COUNTIF($A$2:A487, A487)=2, 1, 0)</f>
        <v>0</v>
      </c>
      <c r="R487">
        <f>IF(ISNA(MATCH(C487, Customers!$A:$A, 0)), 1, 0)</f>
        <v>0</v>
      </c>
      <c r="S487" s="94" t="b">
        <f>VLOOKUP(D487, Products!A:F, 6, FALSE)</f>
        <v>1</v>
      </c>
    </row>
    <row r="488" spans="1:19">
      <c r="A488" s="102" t="s">
        <v>918</v>
      </c>
      <c r="B488" s="2">
        <v>45514</v>
      </c>
      <c r="C488" s="1" t="s">
        <v>795</v>
      </c>
      <c r="D488" s="1" t="s">
        <v>259</v>
      </c>
      <c r="E488" s="1" t="s">
        <v>201</v>
      </c>
      <c r="F488" s="83">
        <v>5</v>
      </c>
      <c r="G488" s="92">
        <v>1540</v>
      </c>
      <c r="H488" s="3">
        <v>24.9</v>
      </c>
      <c r="I488" s="3">
        <v>5782.7</v>
      </c>
      <c r="J488" s="1" t="s">
        <v>87</v>
      </c>
      <c r="K488" s="1" t="s">
        <v>94</v>
      </c>
      <c r="L488" t="str">
        <f>VLOOKUP(D488, Products!A:C, 3, FALSE)</f>
        <v>Beauty</v>
      </c>
      <c r="M488" t="str">
        <f>VLOOKUP(C488, Customers!A:E, 5, FALSE)</f>
        <v>Retail</v>
      </c>
      <c r="N488">
        <f>VLOOKUP(C488, Customers!A:E, 3, FALSE)</f>
        <v>22</v>
      </c>
      <c r="O488" s="93" t="str">
        <f>VLOOKUP(E488, Sales_Reps!A:C, 3, FALSE)</f>
        <v>West</v>
      </c>
      <c r="P488">
        <f>VLOOKUP(D488, Products!A:E, 4, FALSE)</f>
        <v>647</v>
      </c>
      <c r="Q488">
        <f>IF(COUNTIF($A$2:A488, A488)=2, 1, 0)</f>
        <v>0</v>
      </c>
      <c r="R488">
        <f>IF(ISNA(MATCH(C488, Customers!$A:$A, 0)), 1, 0)</f>
        <v>0</v>
      </c>
      <c r="S488" s="94" t="b">
        <f>VLOOKUP(D488, Products!A:F, 6, FALSE)</f>
        <v>0</v>
      </c>
    </row>
    <row r="489" spans="1:19">
      <c r="A489" s="102" t="s">
        <v>919</v>
      </c>
      <c r="B489" s="2">
        <v>45497</v>
      </c>
      <c r="C489" s="1" t="s">
        <v>394</v>
      </c>
      <c r="D489" s="1" t="s">
        <v>200</v>
      </c>
      <c r="E489" s="1" t="s">
        <v>128</v>
      </c>
      <c r="F489" s="83">
        <v>6</v>
      </c>
      <c r="G489" s="92">
        <v>2760</v>
      </c>
      <c r="H489" s="3">
        <v>29.9</v>
      </c>
      <c r="I489" s="3">
        <v>11608.56</v>
      </c>
      <c r="J489" s="1" t="s">
        <v>87</v>
      </c>
      <c r="K489" s="1" t="s">
        <v>117</v>
      </c>
      <c r="L489" t="str">
        <f>VLOOKUP(D489, Products!A:C, 3, FALSE)</f>
        <v>Grocery</v>
      </c>
      <c r="M489" t="str">
        <f>VLOOKUP(C489, Customers!A:E, 5, FALSE)</f>
        <v>SMB</v>
      </c>
      <c r="N489">
        <f>VLOOKUP(C489, Customers!A:E, 3, FALSE)</f>
        <v>28</v>
      </c>
      <c r="O489" s="93" t="str">
        <f>VLOOKUP(E489, Sales_Reps!A:C, 3, FALSE)</f>
        <v>West</v>
      </c>
      <c r="P489">
        <f>VLOOKUP(D489, Products!A:E, 4, FALSE)</f>
        <v>1435</v>
      </c>
      <c r="Q489">
        <f>IF(COUNTIF($A$2:A489, A489)=2, 1, 0)</f>
        <v>0</v>
      </c>
      <c r="R489">
        <f>IF(ISNA(MATCH(C489, Customers!$A:$A, 0)), 1, 0)</f>
        <v>0</v>
      </c>
      <c r="S489" s="94" t="b">
        <f>VLOOKUP(D489, Products!A:F, 6, FALSE)</f>
        <v>1</v>
      </c>
    </row>
    <row r="490" spans="1:19">
      <c r="A490" s="102" t="s">
        <v>920</v>
      </c>
      <c r="B490" s="2">
        <v>45639</v>
      </c>
      <c r="C490" s="1" t="s">
        <v>921</v>
      </c>
      <c r="D490" s="1" t="s">
        <v>408</v>
      </c>
      <c r="E490" s="1" t="s">
        <v>285</v>
      </c>
      <c r="F490" s="83">
        <v>8</v>
      </c>
      <c r="G490" s="92">
        <v>3970</v>
      </c>
      <c r="H490" s="3">
        <v>23.7</v>
      </c>
      <c r="I490" s="3">
        <v>24232.880000000001</v>
      </c>
      <c r="J490" s="1" t="s">
        <v>87</v>
      </c>
      <c r="K490" s="1" t="s">
        <v>117</v>
      </c>
      <c r="L490" t="str">
        <f>VLOOKUP(D490, Products!A:C, 3, FALSE)</f>
        <v>Electronics</v>
      </c>
      <c r="M490" t="str">
        <f>VLOOKUP(C490, Customers!A:E, 5, FALSE)</f>
        <v>Retail</v>
      </c>
      <c r="N490">
        <f>VLOOKUP(C490, Customers!A:E, 3, FALSE)</f>
        <v>28</v>
      </c>
      <c r="O490" s="93" t="str">
        <f>VLOOKUP(E490, Sales_Reps!A:C, 3, FALSE)</f>
        <v>East</v>
      </c>
      <c r="P490">
        <f>VLOOKUP(D490, Products!A:E, 4, FALSE)</f>
        <v>2865</v>
      </c>
      <c r="Q490">
        <f>IF(COUNTIF($A$2:A490, A490)=2, 1, 0)</f>
        <v>0</v>
      </c>
      <c r="R490">
        <f>IF(ISNA(MATCH(C490, Customers!$A:$A, 0)), 1, 0)</f>
        <v>0</v>
      </c>
      <c r="S490" s="94" t="b">
        <f>VLOOKUP(D490, Products!A:F, 6, FALSE)</f>
        <v>1</v>
      </c>
    </row>
    <row r="491" spans="1:19">
      <c r="A491" s="102" t="s">
        <v>922</v>
      </c>
      <c r="B491" s="2">
        <v>45562</v>
      </c>
      <c r="C491" s="1" t="s">
        <v>902</v>
      </c>
      <c r="D491" s="1" t="s">
        <v>452</v>
      </c>
      <c r="E491" s="1" t="s">
        <v>158</v>
      </c>
      <c r="F491" s="83">
        <v>1</v>
      </c>
      <c r="G491" s="92">
        <v>3450</v>
      </c>
      <c r="H491" s="3">
        <v>7.4</v>
      </c>
      <c r="I491" s="3">
        <v>3194.7</v>
      </c>
      <c r="J491" s="1" t="s">
        <v>87</v>
      </c>
      <c r="K491" s="1" t="s">
        <v>112</v>
      </c>
      <c r="L491" t="str">
        <f>VLOOKUP(D491, Products!A:C, 3, FALSE)</f>
        <v>Apparel</v>
      </c>
      <c r="M491" t="str">
        <f>VLOOKUP(C491, Customers!A:E, 5, FALSE)</f>
        <v>Retail</v>
      </c>
      <c r="N491">
        <f>VLOOKUP(C491, Customers!A:E, 3, FALSE)</f>
        <v>37</v>
      </c>
      <c r="O491" s="93" t="str">
        <f>VLOOKUP(E491, Sales_Reps!A:C, 3, FALSE)</f>
        <v>East</v>
      </c>
      <c r="P491">
        <f>VLOOKUP(D491, Products!A:E, 4, FALSE)</f>
        <v>1748</v>
      </c>
      <c r="Q491">
        <f>IF(COUNTIF($A$2:A491, A491)=2, 1, 0)</f>
        <v>0</v>
      </c>
      <c r="R491">
        <f>IF(ISNA(MATCH(C491, Customers!$A:$A, 0)), 1, 0)</f>
        <v>0</v>
      </c>
      <c r="S491" s="94" t="b">
        <f>VLOOKUP(D491, Products!A:F, 6, FALSE)</f>
        <v>1</v>
      </c>
    </row>
    <row r="492" spans="1:19">
      <c r="A492" s="102" t="s">
        <v>923</v>
      </c>
      <c r="B492" s="2">
        <v>45308</v>
      </c>
      <c r="C492" s="1" t="s">
        <v>504</v>
      </c>
      <c r="D492" s="1" t="s">
        <v>659</v>
      </c>
      <c r="E492" s="1" t="s">
        <v>92</v>
      </c>
      <c r="F492" s="83">
        <v>3</v>
      </c>
      <c r="G492" s="92">
        <v>3560</v>
      </c>
      <c r="H492" s="3">
        <v>15.2</v>
      </c>
      <c r="I492" s="3">
        <v>9056.64</v>
      </c>
      <c r="J492" s="1" t="s">
        <v>87</v>
      </c>
      <c r="K492" s="1" t="s">
        <v>117</v>
      </c>
      <c r="L492" t="str">
        <f>VLOOKUP(D492, Products!A:C, 3, FALSE)</f>
        <v>Apparel</v>
      </c>
      <c r="M492" t="str">
        <f>VLOOKUP(C492, Customers!A:E, 5, FALSE)</f>
        <v>Corporate</v>
      </c>
      <c r="N492">
        <f>VLOOKUP(C492, Customers!A:E, 3, FALSE)</f>
        <v>36</v>
      </c>
      <c r="O492" s="93" t="str">
        <f>VLOOKUP(E492, Sales_Reps!A:C, 3, FALSE)</f>
        <v>North</v>
      </c>
      <c r="P492">
        <f>VLOOKUP(D492, Products!A:E, 4, FALSE)</f>
        <v>2629</v>
      </c>
      <c r="Q492">
        <f>IF(COUNTIF($A$2:A492, A492)=2, 1, 0)</f>
        <v>0</v>
      </c>
      <c r="R492">
        <f>IF(ISNA(MATCH(C492, Customers!$A:$A, 0)), 1, 0)</f>
        <v>0</v>
      </c>
      <c r="S492" s="94" t="b">
        <f>VLOOKUP(D492, Products!A:F, 6, FALSE)</f>
        <v>1</v>
      </c>
    </row>
    <row r="493" spans="1:19">
      <c r="A493" s="102" t="s">
        <v>924</v>
      </c>
      <c r="B493" s="2">
        <v>45428</v>
      </c>
      <c r="C493" s="1" t="s">
        <v>487</v>
      </c>
      <c r="D493" s="1" t="s">
        <v>187</v>
      </c>
      <c r="E493" s="1" t="s">
        <v>170</v>
      </c>
      <c r="F493" s="83">
        <v>4</v>
      </c>
      <c r="G493" s="92">
        <v>3570</v>
      </c>
      <c r="H493" s="3">
        <v>18.899999999999999</v>
      </c>
      <c r="I493" s="3">
        <v>11581.08</v>
      </c>
      <c r="J493" s="1" t="s">
        <v>87</v>
      </c>
      <c r="K493" s="1" t="s">
        <v>88</v>
      </c>
      <c r="L493" t="str">
        <f>VLOOKUP(D493, Products!A:C, 3, FALSE)</f>
        <v>Electronics</v>
      </c>
      <c r="M493" t="str">
        <f>VLOOKUP(C493, Customers!A:E, 5, FALSE)</f>
        <v>Corporate</v>
      </c>
      <c r="N493">
        <f>VLOOKUP(C493, Customers!A:E, 3, FALSE)</f>
        <v>29</v>
      </c>
      <c r="O493" s="93" t="str">
        <f>VLOOKUP(E493, Sales_Reps!A:C, 3, FALSE)</f>
        <v>West</v>
      </c>
      <c r="P493">
        <f>VLOOKUP(D493, Products!A:E, 4, FALSE)</f>
        <v>1665</v>
      </c>
      <c r="Q493">
        <f>IF(COUNTIF($A$2:A493, A493)=2, 1, 0)</f>
        <v>0</v>
      </c>
      <c r="R493">
        <f>IF(ISNA(MATCH(C493, Customers!$A:$A, 0)), 1, 0)</f>
        <v>0</v>
      </c>
      <c r="S493" s="94" t="b">
        <f>VLOOKUP(D493, Products!A:F, 6, FALSE)</f>
        <v>1</v>
      </c>
    </row>
    <row r="494" spans="1:19">
      <c r="A494" s="102" t="s">
        <v>925</v>
      </c>
      <c r="B494" s="2">
        <v>45472</v>
      </c>
      <c r="C494" s="1" t="s">
        <v>507</v>
      </c>
      <c r="D494" s="1" t="s">
        <v>115</v>
      </c>
      <c r="E494" s="1" t="s">
        <v>111</v>
      </c>
      <c r="F494" s="83">
        <v>9</v>
      </c>
      <c r="G494" s="92">
        <v>960</v>
      </c>
      <c r="H494" s="3">
        <v>14</v>
      </c>
      <c r="I494" s="3">
        <v>7430.4</v>
      </c>
      <c r="J494" s="1" t="s">
        <v>144</v>
      </c>
      <c r="K494" s="1" t="s">
        <v>88</v>
      </c>
      <c r="L494" t="str">
        <f>VLOOKUP(D494, Products!A:C, 3, FALSE)</f>
        <v>Sports</v>
      </c>
      <c r="M494" t="str">
        <f>VLOOKUP(C494, Customers!A:E, 5, FALSE)</f>
        <v>Retail</v>
      </c>
      <c r="N494">
        <f>VLOOKUP(C494, Customers!A:E, 3, FALSE)</f>
        <v>59</v>
      </c>
      <c r="O494" s="93" t="str">
        <f>VLOOKUP(E494, Sales_Reps!A:C, 3, FALSE)</f>
        <v>West</v>
      </c>
      <c r="P494">
        <f>VLOOKUP(D494, Products!A:E, 4, FALSE)</f>
        <v>705</v>
      </c>
      <c r="Q494">
        <f>IF(COUNTIF($A$2:A494, A494)=2, 1, 0)</f>
        <v>0</v>
      </c>
      <c r="R494">
        <f>IF(ISNA(MATCH(C494, Customers!$A:$A, 0)), 1, 0)</f>
        <v>0</v>
      </c>
      <c r="S494" s="94" t="b">
        <f>VLOOKUP(D494, Products!A:F, 6, FALSE)</f>
        <v>1</v>
      </c>
    </row>
    <row r="495" spans="1:19">
      <c r="A495" s="102" t="s">
        <v>926</v>
      </c>
      <c r="B495" s="2">
        <v>45406</v>
      </c>
      <c r="C495" s="1" t="s">
        <v>703</v>
      </c>
      <c r="D495" s="1" t="s">
        <v>157</v>
      </c>
      <c r="E495" s="1" t="s">
        <v>346</v>
      </c>
      <c r="F495" s="83">
        <v>9</v>
      </c>
      <c r="G495" s="92">
        <v>3450</v>
      </c>
      <c r="H495" s="3">
        <v>6</v>
      </c>
      <c r="I495" s="3">
        <v>29187</v>
      </c>
      <c r="J495" s="1" t="s">
        <v>140</v>
      </c>
      <c r="K495" s="1" t="s">
        <v>88</v>
      </c>
      <c r="L495" t="str">
        <f>VLOOKUP(D495, Products!A:C, 3, FALSE)</f>
        <v>Beauty</v>
      </c>
      <c r="M495" t="str">
        <f>VLOOKUP(C495, Customers!A:E, 5, FALSE)</f>
        <v>Corporate</v>
      </c>
      <c r="N495">
        <f>VLOOKUP(C495, Customers!A:E, 3, FALSE)</f>
        <v>52</v>
      </c>
      <c r="O495" s="93" t="str">
        <f>VLOOKUP(E495, Sales_Reps!A:C, 3, FALSE)</f>
        <v>South</v>
      </c>
      <c r="P495">
        <f>VLOOKUP(D495, Products!A:E, 4, FALSE)</f>
        <v>2420</v>
      </c>
      <c r="Q495">
        <f>IF(COUNTIF($A$2:A495, A495)=2, 1, 0)</f>
        <v>0</v>
      </c>
      <c r="R495">
        <f>IF(ISNA(MATCH(C495, Customers!$A:$A, 0)), 1, 0)</f>
        <v>0</v>
      </c>
      <c r="S495" s="94" t="b">
        <f>VLOOKUP(D495, Products!A:F, 6, FALSE)</f>
        <v>1</v>
      </c>
    </row>
    <row r="496" spans="1:19">
      <c r="A496" s="102" t="s">
        <v>927</v>
      </c>
      <c r="B496" s="2">
        <v>45457</v>
      </c>
      <c r="C496" s="1" t="s">
        <v>403</v>
      </c>
      <c r="D496" s="1" t="s">
        <v>179</v>
      </c>
      <c r="E496" s="1" t="s">
        <v>325</v>
      </c>
      <c r="F496" s="83">
        <v>7</v>
      </c>
      <c r="G496" s="92">
        <v>3350</v>
      </c>
      <c r="H496" s="3">
        <v>14</v>
      </c>
      <c r="I496" s="3">
        <v>20167</v>
      </c>
      <c r="J496" s="1" t="s">
        <v>140</v>
      </c>
      <c r="K496" s="1" t="s">
        <v>117</v>
      </c>
      <c r="L496" t="str">
        <f>VLOOKUP(D496, Products!A:C, 3, FALSE)</f>
        <v>Beauty</v>
      </c>
      <c r="M496" t="str">
        <f>VLOOKUP(C496, Customers!A:E, 5, FALSE)</f>
        <v>Retail</v>
      </c>
      <c r="N496">
        <f>VLOOKUP(C496, Customers!A:E, 3, FALSE)</f>
        <v>59</v>
      </c>
      <c r="O496" s="93" t="str">
        <f>VLOOKUP(E496, Sales_Reps!A:C, 3, FALSE)</f>
        <v>South</v>
      </c>
      <c r="P496">
        <f>VLOOKUP(D496, Products!A:E, 4, FALSE)</f>
        <v>1728</v>
      </c>
      <c r="Q496">
        <f>IF(COUNTIF($A$2:A496, A496)=2, 1, 0)</f>
        <v>0</v>
      </c>
      <c r="R496">
        <f>IF(ISNA(MATCH(C496, Customers!$A:$A, 0)), 1, 0)</f>
        <v>0</v>
      </c>
      <c r="S496" s="94" t="b">
        <f>VLOOKUP(D496, Products!A:F, 6, FALSE)</f>
        <v>1</v>
      </c>
    </row>
    <row r="497" spans="1:19">
      <c r="A497" s="102" t="s">
        <v>928</v>
      </c>
      <c r="B497" s="2">
        <v>45298</v>
      </c>
      <c r="C497" s="1" t="s">
        <v>291</v>
      </c>
      <c r="D497" s="1" t="s">
        <v>380</v>
      </c>
      <c r="E497" s="1" t="s">
        <v>139</v>
      </c>
      <c r="F497" s="83">
        <v>6</v>
      </c>
      <c r="G497" s="92">
        <v>960</v>
      </c>
      <c r="H497" s="3">
        <v>10.1</v>
      </c>
      <c r="I497" s="3">
        <v>5178.24</v>
      </c>
      <c r="J497" s="1" t="s">
        <v>87</v>
      </c>
      <c r="K497" s="1" t="s">
        <v>99</v>
      </c>
      <c r="L497" t="str">
        <f>VLOOKUP(D497, Products!A:C, 3, FALSE)</f>
        <v>Beauty</v>
      </c>
      <c r="M497" t="str">
        <f>VLOOKUP(C497, Customers!A:E, 5, FALSE)</f>
        <v>Retail</v>
      </c>
      <c r="N497">
        <f>VLOOKUP(C497, Customers!A:E, 3, FALSE)</f>
        <v>35</v>
      </c>
      <c r="O497" s="93" t="str">
        <f>VLOOKUP(E497, Sales_Reps!A:C, 3, FALSE)</f>
        <v>North</v>
      </c>
      <c r="P497">
        <f>VLOOKUP(D497, Products!A:E, 4, FALSE)</f>
        <v>675</v>
      </c>
      <c r="Q497">
        <f>IF(COUNTIF($A$2:A497, A497)=2, 1, 0)</f>
        <v>0</v>
      </c>
      <c r="R497">
        <f>IF(ISNA(MATCH(C497, Customers!$A:$A, 0)), 1, 0)</f>
        <v>0</v>
      </c>
      <c r="S497" s="94" t="b">
        <f>VLOOKUP(D497, Products!A:F, 6, FALSE)</f>
        <v>1</v>
      </c>
    </row>
    <row r="498" spans="1:19">
      <c r="A498" s="102" t="s">
        <v>929</v>
      </c>
      <c r="B498" s="2">
        <v>45337</v>
      </c>
      <c r="C498" s="1" t="s">
        <v>137</v>
      </c>
      <c r="D498" s="1" t="s">
        <v>282</v>
      </c>
      <c r="E498" s="1" t="s">
        <v>346</v>
      </c>
      <c r="F498" s="83">
        <v>7</v>
      </c>
      <c r="G498" s="92">
        <v>300</v>
      </c>
      <c r="H498" s="3">
        <v>21.9</v>
      </c>
      <c r="I498" s="3">
        <v>1640.1</v>
      </c>
      <c r="J498" s="1" t="s">
        <v>87</v>
      </c>
      <c r="K498" s="1" t="s">
        <v>99</v>
      </c>
      <c r="L498" t="str">
        <f>VLOOKUP(D498, Products!A:C, 3, FALSE)</f>
        <v>Electronics</v>
      </c>
      <c r="M498" t="str">
        <f>VLOOKUP(C498, Customers!A:E, 5, FALSE)</f>
        <v>SMB</v>
      </c>
      <c r="N498">
        <f>VLOOKUP(C498, Customers!A:E, 3, FALSE)</f>
        <v>27</v>
      </c>
      <c r="O498" s="93" t="str">
        <f>VLOOKUP(E498, Sales_Reps!A:C, 3, FALSE)</f>
        <v>South</v>
      </c>
      <c r="P498">
        <f>VLOOKUP(D498, Products!A:E, 4, FALSE)</f>
        <v>128</v>
      </c>
      <c r="Q498">
        <f>IF(COUNTIF($A$2:A498, A498)=2, 1, 0)</f>
        <v>0</v>
      </c>
      <c r="R498">
        <f>IF(ISNA(MATCH(C498, Customers!$A:$A, 0)), 1, 0)</f>
        <v>0</v>
      </c>
      <c r="S498" s="94" t="b">
        <f>VLOOKUP(D498, Products!A:F, 6, FALSE)</f>
        <v>1</v>
      </c>
    </row>
    <row r="499" spans="1:19">
      <c r="A499" s="102" t="s">
        <v>930</v>
      </c>
      <c r="B499" s="2">
        <v>45389</v>
      </c>
      <c r="C499" s="1" t="s">
        <v>539</v>
      </c>
      <c r="D499" s="1" t="s">
        <v>367</v>
      </c>
      <c r="E499" s="1" t="s">
        <v>121</v>
      </c>
      <c r="F499" s="83">
        <v>2</v>
      </c>
      <c r="G499" s="92">
        <v>2380</v>
      </c>
      <c r="H499" s="3">
        <v>6.8</v>
      </c>
      <c r="I499" s="3">
        <v>4436.32</v>
      </c>
      <c r="J499" s="1" t="s">
        <v>87</v>
      </c>
      <c r="K499" s="1" t="s">
        <v>133</v>
      </c>
      <c r="L499" t="str">
        <f>VLOOKUP(D499, Products!A:C, 3, FALSE)</f>
        <v>Grocery</v>
      </c>
      <c r="M499" t="str">
        <f>VLOOKUP(C499, Customers!A:E, 5, FALSE)</f>
        <v>Retail</v>
      </c>
      <c r="N499">
        <f>VLOOKUP(C499, Customers!A:E, 3, FALSE)</f>
        <v>38</v>
      </c>
      <c r="O499" s="93" t="str">
        <f>VLOOKUP(E499, Sales_Reps!A:C, 3, FALSE)</f>
        <v>East</v>
      </c>
      <c r="P499">
        <f>VLOOKUP(D499, Products!A:E, 4, FALSE)</f>
        <v>1182</v>
      </c>
      <c r="Q499">
        <f>IF(COUNTIF($A$2:A499, A499)=2, 1, 0)</f>
        <v>0</v>
      </c>
      <c r="R499">
        <f>IF(ISNA(MATCH(C499, Customers!$A:$A, 0)), 1, 0)</f>
        <v>0</v>
      </c>
      <c r="S499" s="94" t="b">
        <f>VLOOKUP(D499, Products!A:F, 6, FALSE)</f>
        <v>1</v>
      </c>
    </row>
    <row r="500" spans="1:19">
      <c r="A500" s="102" t="s">
        <v>931</v>
      </c>
      <c r="B500" s="2">
        <v>45298</v>
      </c>
      <c r="C500" s="1" t="s">
        <v>759</v>
      </c>
      <c r="D500" s="1" t="s">
        <v>115</v>
      </c>
      <c r="E500" s="1" t="s">
        <v>116</v>
      </c>
      <c r="F500" s="83">
        <v>5</v>
      </c>
      <c r="G500" s="92">
        <v>960</v>
      </c>
      <c r="H500" s="3">
        <v>15</v>
      </c>
      <c r="I500" s="3">
        <v>4080</v>
      </c>
      <c r="J500" s="1" t="s">
        <v>140</v>
      </c>
      <c r="K500" s="1" t="s">
        <v>117</v>
      </c>
      <c r="L500" t="str">
        <f>VLOOKUP(D500, Products!A:C, 3, FALSE)</f>
        <v>Sports</v>
      </c>
      <c r="M500" t="str">
        <f>VLOOKUP(C500, Customers!A:E, 5, FALSE)</f>
        <v>Retail</v>
      </c>
      <c r="N500">
        <f>VLOOKUP(C500, Customers!A:E, 3, FALSE)</f>
        <v>29</v>
      </c>
      <c r="O500" s="93" t="str">
        <f>VLOOKUP(E500, Sales_Reps!A:C, 3, FALSE)</f>
        <v>West</v>
      </c>
      <c r="P500">
        <f>VLOOKUP(D500, Products!A:E, 4, FALSE)</f>
        <v>705</v>
      </c>
      <c r="Q500">
        <f>IF(COUNTIF($A$2:A500, A500)=2, 1, 0)</f>
        <v>0</v>
      </c>
      <c r="R500">
        <f>IF(ISNA(MATCH(C500, Customers!$A:$A, 0)), 1, 0)</f>
        <v>0</v>
      </c>
      <c r="S500" s="94" t="b">
        <f>VLOOKUP(D500, Products!A:F, 6, FALSE)</f>
        <v>1</v>
      </c>
    </row>
    <row r="501" spans="1:19">
      <c r="A501" s="102" t="s">
        <v>932</v>
      </c>
      <c r="B501" s="2">
        <v>45577</v>
      </c>
      <c r="C501" s="1" t="s">
        <v>272</v>
      </c>
      <c r="D501" s="1" t="s">
        <v>461</v>
      </c>
      <c r="E501" s="1" t="s">
        <v>325</v>
      </c>
      <c r="F501" s="83">
        <v>10</v>
      </c>
      <c r="G501" s="92">
        <v>3780</v>
      </c>
      <c r="H501" s="3">
        <v>24.1</v>
      </c>
      <c r="I501" s="3">
        <v>28690.2</v>
      </c>
      <c r="J501" s="1" t="s">
        <v>144</v>
      </c>
      <c r="K501" s="1" t="s">
        <v>94</v>
      </c>
      <c r="L501" t="str">
        <f>VLOOKUP(D501, Products!A:C, 3, FALSE)</f>
        <v>Sports</v>
      </c>
      <c r="M501" t="str">
        <f>VLOOKUP(C501, Customers!A:E, 5, FALSE)</f>
        <v>SMB</v>
      </c>
      <c r="N501">
        <f>VLOOKUP(C501, Customers!A:E, 3, FALSE)</f>
        <v>55</v>
      </c>
      <c r="O501" s="93" t="str">
        <f>VLOOKUP(E501, Sales_Reps!A:C, 3, FALSE)</f>
        <v>South</v>
      </c>
      <c r="P501">
        <f>VLOOKUP(D501, Products!A:E, 4, FALSE)</f>
        <v>1860</v>
      </c>
      <c r="Q501">
        <f>IF(COUNTIF($A$2:A501, A501)=2, 1, 0)</f>
        <v>0</v>
      </c>
      <c r="R501">
        <f>IF(ISNA(MATCH(C501, Customers!$A:$A, 0)), 1, 0)</f>
        <v>0</v>
      </c>
      <c r="S501" s="94" t="b">
        <f>VLOOKUP(D501, Products!A:F, 6, FALSE)</f>
        <v>1</v>
      </c>
    </row>
    <row r="502" spans="1:19">
      <c r="A502" s="102" t="s">
        <v>933</v>
      </c>
      <c r="B502" s="2">
        <v>45355</v>
      </c>
      <c r="C502" s="1" t="s">
        <v>217</v>
      </c>
      <c r="D502" s="1" t="s">
        <v>259</v>
      </c>
      <c r="E502" s="1" t="s">
        <v>192</v>
      </c>
      <c r="F502" s="83">
        <v>4</v>
      </c>
      <c r="G502" s="92">
        <v>1540</v>
      </c>
      <c r="H502" s="3">
        <v>14.2</v>
      </c>
      <c r="I502" s="3">
        <v>5285.28</v>
      </c>
      <c r="J502" s="1" t="s">
        <v>140</v>
      </c>
      <c r="K502" s="1" t="s">
        <v>94</v>
      </c>
      <c r="L502" t="str">
        <f>VLOOKUP(D502, Products!A:C, 3, FALSE)</f>
        <v>Beauty</v>
      </c>
      <c r="M502" t="str">
        <f>VLOOKUP(C502, Customers!A:E, 5, FALSE)</f>
        <v>Retail</v>
      </c>
      <c r="N502">
        <f>VLOOKUP(C502, Customers!A:E, 3, FALSE)</f>
        <v>51</v>
      </c>
      <c r="O502" s="93" t="str">
        <f>VLOOKUP(E502, Sales_Reps!A:C, 3, FALSE)</f>
        <v>East</v>
      </c>
      <c r="P502">
        <f>VLOOKUP(D502, Products!A:E, 4, FALSE)</f>
        <v>647</v>
      </c>
      <c r="Q502">
        <f>IF(COUNTIF($A$2:A502, A502)=2, 1, 0)</f>
        <v>0</v>
      </c>
      <c r="R502">
        <f>IF(ISNA(MATCH(C502, Customers!$A:$A, 0)), 1, 0)</f>
        <v>0</v>
      </c>
      <c r="S502" s="94" t="b">
        <f>VLOOKUP(D502, Products!A:F, 6, FALSE)</f>
        <v>0</v>
      </c>
    </row>
    <row r="503" spans="1:19">
      <c r="A503" s="102" t="s">
        <v>934</v>
      </c>
      <c r="B503" s="2">
        <v>45463</v>
      </c>
      <c r="C503" s="1" t="s">
        <v>835</v>
      </c>
      <c r="D503" s="1" t="s">
        <v>355</v>
      </c>
      <c r="E503" s="1" t="s">
        <v>92</v>
      </c>
      <c r="F503" s="83">
        <v>10</v>
      </c>
      <c r="G503" s="92">
        <v>2510</v>
      </c>
      <c r="H503" s="3">
        <v>20.8</v>
      </c>
      <c r="I503" s="3">
        <v>19879.2</v>
      </c>
      <c r="J503" s="1" t="s">
        <v>87</v>
      </c>
      <c r="K503" s="1" t="s">
        <v>117</v>
      </c>
      <c r="L503" t="str">
        <f>VLOOKUP(D503, Products!A:C, 3, FALSE)</f>
        <v>Apparel</v>
      </c>
      <c r="M503" t="str">
        <f>VLOOKUP(C503, Customers!A:E, 5, FALSE)</f>
        <v>Retail</v>
      </c>
      <c r="N503">
        <f>VLOOKUP(C503, Customers!A:E, 3, FALSE)</f>
        <v>52</v>
      </c>
      <c r="O503" s="93" t="str">
        <f>VLOOKUP(E503, Sales_Reps!A:C, 3, FALSE)</f>
        <v>North</v>
      </c>
      <c r="P503">
        <f>VLOOKUP(D503, Products!A:E, 4, FALSE)</f>
        <v>1075</v>
      </c>
      <c r="Q503">
        <f>IF(COUNTIF($A$2:A503, A503)=2, 1, 0)</f>
        <v>0</v>
      </c>
      <c r="R503">
        <f>IF(ISNA(MATCH(C503, Customers!$A:$A, 0)), 1, 0)</f>
        <v>0</v>
      </c>
      <c r="S503" s="94" t="b">
        <f>VLOOKUP(D503, Products!A:F, 6, FALSE)</f>
        <v>0</v>
      </c>
    </row>
    <row r="504" spans="1:19">
      <c r="A504" s="102" t="s">
        <v>935</v>
      </c>
      <c r="B504" s="2">
        <v>45374</v>
      </c>
      <c r="C504" s="1" t="s">
        <v>388</v>
      </c>
      <c r="D504" s="1" t="s">
        <v>351</v>
      </c>
      <c r="E504" s="1" t="s">
        <v>98</v>
      </c>
      <c r="F504" s="83">
        <v>9</v>
      </c>
      <c r="G504" s="92">
        <v>4060</v>
      </c>
      <c r="H504" s="3">
        <v>27.1</v>
      </c>
      <c r="I504" s="3">
        <v>26637.66</v>
      </c>
      <c r="J504" s="1" t="s">
        <v>87</v>
      </c>
      <c r="K504" s="1" t="s">
        <v>133</v>
      </c>
      <c r="L504" t="str">
        <f>VLOOKUP(D504, Products!A:C, 3, FALSE)</f>
        <v>Grocery</v>
      </c>
      <c r="M504" t="str">
        <f>VLOOKUP(C504, Customers!A:E, 5, FALSE)</f>
        <v>Retail</v>
      </c>
      <c r="N504">
        <f>VLOOKUP(C504, Customers!A:E, 3, FALSE)</f>
        <v>44</v>
      </c>
      <c r="O504" s="93" t="str">
        <f>VLOOKUP(E504, Sales_Reps!A:C, 3, FALSE)</f>
        <v>South</v>
      </c>
      <c r="P504">
        <f>VLOOKUP(D504, Products!A:E, 4, FALSE)</f>
        <v>2911</v>
      </c>
      <c r="Q504">
        <f>IF(COUNTIF($A$2:A504, A504)=2, 1, 0)</f>
        <v>0</v>
      </c>
      <c r="R504">
        <f>IF(ISNA(MATCH(C504, Customers!$A:$A, 0)), 1, 0)</f>
        <v>0</v>
      </c>
      <c r="S504" s="94" t="b">
        <f>VLOOKUP(D504, Products!A:F, 6, FALSE)</f>
        <v>1</v>
      </c>
    </row>
    <row r="505" spans="1:19">
      <c r="A505" s="102" t="s">
        <v>936</v>
      </c>
      <c r="B505" s="2">
        <v>45638</v>
      </c>
      <c r="C505" s="1" t="s">
        <v>359</v>
      </c>
      <c r="D505" s="1" t="s">
        <v>151</v>
      </c>
      <c r="E505" s="1" t="s">
        <v>111</v>
      </c>
      <c r="F505" s="83">
        <v>4</v>
      </c>
      <c r="G505" s="92">
        <v>2400</v>
      </c>
      <c r="H505" s="3">
        <v>19.100000000000001</v>
      </c>
      <c r="I505" s="3">
        <v>7766.4</v>
      </c>
      <c r="J505" s="1" t="s">
        <v>87</v>
      </c>
      <c r="K505" s="1" t="s">
        <v>99</v>
      </c>
      <c r="L505" t="str">
        <f>VLOOKUP(D505, Products!A:C, 3, FALSE)</f>
        <v>Sports</v>
      </c>
      <c r="M505" t="str">
        <f>VLOOKUP(C505, Customers!A:E, 5, FALSE)</f>
        <v>SMB</v>
      </c>
      <c r="N505">
        <f>VLOOKUP(C505, Customers!A:E, 3, FALSE)</f>
        <v>28</v>
      </c>
      <c r="O505" s="93" t="str">
        <f>VLOOKUP(E505, Sales_Reps!A:C, 3, FALSE)</f>
        <v>West</v>
      </c>
      <c r="P505">
        <f>VLOOKUP(D505, Products!A:E, 4, FALSE)</f>
        <v>974</v>
      </c>
      <c r="Q505">
        <f>IF(COUNTIF($A$2:A505, A505)=2, 1, 0)</f>
        <v>0</v>
      </c>
      <c r="R505">
        <f>IF(ISNA(MATCH(C505, Customers!$A:$A, 0)), 1, 0)</f>
        <v>0</v>
      </c>
      <c r="S505" s="94" t="b">
        <f>VLOOKUP(D505, Products!A:F, 6, FALSE)</f>
        <v>1</v>
      </c>
    </row>
    <row r="506" spans="1:19">
      <c r="A506" s="102" t="s">
        <v>937</v>
      </c>
      <c r="B506" s="2">
        <v>45525</v>
      </c>
      <c r="C506" s="1" t="s">
        <v>101</v>
      </c>
      <c r="D506" s="1" t="s">
        <v>184</v>
      </c>
      <c r="E506" s="1" t="s">
        <v>285</v>
      </c>
      <c r="F506" s="83">
        <v>8</v>
      </c>
      <c r="G506" s="92">
        <v>4880</v>
      </c>
      <c r="H506" s="3">
        <v>9.1999999999999993</v>
      </c>
      <c r="I506" s="3">
        <v>35448.32</v>
      </c>
      <c r="J506" s="1" t="s">
        <v>140</v>
      </c>
      <c r="K506" s="1" t="s">
        <v>99</v>
      </c>
      <c r="L506" t="str">
        <f>VLOOKUP(D506, Products!A:C, 3, FALSE)</f>
        <v>Beauty</v>
      </c>
      <c r="M506" t="str">
        <f>VLOOKUP(C506, Customers!A:E, 5, FALSE)</f>
        <v>Corporate</v>
      </c>
      <c r="N506">
        <f>VLOOKUP(C506, Customers!A:E, 3, FALSE)</f>
        <v>46</v>
      </c>
      <c r="O506" s="93" t="str">
        <f>VLOOKUP(E506, Sales_Reps!A:C, 3, FALSE)</f>
        <v>East</v>
      </c>
      <c r="P506">
        <f>VLOOKUP(D506, Products!A:E, 4, FALSE)</f>
        <v>2768</v>
      </c>
      <c r="Q506">
        <f>IF(COUNTIF($A$2:A506, A506)=2, 1, 0)</f>
        <v>0</v>
      </c>
      <c r="R506">
        <f>IF(ISNA(MATCH(C506, Customers!$A:$A, 0)), 1, 0)</f>
        <v>0</v>
      </c>
      <c r="S506" s="94" t="b">
        <f>VLOOKUP(D506, Products!A:F, 6, FALSE)</f>
        <v>1</v>
      </c>
    </row>
    <row r="507" spans="1:19">
      <c r="A507" s="102" t="s">
        <v>938</v>
      </c>
      <c r="B507" s="2">
        <v>45586</v>
      </c>
      <c r="C507" s="1" t="s">
        <v>613</v>
      </c>
      <c r="D507" s="1" t="s">
        <v>191</v>
      </c>
      <c r="E507" s="1" t="s">
        <v>121</v>
      </c>
      <c r="F507" s="83">
        <v>9</v>
      </c>
      <c r="G507" s="92">
        <v>5100</v>
      </c>
      <c r="H507" s="3">
        <v>11.1</v>
      </c>
      <c r="I507" s="3">
        <v>40805.1</v>
      </c>
      <c r="J507" s="1" t="s">
        <v>140</v>
      </c>
      <c r="K507" s="1" t="s">
        <v>112</v>
      </c>
      <c r="L507" t="str">
        <f>VLOOKUP(D507, Products!A:C, 3, FALSE)</f>
        <v>Beauty</v>
      </c>
      <c r="M507" t="str">
        <f>VLOOKUP(C507, Customers!A:E, 5, FALSE)</f>
        <v>Retail</v>
      </c>
      <c r="N507">
        <f>VLOOKUP(C507, Customers!A:E, 3, FALSE)</f>
        <v>44</v>
      </c>
      <c r="O507" s="93" t="str">
        <f>VLOOKUP(E507, Sales_Reps!A:C, 3, FALSE)</f>
        <v>East</v>
      </c>
      <c r="P507">
        <f>VLOOKUP(D507, Products!A:E, 4, FALSE)</f>
        <v>2237</v>
      </c>
      <c r="Q507">
        <f>IF(COUNTIF($A$2:A507, A507)=2, 1, 0)</f>
        <v>0</v>
      </c>
      <c r="R507">
        <f>IF(ISNA(MATCH(C507, Customers!$A:$A, 0)), 1, 0)</f>
        <v>0</v>
      </c>
      <c r="S507" s="94" t="b">
        <f>VLOOKUP(D507, Products!A:F, 6, FALSE)</f>
        <v>1</v>
      </c>
    </row>
    <row r="508" spans="1:19">
      <c r="A508" s="102" t="s">
        <v>939</v>
      </c>
      <c r="B508" s="2">
        <v>45637</v>
      </c>
      <c r="C508" s="1" t="s">
        <v>357</v>
      </c>
      <c r="D508" s="1" t="s">
        <v>282</v>
      </c>
      <c r="E508" s="1" t="s">
        <v>128</v>
      </c>
      <c r="F508" s="83">
        <v>4</v>
      </c>
      <c r="G508" s="92">
        <v>300</v>
      </c>
      <c r="H508" s="3">
        <v>16.7</v>
      </c>
      <c r="I508" s="3">
        <v>999.6</v>
      </c>
      <c r="J508" s="1" t="s">
        <v>87</v>
      </c>
      <c r="K508" s="1" t="s">
        <v>99</v>
      </c>
      <c r="L508" t="str">
        <f>VLOOKUP(D508, Products!A:C, 3, FALSE)</f>
        <v>Electronics</v>
      </c>
      <c r="M508" t="str">
        <f>VLOOKUP(C508, Customers!A:E, 5, FALSE)</f>
        <v>SMB</v>
      </c>
      <c r="N508">
        <f>VLOOKUP(C508, Customers!A:E, 3, FALSE)</f>
        <v>38</v>
      </c>
      <c r="O508" s="93" t="str">
        <f>VLOOKUP(E508, Sales_Reps!A:C, 3, FALSE)</f>
        <v>West</v>
      </c>
      <c r="P508">
        <f>VLOOKUP(D508, Products!A:E, 4, FALSE)</f>
        <v>128</v>
      </c>
      <c r="Q508">
        <f>IF(COUNTIF($A$2:A508, A508)=2, 1, 0)</f>
        <v>0</v>
      </c>
      <c r="R508">
        <f>IF(ISNA(MATCH(C508, Customers!$A:$A, 0)), 1, 0)</f>
        <v>0</v>
      </c>
      <c r="S508" s="94" t="b">
        <f>VLOOKUP(D508, Products!A:F, 6, FALSE)</f>
        <v>1</v>
      </c>
    </row>
    <row r="509" spans="1:19">
      <c r="A509" s="102" t="s">
        <v>940</v>
      </c>
      <c r="B509" s="2">
        <v>45443</v>
      </c>
      <c r="C509" s="1" t="s">
        <v>585</v>
      </c>
      <c r="D509" s="1" t="s">
        <v>167</v>
      </c>
      <c r="E509" s="1" t="s">
        <v>98</v>
      </c>
      <c r="F509" s="83">
        <v>6</v>
      </c>
      <c r="G509" s="92">
        <v>2480</v>
      </c>
      <c r="H509" s="3">
        <v>3.3</v>
      </c>
      <c r="I509" s="3">
        <v>14388.96</v>
      </c>
      <c r="J509" s="1" t="s">
        <v>87</v>
      </c>
      <c r="K509" s="1" t="s">
        <v>94</v>
      </c>
      <c r="L509" t="str">
        <f>VLOOKUP(D509, Products!A:C, 3, FALSE)</f>
        <v>Apparel</v>
      </c>
      <c r="M509" t="str">
        <f>VLOOKUP(C509, Customers!A:E, 5, FALSE)</f>
        <v>Retail</v>
      </c>
      <c r="N509">
        <f>VLOOKUP(C509, Customers!A:E, 3, FALSE)</f>
        <v>26</v>
      </c>
      <c r="O509" s="93" t="str">
        <f>VLOOKUP(E509, Sales_Reps!A:C, 3, FALSE)</f>
        <v>South</v>
      </c>
      <c r="P509">
        <f>VLOOKUP(D509, Products!A:E, 4, FALSE)</f>
        <v>1173</v>
      </c>
      <c r="Q509">
        <f>IF(COUNTIF($A$2:A509, A509)=2, 1, 0)</f>
        <v>0</v>
      </c>
      <c r="R509">
        <f>IF(ISNA(MATCH(C509, Customers!$A:$A, 0)), 1, 0)</f>
        <v>0</v>
      </c>
      <c r="S509" s="94" t="b">
        <f>VLOOKUP(D509, Products!A:F, 6, FALSE)</f>
        <v>1</v>
      </c>
    </row>
    <row r="510" spans="1:19">
      <c r="A510" s="102" t="s">
        <v>941</v>
      </c>
      <c r="B510" s="2">
        <v>45569</v>
      </c>
      <c r="C510" s="1" t="s">
        <v>105</v>
      </c>
      <c r="D510" s="1" t="s">
        <v>176</v>
      </c>
      <c r="E510" s="1" t="s">
        <v>154</v>
      </c>
      <c r="F510" s="83">
        <v>10</v>
      </c>
      <c r="G510" s="92">
        <v>1650</v>
      </c>
      <c r="H510" s="3">
        <v>22.9</v>
      </c>
      <c r="I510" s="3">
        <v>12721.5</v>
      </c>
      <c r="J510" s="1" t="s">
        <v>144</v>
      </c>
      <c r="K510" s="1" t="s">
        <v>94</v>
      </c>
      <c r="L510" t="str">
        <f>VLOOKUP(D510, Products!A:C, 3, FALSE)</f>
        <v>Beauty</v>
      </c>
      <c r="M510" t="str">
        <f>VLOOKUP(C510, Customers!A:E, 5, FALSE)</f>
        <v>Retail</v>
      </c>
      <c r="N510">
        <f>VLOOKUP(C510, Customers!A:E, 3, FALSE)</f>
        <v>36</v>
      </c>
      <c r="O510" s="93" t="str">
        <f>VLOOKUP(E510, Sales_Reps!A:C, 3, FALSE)</f>
        <v>East</v>
      </c>
      <c r="P510">
        <f>VLOOKUP(D510, Products!A:E, 4, FALSE)</f>
        <v>1222</v>
      </c>
      <c r="Q510">
        <f>IF(COUNTIF($A$2:A510, A510)=2, 1, 0)</f>
        <v>0</v>
      </c>
      <c r="R510">
        <f>IF(ISNA(MATCH(C510, Customers!$A:$A, 0)), 1, 0)</f>
        <v>0</v>
      </c>
      <c r="S510" s="94" t="b">
        <f>VLOOKUP(D510, Products!A:F, 6, FALSE)</f>
        <v>1</v>
      </c>
    </row>
    <row r="511" spans="1:19">
      <c r="A511" s="102" t="s">
        <v>942</v>
      </c>
      <c r="B511" s="2">
        <v>45319</v>
      </c>
      <c r="C511" s="1" t="s">
        <v>943</v>
      </c>
      <c r="D511" s="1" t="s">
        <v>338</v>
      </c>
      <c r="E511" s="1" t="s">
        <v>325</v>
      </c>
      <c r="F511" s="83">
        <v>3</v>
      </c>
      <c r="G511" s="92">
        <v>2210</v>
      </c>
      <c r="H511" s="3">
        <v>11.1</v>
      </c>
      <c r="I511" s="3">
        <v>5894.07</v>
      </c>
      <c r="J511" s="1" t="s">
        <v>87</v>
      </c>
      <c r="K511" s="1" t="s">
        <v>133</v>
      </c>
      <c r="L511" t="str">
        <f>VLOOKUP(D511, Products!A:C, 3, FALSE)</f>
        <v>Grocery</v>
      </c>
      <c r="M511" t="str">
        <f>VLOOKUP(C511, Customers!A:E, 5, FALSE)</f>
        <v>Corporate</v>
      </c>
      <c r="N511">
        <f>VLOOKUP(C511, Customers!A:E, 3, FALSE)</f>
        <v>54</v>
      </c>
      <c r="O511" s="93" t="str">
        <f>VLOOKUP(E511, Sales_Reps!A:C, 3, FALSE)</f>
        <v>South</v>
      </c>
      <c r="P511">
        <f>VLOOKUP(D511, Products!A:E, 4, FALSE)</f>
        <v>1010</v>
      </c>
      <c r="Q511">
        <f>IF(COUNTIF($A$2:A511, A511)=2, 1, 0)</f>
        <v>0</v>
      </c>
      <c r="R511">
        <f>IF(ISNA(MATCH(C511, Customers!$A:$A, 0)), 1, 0)</f>
        <v>0</v>
      </c>
      <c r="S511" s="94" t="b">
        <f>VLOOKUP(D511, Products!A:F, 6, FALSE)</f>
        <v>1</v>
      </c>
    </row>
    <row r="512" spans="1:19">
      <c r="A512" s="102" t="s">
        <v>944</v>
      </c>
      <c r="B512" s="2">
        <v>45406</v>
      </c>
      <c r="C512" s="1" t="s">
        <v>945</v>
      </c>
      <c r="D512" s="1" t="s">
        <v>167</v>
      </c>
      <c r="E512" s="1" t="s">
        <v>92</v>
      </c>
      <c r="F512" s="83">
        <v>10</v>
      </c>
      <c r="G512" s="92">
        <v>2480</v>
      </c>
      <c r="H512" s="3">
        <v>13</v>
      </c>
      <c r="I512" s="3">
        <v>21576</v>
      </c>
      <c r="J512" s="1" t="s">
        <v>93</v>
      </c>
      <c r="K512" s="1" t="s">
        <v>88</v>
      </c>
      <c r="L512" t="str">
        <f>VLOOKUP(D512, Products!A:C, 3, FALSE)</f>
        <v>Apparel</v>
      </c>
      <c r="M512" t="str">
        <f>VLOOKUP(C512, Customers!A:E, 5, FALSE)</f>
        <v>Retail</v>
      </c>
      <c r="N512">
        <f>VLOOKUP(C512, Customers!A:E, 3, FALSE)</f>
        <v>54</v>
      </c>
      <c r="O512" s="93" t="str">
        <f>VLOOKUP(E512, Sales_Reps!A:C, 3, FALSE)</f>
        <v>North</v>
      </c>
      <c r="P512">
        <f>VLOOKUP(D512, Products!A:E, 4, FALSE)</f>
        <v>1173</v>
      </c>
      <c r="Q512">
        <f>IF(COUNTIF($A$2:A512, A512)=2, 1, 0)</f>
        <v>0</v>
      </c>
      <c r="R512">
        <f>IF(ISNA(MATCH(C512, Customers!$A:$A, 0)), 1, 0)</f>
        <v>0</v>
      </c>
      <c r="S512" s="94" t="b">
        <f>VLOOKUP(D512, Products!A:F, 6, FALSE)</f>
        <v>1</v>
      </c>
    </row>
    <row r="513" spans="1:19">
      <c r="A513" s="102" t="s">
        <v>946</v>
      </c>
      <c r="B513" s="2">
        <v>45629</v>
      </c>
      <c r="C513" s="1" t="s">
        <v>101</v>
      </c>
      <c r="D513" s="1" t="s">
        <v>364</v>
      </c>
      <c r="E513" s="1" t="s">
        <v>154</v>
      </c>
      <c r="F513" s="83">
        <v>10</v>
      </c>
      <c r="G513" s="92">
        <v>5330</v>
      </c>
      <c r="H513" s="3">
        <v>0.7</v>
      </c>
      <c r="I513" s="3">
        <v>52926.9</v>
      </c>
      <c r="J513" s="1" t="s">
        <v>87</v>
      </c>
      <c r="K513" s="1" t="s">
        <v>99</v>
      </c>
      <c r="L513" t="str">
        <f>VLOOKUP(D513, Products!A:C, 3, FALSE)</f>
        <v>Electronics</v>
      </c>
      <c r="M513" t="str">
        <f>VLOOKUP(C513, Customers!A:E, 5, FALSE)</f>
        <v>Corporate</v>
      </c>
      <c r="N513">
        <f>VLOOKUP(C513, Customers!A:E, 3, FALSE)</f>
        <v>46</v>
      </c>
      <c r="O513" s="93" t="str">
        <f>VLOOKUP(E513, Sales_Reps!A:C, 3, FALSE)</f>
        <v>East</v>
      </c>
      <c r="P513">
        <f>VLOOKUP(D513, Products!A:E, 4, FALSE)</f>
        <v>2405</v>
      </c>
      <c r="Q513">
        <f>IF(COUNTIF($A$2:A513, A513)=2, 1, 0)</f>
        <v>0</v>
      </c>
      <c r="R513">
        <f>IF(ISNA(MATCH(C513, Customers!$A:$A, 0)), 1, 0)</f>
        <v>0</v>
      </c>
      <c r="S513" s="94" t="b">
        <f>VLOOKUP(D513, Products!A:F, 6, FALSE)</f>
        <v>1</v>
      </c>
    </row>
    <row r="514" spans="1:19">
      <c r="A514" s="102" t="s">
        <v>947</v>
      </c>
      <c r="B514" s="2">
        <v>45612</v>
      </c>
      <c r="C514" s="1" t="s">
        <v>948</v>
      </c>
      <c r="D514" s="1" t="s">
        <v>264</v>
      </c>
      <c r="E514" s="1" t="s">
        <v>325</v>
      </c>
      <c r="F514" s="83">
        <v>9</v>
      </c>
      <c r="G514" s="92">
        <v>4070</v>
      </c>
      <c r="H514" s="3">
        <v>15.6</v>
      </c>
      <c r="I514" s="3">
        <v>30915.72</v>
      </c>
      <c r="J514" s="1" t="s">
        <v>87</v>
      </c>
      <c r="K514" s="1" t="s">
        <v>88</v>
      </c>
      <c r="L514" t="str">
        <f>VLOOKUP(D514, Products!A:C, 3, FALSE)</f>
        <v>Grocery</v>
      </c>
      <c r="M514" t="str">
        <f>VLOOKUP(C514, Customers!A:E, 5, FALSE)</f>
        <v>Retail</v>
      </c>
      <c r="N514">
        <f>VLOOKUP(C514, Customers!A:E, 3, FALSE)</f>
        <v>65</v>
      </c>
      <c r="O514" s="93" t="str">
        <f>VLOOKUP(E514, Sales_Reps!A:C, 3, FALSE)</f>
        <v>South</v>
      </c>
      <c r="P514">
        <f>VLOOKUP(D514, Products!A:E, 4, FALSE)</f>
        <v>2027</v>
      </c>
      <c r="Q514">
        <f>IF(COUNTIF($A$2:A514, A514)=2, 1, 0)</f>
        <v>0</v>
      </c>
      <c r="R514">
        <f>IF(ISNA(MATCH(C514, Customers!$A:$A, 0)), 1, 0)</f>
        <v>0</v>
      </c>
      <c r="S514" s="94" t="b">
        <f>VLOOKUP(D514, Products!A:F, 6, FALSE)</f>
        <v>1</v>
      </c>
    </row>
    <row r="515" spans="1:19">
      <c r="A515" s="102" t="s">
        <v>949</v>
      </c>
      <c r="B515" s="2">
        <v>45613</v>
      </c>
      <c r="C515" s="1" t="s">
        <v>823</v>
      </c>
      <c r="D515" s="1" t="s">
        <v>173</v>
      </c>
      <c r="E515" s="1" t="s">
        <v>215</v>
      </c>
      <c r="F515" s="83">
        <v>5</v>
      </c>
      <c r="G515" s="92">
        <v>2720</v>
      </c>
      <c r="H515" s="3">
        <v>10.3</v>
      </c>
      <c r="I515" s="3">
        <v>12199.2</v>
      </c>
      <c r="J515" s="1" t="s">
        <v>140</v>
      </c>
      <c r="K515" s="1" t="s">
        <v>94</v>
      </c>
      <c r="L515" t="str">
        <f>VLOOKUP(D515, Products!A:C, 3, FALSE)</f>
        <v>Apparel</v>
      </c>
      <c r="M515" t="str">
        <f>VLOOKUP(C515, Customers!A:E, 5, FALSE)</f>
        <v>Retail</v>
      </c>
      <c r="N515">
        <f>VLOOKUP(C515, Customers!A:E, 3, FALSE)</f>
        <v>32</v>
      </c>
      <c r="O515" s="93" t="str">
        <f>VLOOKUP(E515, Sales_Reps!A:C, 3, FALSE)</f>
        <v>North</v>
      </c>
      <c r="P515">
        <f>VLOOKUP(D515, Products!A:E, 4, FALSE)</f>
        <v>1962</v>
      </c>
      <c r="Q515">
        <f>IF(COUNTIF($A$2:A515, A515)=2, 1, 0)</f>
        <v>0</v>
      </c>
      <c r="R515">
        <f>IF(ISNA(MATCH(C515, Customers!$A:$A, 0)), 1, 0)</f>
        <v>0</v>
      </c>
      <c r="S515" s="94" t="b">
        <f>VLOOKUP(D515, Products!A:F, 6, FALSE)</f>
        <v>1</v>
      </c>
    </row>
    <row r="516" spans="1:19">
      <c r="A516" s="102" t="s">
        <v>950</v>
      </c>
      <c r="B516" s="2">
        <v>45484</v>
      </c>
      <c r="C516" s="1" t="s">
        <v>757</v>
      </c>
      <c r="D516" s="1" t="s">
        <v>195</v>
      </c>
      <c r="E516" s="1" t="s">
        <v>229</v>
      </c>
      <c r="F516" s="83">
        <v>6</v>
      </c>
      <c r="G516" s="92">
        <v>2860</v>
      </c>
      <c r="H516" s="3">
        <v>28.9</v>
      </c>
      <c r="I516" s="3">
        <v>12200.76</v>
      </c>
      <c r="J516" s="1" t="s">
        <v>87</v>
      </c>
      <c r="K516" s="1" t="s">
        <v>117</v>
      </c>
      <c r="L516" t="str">
        <f>VLOOKUP(D516, Products!A:C, 3, FALSE)</f>
        <v>Sports</v>
      </c>
      <c r="M516" t="str">
        <f>VLOOKUP(C516, Customers!A:E, 5, FALSE)</f>
        <v>Corporate</v>
      </c>
      <c r="N516">
        <f>VLOOKUP(C516, Customers!A:E, 3, FALSE)</f>
        <v>43</v>
      </c>
      <c r="O516" s="93" t="str">
        <f>VLOOKUP(E516, Sales_Reps!A:C, 3, FALSE)</f>
        <v>West</v>
      </c>
      <c r="P516">
        <f>VLOOKUP(D516, Products!A:E, 4, FALSE)</f>
        <v>2028</v>
      </c>
      <c r="Q516">
        <f>IF(COUNTIF($A$2:A516, A516)=2, 1, 0)</f>
        <v>0</v>
      </c>
      <c r="R516">
        <f>IF(ISNA(MATCH(C516, Customers!$A:$A, 0)), 1, 0)</f>
        <v>0</v>
      </c>
      <c r="S516" s="94" t="b">
        <f>VLOOKUP(D516, Products!A:F, 6, FALSE)</f>
        <v>1</v>
      </c>
    </row>
    <row r="517" spans="1:19">
      <c r="A517" s="102" t="s">
        <v>951</v>
      </c>
      <c r="B517" s="2">
        <v>45656</v>
      </c>
      <c r="C517" s="1" t="s">
        <v>952</v>
      </c>
      <c r="D517" s="1" t="s">
        <v>85</v>
      </c>
      <c r="E517" s="1" t="s">
        <v>325</v>
      </c>
      <c r="F517" s="83">
        <v>5</v>
      </c>
      <c r="G517" s="92">
        <v>3620</v>
      </c>
      <c r="H517" s="3">
        <v>18.2</v>
      </c>
      <c r="I517" s="3">
        <v>14805.8</v>
      </c>
      <c r="J517" s="1" t="s">
        <v>87</v>
      </c>
      <c r="K517" s="1" t="s">
        <v>133</v>
      </c>
      <c r="L517" t="str">
        <f>VLOOKUP(D517, Products!A:C, 3, FALSE)</f>
        <v>Apparel</v>
      </c>
      <c r="M517" t="str">
        <f>VLOOKUP(C517, Customers!A:E, 5, FALSE)</f>
        <v>Retail</v>
      </c>
      <c r="N517">
        <f>VLOOKUP(C517, Customers!A:E, 3, FALSE)</f>
        <v>35</v>
      </c>
      <c r="O517" s="93" t="str">
        <f>VLOOKUP(E517, Sales_Reps!A:C, 3, FALSE)</f>
        <v>South</v>
      </c>
      <c r="P517">
        <f>VLOOKUP(D517, Products!A:E, 4, FALSE)</f>
        <v>2509</v>
      </c>
      <c r="Q517">
        <f>IF(COUNTIF($A$2:A517, A517)=2, 1, 0)</f>
        <v>0</v>
      </c>
      <c r="R517">
        <f>IF(ISNA(MATCH(C517, Customers!$A:$A, 0)), 1, 0)</f>
        <v>0</v>
      </c>
      <c r="S517" s="94" t="b">
        <f>VLOOKUP(D517, Products!A:F, 6, FALSE)</f>
        <v>1</v>
      </c>
    </row>
    <row r="518" spans="1:19">
      <c r="A518" s="102" t="s">
        <v>953</v>
      </c>
      <c r="B518" s="2">
        <v>45432</v>
      </c>
      <c r="C518" s="1" t="s">
        <v>153</v>
      </c>
      <c r="D518" s="1" t="s">
        <v>176</v>
      </c>
      <c r="E518" s="1" t="s">
        <v>303</v>
      </c>
      <c r="F518" s="83">
        <v>3</v>
      </c>
      <c r="G518" s="92">
        <v>1650</v>
      </c>
      <c r="H518" s="3">
        <v>10.7</v>
      </c>
      <c r="I518" s="3">
        <v>4420.3500000000004</v>
      </c>
      <c r="J518" s="1" t="s">
        <v>87</v>
      </c>
      <c r="K518" s="1" t="s">
        <v>117</v>
      </c>
      <c r="L518" t="str">
        <f>VLOOKUP(D518, Products!A:C, 3, FALSE)</f>
        <v>Beauty</v>
      </c>
      <c r="M518" t="str">
        <f>VLOOKUP(C518, Customers!A:E, 5, FALSE)</f>
        <v>SMB</v>
      </c>
      <c r="N518">
        <f>VLOOKUP(C518, Customers!A:E, 3, FALSE)</f>
        <v>46</v>
      </c>
      <c r="O518" s="93" t="str">
        <f>VLOOKUP(E518, Sales_Reps!A:C, 3, FALSE)</f>
        <v>East</v>
      </c>
      <c r="P518">
        <f>VLOOKUP(D518, Products!A:E, 4, FALSE)</f>
        <v>1222</v>
      </c>
      <c r="Q518">
        <f>IF(COUNTIF($A$2:A518, A518)=2, 1, 0)</f>
        <v>0</v>
      </c>
      <c r="R518">
        <f>IF(ISNA(MATCH(C518, Customers!$A:$A, 0)), 1, 0)</f>
        <v>0</v>
      </c>
      <c r="S518" s="94" t="b">
        <f>VLOOKUP(D518, Products!A:F, 6, FALSE)</f>
        <v>1</v>
      </c>
    </row>
    <row r="519" spans="1:19">
      <c r="A519" s="102" t="s">
        <v>954</v>
      </c>
      <c r="B519" s="2">
        <v>45495</v>
      </c>
      <c r="C519" s="1" t="s">
        <v>544</v>
      </c>
      <c r="D519" s="1" t="s">
        <v>147</v>
      </c>
      <c r="E519" s="1" t="s">
        <v>229</v>
      </c>
      <c r="F519" s="83">
        <v>8</v>
      </c>
      <c r="G519" s="92">
        <v>190</v>
      </c>
      <c r="H519" s="3">
        <v>18</v>
      </c>
      <c r="I519" s="3">
        <v>1246.4000000000001</v>
      </c>
      <c r="J519" s="1" t="s">
        <v>93</v>
      </c>
      <c r="K519" s="1" t="s">
        <v>133</v>
      </c>
      <c r="L519" t="str">
        <f>VLOOKUP(D519, Products!A:C, 3, FALSE)</f>
        <v>Sports</v>
      </c>
      <c r="M519" t="str">
        <f>VLOOKUP(C519, Customers!A:E, 5, FALSE)</f>
        <v>Retail</v>
      </c>
      <c r="N519">
        <f>VLOOKUP(C519, Customers!A:E, 3, FALSE)</f>
        <v>25</v>
      </c>
      <c r="O519" s="93" t="str">
        <f>VLOOKUP(E519, Sales_Reps!A:C, 3, FALSE)</f>
        <v>West</v>
      </c>
      <c r="P519">
        <f>VLOOKUP(D519, Products!A:E, 4, FALSE)</f>
        <v>147</v>
      </c>
      <c r="Q519">
        <f>IF(COUNTIF($A$2:A519, A519)=2, 1, 0)</f>
        <v>0</v>
      </c>
      <c r="R519">
        <f>IF(ISNA(MATCH(C519, Customers!$A:$A, 0)), 1, 0)</f>
        <v>0</v>
      </c>
      <c r="S519" s="94" t="b">
        <f>VLOOKUP(D519, Products!A:F, 6, FALSE)</f>
        <v>1</v>
      </c>
    </row>
    <row r="520" spans="1:19">
      <c r="A520" s="102" t="s">
        <v>955</v>
      </c>
      <c r="B520" s="2">
        <v>45443</v>
      </c>
      <c r="C520" s="1" t="s">
        <v>956</v>
      </c>
      <c r="D520" s="1" t="s">
        <v>386</v>
      </c>
      <c r="E520" s="1" t="s">
        <v>229</v>
      </c>
      <c r="F520" s="83">
        <v>7</v>
      </c>
      <c r="G520" s="92">
        <v>2290</v>
      </c>
      <c r="H520" s="3">
        <v>12.5</v>
      </c>
      <c r="I520" s="3">
        <v>14026.25</v>
      </c>
      <c r="J520" s="1" t="s">
        <v>87</v>
      </c>
      <c r="K520" s="1" t="s">
        <v>112</v>
      </c>
      <c r="L520" t="str">
        <f>VLOOKUP(D520, Products!A:C, 3, FALSE)</f>
        <v>Beauty</v>
      </c>
      <c r="M520" t="str">
        <f>VLOOKUP(C520, Customers!A:E, 5, FALSE)</f>
        <v>Retail</v>
      </c>
      <c r="N520">
        <f>VLOOKUP(C520, Customers!A:E, 3, FALSE)</f>
        <v>49</v>
      </c>
      <c r="O520" s="93" t="str">
        <f>VLOOKUP(E520, Sales_Reps!A:C, 3, FALSE)</f>
        <v>West</v>
      </c>
      <c r="P520">
        <f>VLOOKUP(D520, Products!A:E, 4, FALSE)</f>
        <v>1219</v>
      </c>
      <c r="Q520">
        <f>IF(COUNTIF($A$2:A520, A520)=2, 1, 0)</f>
        <v>0</v>
      </c>
      <c r="R520">
        <f>IF(ISNA(MATCH(C520, Customers!$A:$A, 0)), 1, 0)</f>
        <v>0</v>
      </c>
      <c r="S520" s="94" t="b">
        <f>VLOOKUP(D520, Products!A:F, 6, FALSE)</f>
        <v>1</v>
      </c>
    </row>
    <row r="521" spans="1:19">
      <c r="A521" s="102" t="s">
        <v>957</v>
      </c>
      <c r="B521" s="2">
        <v>45638</v>
      </c>
      <c r="C521" s="1" t="s">
        <v>186</v>
      </c>
      <c r="D521" s="1" t="s">
        <v>364</v>
      </c>
      <c r="E521" s="1" t="s">
        <v>238</v>
      </c>
      <c r="F521" s="83">
        <v>2</v>
      </c>
      <c r="G521" s="92">
        <v>5330</v>
      </c>
      <c r="H521" s="3">
        <v>26.5</v>
      </c>
      <c r="I521" s="3">
        <v>7835.1</v>
      </c>
      <c r="J521" s="1" t="s">
        <v>87</v>
      </c>
      <c r="K521" s="1" t="s">
        <v>94</v>
      </c>
      <c r="L521" t="str">
        <f>VLOOKUP(D521, Products!A:C, 3, FALSE)</f>
        <v>Electronics</v>
      </c>
      <c r="M521" t="str">
        <f>VLOOKUP(C521, Customers!A:E, 5, FALSE)</f>
        <v>SMB</v>
      </c>
      <c r="N521">
        <f>VLOOKUP(C521, Customers!A:E, 3, FALSE)</f>
        <v>52</v>
      </c>
      <c r="O521" s="93" t="str">
        <f>VLOOKUP(E521, Sales_Reps!A:C, 3, FALSE)</f>
        <v>East</v>
      </c>
      <c r="P521">
        <f>VLOOKUP(D521, Products!A:E, 4, FALSE)</f>
        <v>2405</v>
      </c>
      <c r="Q521">
        <f>IF(COUNTIF($A$2:A521, A521)=2, 1, 0)</f>
        <v>0</v>
      </c>
      <c r="R521">
        <f>IF(ISNA(MATCH(C521, Customers!$A:$A, 0)), 1, 0)</f>
        <v>0</v>
      </c>
      <c r="S521" s="94" t="b">
        <f>VLOOKUP(D521, Products!A:F, 6, FALSE)</f>
        <v>1</v>
      </c>
    </row>
    <row r="522" spans="1:19">
      <c r="A522" s="102" t="s">
        <v>958</v>
      </c>
      <c r="B522" s="2">
        <v>45476</v>
      </c>
      <c r="C522" s="1" t="s">
        <v>959</v>
      </c>
      <c r="D522" s="1" t="s">
        <v>364</v>
      </c>
      <c r="E522" s="1" t="s">
        <v>188</v>
      </c>
      <c r="F522" s="83">
        <v>4</v>
      </c>
      <c r="G522" s="92">
        <v>5330</v>
      </c>
      <c r="H522" s="3">
        <v>25.6</v>
      </c>
      <c r="I522" s="3">
        <v>15862.08</v>
      </c>
      <c r="J522" s="1" t="s">
        <v>87</v>
      </c>
      <c r="K522" s="1" t="s">
        <v>112</v>
      </c>
      <c r="L522" t="str">
        <f>VLOOKUP(D522, Products!A:C, 3, FALSE)</f>
        <v>Electronics</v>
      </c>
      <c r="M522" t="str">
        <f>VLOOKUP(C522, Customers!A:E, 5, FALSE)</f>
        <v>SMB</v>
      </c>
      <c r="N522">
        <f>VLOOKUP(C522, Customers!A:E, 3, FALSE)</f>
        <v>65</v>
      </c>
      <c r="O522" s="93" t="str">
        <f>VLOOKUP(E522, Sales_Reps!A:C, 3, FALSE)</f>
        <v>South</v>
      </c>
      <c r="P522">
        <f>VLOOKUP(D522, Products!A:E, 4, FALSE)</f>
        <v>2405</v>
      </c>
      <c r="Q522">
        <f>IF(COUNTIF($A$2:A522, A522)=2, 1, 0)</f>
        <v>0</v>
      </c>
      <c r="R522">
        <f>IF(ISNA(MATCH(C522, Customers!$A:$A, 0)), 1, 0)</f>
        <v>0</v>
      </c>
      <c r="S522" s="94" t="b">
        <f>VLOOKUP(D522, Products!A:F, 6, FALSE)</f>
        <v>1</v>
      </c>
    </row>
    <row r="523" spans="1:19">
      <c r="A523" s="102" t="s">
        <v>960</v>
      </c>
      <c r="B523" s="2">
        <v>45566</v>
      </c>
      <c r="C523" s="1" t="s">
        <v>289</v>
      </c>
      <c r="D523" s="1" t="s">
        <v>443</v>
      </c>
      <c r="E523" s="1" t="s">
        <v>103</v>
      </c>
      <c r="F523" s="83">
        <v>4</v>
      </c>
      <c r="G523" s="92">
        <v>5080</v>
      </c>
      <c r="H523" s="3">
        <v>28.6</v>
      </c>
      <c r="I523" s="3">
        <v>14508.48</v>
      </c>
      <c r="J523" s="1" t="s">
        <v>87</v>
      </c>
      <c r="K523" s="1" t="s">
        <v>94</v>
      </c>
      <c r="L523" t="str">
        <f>VLOOKUP(D523, Products!A:C, 3, FALSE)</f>
        <v>Home</v>
      </c>
      <c r="M523" t="str">
        <f>VLOOKUP(C523, Customers!A:E, 5, FALSE)</f>
        <v>Retail</v>
      </c>
      <c r="N523">
        <f>VLOOKUP(C523, Customers!A:E, 3, FALSE)</f>
        <v>38</v>
      </c>
      <c r="O523" s="93" t="str">
        <f>VLOOKUP(E523, Sales_Reps!A:C, 3, FALSE)</f>
        <v>North</v>
      </c>
      <c r="P523">
        <f>VLOOKUP(D523, Products!A:E, 4, FALSE)</f>
        <v>2459</v>
      </c>
      <c r="Q523">
        <f>IF(COUNTIF($A$2:A523, A523)=2, 1, 0)</f>
        <v>0</v>
      </c>
      <c r="R523">
        <f>IF(ISNA(MATCH(C523, Customers!$A:$A, 0)), 1, 0)</f>
        <v>0</v>
      </c>
      <c r="S523" s="94" t="b">
        <f>VLOOKUP(D523, Products!A:F, 6, FALSE)</f>
        <v>1</v>
      </c>
    </row>
    <row r="524" spans="1:19">
      <c r="A524" s="102" t="s">
        <v>961</v>
      </c>
      <c r="B524" s="2">
        <v>45392</v>
      </c>
      <c r="C524" s="1" t="s">
        <v>479</v>
      </c>
      <c r="D524" s="1" t="s">
        <v>110</v>
      </c>
      <c r="E524" s="1" t="s">
        <v>297</v>
      </c>
      <c r="F524" s="83">
        <v>4</v>
      </c>
      <c r="G524" s="92">
        <v>370</v>
      </c>
      <c r="H524" s="3">
        <v>12.6</v>
      </c>
      <c r="I524" s="3">
        <v>1293.52</v>
      </c>
      <c r="J524" s="1" t="s">
        <v>93</v>
      </c>
      <c r="K524" s="1" t="s">
        <v>88</v>
      </c>
      <c r="L524" t="str">
        <f>VLOOKUP(D524, Products!A:C, 3, FALSE)</f>
        <v>Home</v>
      </c>
      <c r="M524" t="str">
        <f>VLOOKUP(C524, Customers!A:E, 5, FALSE)</f>
        <v>SMB</v>
      </c>
      <c r="N524">
        <f>VLOOKUP(C524, Customers!A:E, 3, FALSE)</f>
        <v>49</v>
      </c>
      <c r="O524" s="93" t="str">
        <f>VLOOKUP(E524, Sales_Reps!A:C, 3, FALSE)</f>
        <v>North</v>
      </c>
      <c r="P524">
        <f>VLOOKUP(D524, Products!A:E, 4, FALSE)</f>
        <v>288</v>
      </c>
      <c r="Q524">
        <f>IF(COUNTIF($A$2:A524, A524)=2, 1, 0)</f>
        <v>0</v>
      </c>
      <c r="R524">
        <f>IF(ISNA(MATCH(C524, Customers!$A:$A, 0)), 1, 0)</f>
        <v>0</v>
      </c>
      <c r="S524" s="94" t="b">
        <f>VLOOKUP(D524, Products!A:F, 6, FALSE)</f>
        <v>1</v>
      </c>
    </row>
    <row r="525" spans="1:19">
      <c r="A525" s="102" t="s">
        <v>962</v>
      </c>
      <c r="B525" s="2">
        <v>45561</v>
      </c>
      <c r="C525" s="1" t="s">
        <v>963</v>
      </c>
      <c r="D525" s="1" t="s">
        <v>97</v>
      </c>
      <c r="E525" s="1" t="s">
        <v>252</v>
      </c>
      <c r="F525" s="83">
        <v>9</v>
      </c>
      <c r="G525" s="92">
        <v>470</v>
      </c>
      <c r="H525" s="3">
        <v>3.6</v>
      </c>
      <c r="I525" s="3">
        <v>4077.72</v>
      </c>
      <c r="J525" s="1" t="s">
        <v>87</v>
      </c>
      <c r="K525" s="1" t="s">
        <v>94</v>
      </c>
      <c r="L525" t="str">
        <f>VLOOKUP(D525, Products!A:C, 3, FALSE)</f>
        <v>Sports</v>
      </c>
      <c r="M525" t="str">
        <f>VLOOKUP(C525, Customers!A:E, 5, FALSE)</f>
        <v>Retail</v>
      </c>
      <c r="N525">
        <f>VLOOKUP(C525, Customers!A:E, 3, FALSE)</f>
        <v>31</v>
      </c>
      <c r="O525" s="93" t="str">
        <f>VLOOKUP(E525, Sales_Reps!A:C, 3, FALSE)</f>
        <v>South</v>
      </c>
      <c r="P525">
        <f>VLOOKUP(D525, Products!A:E, 4, FALSE)</f>
        <v>302</v>
      </c>
      <c r="Q525">
        <f>IF(COUNTIF($A$2:A525, A525)=2, 1, 0)</f>
        <v>0</v>
      </c>
      <c r="R525">
        <f>IF(ISNA(MATCH(C525, Customers!$A:$A, 0)), 1, 0)</f>
        <v>0</v>
      </c>
      <c r="S525" s="94" t="b">
        <f>VLOOKUP(D525, Products!A:F, 6, FALSE)</f>
        <v>0</v>
      </c>
    </row>
    <row r="526" spans="1:19">
      <c r="A526" s="102" t="s">
        <v>964</v>
      </c>
      <c r="B526" s="2">
        <v>45634</v>
      </c>
      <c r="C526" s="1" t="s">
        <v>643</v>
      </c>
      <c r="D526" s="1" t="s">
        <v>360</v>
      </c>
      <c r="E526" s="1" t="s">
        <v>343</v>
      </c>
      <c r="F526" s="83">
        <v>4</v>
      </c>
      <c r="G526" s="92">
        <v>5410</v>
      </c>
      <c r="H526" s="3">
        <v>11.3</v>
      </c>
      <c r="I526" s="3">
        <v>19194.68</v>
      </c>
      <c r="J526" s="1" t="s">
        <v>144</v>
      </c>
      <c r="K526" s="1" t="s">
        <v>112</v>
      </c>
      <c r="L526" t="str">
        <f>VLOOKUP(D526, Products!A:C, 3, FALSE)</f>
        <v>Sports</v>
      </c>
      <c r="M526" t="str">
        <f>VLOOKUP(C526, Customers!A:E, 5, FALSE)</f>
        <v>SMB</v>
      </c>
      <c r="N526">
        <f>VLOOKUP(C526, Customers!A:E, 3, FALSE)</f>
        <v>27</v>
      </c>
      <c r="O526" s="93" t="str">
        <f>VLOOKUP(E526, Sales_Reps!A:C, 3, FALSE)</f>
        <v>West</v>
      </c>
      <c r="P526">
        <f>VLOOKUP(D526, Products!A:E, 4, FALSE)</f>
        <v>2265</v>
      </c>
      <c r="Q526">
        <f>IF(COUNTIF($A$2:A526, A526)=2, 1, 0)</f>
        <v>0</v>
      </c>
      <c r="R526">
        <f>IF(ISNA(MATCH(C526, Customers!$A:$A, 0)), 1, 0)</f>
        <v>0</v>
      </c>
      <c r="S526" s="94" t="b">
        <f>VLOOKUP(D526, Products!A:F, 6, FALSE)</f>
        <v>1</v>
      </c>
    </row>
    <row r="527" spans="1:19">
      <c r="A527" s="102" t="s">
        <v>965</v>
      </c>
      <c r="B527" s="2">
        <v>45311</v>
      </c>
      <c r="C527" s="1" t="s">
        <v>966</v>
      </c>
      <c r="D527" s="1" t="s">
        <v>85</v>
      </c>
      <c r="E527" s="1" t="s">
        <v>86</v>
      </c>
      <c r="F527" s="83">
        <v>10</v>
      </c>
      <c r="G527" s="92">
        <v>3620</v>
      </c>
      <c r="H527" s="3">
        <v>2.5</v>
      </c>
      <c r="I527" s="3">
        <v>35295</v>
      </c>
      <c r="J527" s="1" t="s">
        <v>87</v>
      </c>
      <c r="K527" s="1" t="s">
        <v>133</v>
      </c>
      <c r="L527" t="str">
        <f>VLOOKUP(D527, Products!A:C, 3, FALSE)</f>
        <v>Apparel</v>
      </c>
      <c r="M527" t="str">
        <f>VLOOKUP(C527, Customers!A:E, 5, FALSE)</f>
        <v>SMB</v>
      </c>
      <c r="N527">
        <f>VLOOKUP(C527, Customers!A:E, 3, FALSE)</f>
        <v>31</v>
      </c>
      <c r="O527" s="93" t="str">
        <f>VLOOKUP(E527, Sales_Reps!A:C, 3, FALSE)</f>
        <v>North</v>
      </c>
      <c r="P527">
        <f>VLOOKUP(D527, Products!A:E, 4, FALSE)</f>
        <v>2509</v>
      </c>
      <c r="Q527">
        <f>IF(COUNTIF($A$2:A527, A527)=2, 1, 0)</f>
        <v>0</v>
      </c>
      <c r="R527">
        <f>IF(ISNA(MATCH(C527, Customers!$A:$A, 0)), 1, 0)</f>
        <v>0</v>
      </c>
      <c r="S527" s="94" t="b">
        <f>VLOOKUP(D527, Products!A:F, 6, FALSE)</f>
        <v>1</v>
      </c>
    </row>
    <row r="528" spans="1:19">
      <c r="A528" s="102" t="s">
        <v>967</v>
      </c>
      <c r="B528" s="2">
        <v>45380</v>
      </c>
      <c r="C528" s="1" t="s">
        <v>968</v>
      </c>
      <c r="D528" s="1" t="s">
        <v>200</v>
      </c>
      <c r="E528" s="1" t="s">
        <v>170</v>
      </c>
      <c r="F528" s="83">
        <v>1</v>
      </c>
      <c r="G528" s="92">
        <v>2760</v>
      </c>
      <c r="H528" s="3">
        <v>22.2</v>
      </c>
      <c r="I528" s="3">
        <v>2147.2800000000002</v>
      </c>
      <c r="J528" s="1" t="s">
        <v>87</v>
      </c>
      <c r="K528" s="1" t="s">
        <v>99</v>
      </c>
      <c r="L528" t="str">
        <f>VLOOKUP(D528, Products!A:C, 3, FALSE)</f>
        <v>Grocery</v>
      </c>
      <c r="M528" t="str">
        <f>VLOOKUP(C528, Customers!A:E, 5, FALSE)</f>
        <v>Retail</v>
      </c>
      <c r="N528">
        <f>VLOOKUP(C528, Customers!A:E, 3, FALSE)</f>
        <v>47</v>
      </c>
      <c r="O528" s="93" t="str">
        <f>VLOOKUP(E528, Sales_Reps!A:C, 3, FALSE)</f>
        <v>West</v>
      </c>
      <c r="P528">
        <f>VLOOKUP(D528, Products!A:E, 4, FALSE)</f>
        <v>1435</v>
      </c>
      <c r="Q528">
        <f>IF(COUNTIF($A$2:A528, A528)=2, 1, 0)</f>
        <v>0</v>
      </c>
      <c r="R528">
        <f>IF(ISNA(MATCH(C528, Customers!$A:$A, 0)), 1, 0)</f>
        <v>0</v>
      </c>
      <c r="S528" s="94" t="b">
        <f>VLOOKUP(D528, Products!A:F, 6, FALSE)</f>
        <v>1</v>
      </c>
    </row>
    <row r="529" spans="1:19">
      <c r="A529" s="102" t="s">
        <v>969</v>
      </c>
      <c r="B529" s="2">
        <v>45549</v>
      </c>
      <c r="C529" s="1" t="s">
        <v>970</v>
      </c>
      <c r="D529" s="1" t="s">
        <v>157</v>
      </c>
      <c r="E529" s="1" t="s">
        <v>215</v>
      </c>
      <c r="F529" s="83">
        <v>7</v>
      </c>
      <c r="G529" s="92">
        <v>3450</v>
      </c>
      <c r="H529" s="3">
        <v>8.6</v>
      </c>
      <c r="I529" s="3">
        <v>22073.1</v>
      </c>
      <c r="J529" s="1" t="s">
        <v>87</v>
      </c>
      <c r="K529" s="1" t="s">
        <v>112</v>
      </c>
      <c r="L529" t="str">
        <f>VLOOKUP(D529, Products!A:C, 3, FALSE)</f>
        <v>Beauty</v>
      </c>
      <c r="M529" t="str">
        <f>VLOOKUP(C529, Customers!A:E, 5, FALSE)</f>
        <v>Retail</v>
      </c>
      <c r="N529">
        <f>VLOOKUP(C529, Customers!A:E, 3, FALSE)</f>
        <v>40</v>
      </c>
      <c r="O529" s="93" t="str">
        <f>VLOOKUP(E529, Sales_Reps!A:C, 3, FALSE)</f>
        <v>North</v>
      </c>
      <c r="P529">
        <f>VLOOKUP(D529, Products!A:E, 4, FALSE)</f>
        <v>2420</v>
      </c>
      <c r="Q529">
        <f>IF(COUNTIF($A$2:A529, A529)=2, 1, 0)</f>
        <v>0</v>
      </c>
      <c r="R529">
        <f>IF(ISNA(MATCH(C529, Customers!$A:$A, 0)), 1, 0)</f>
        <v>0</v>
      </c>
      <c r="S529" s="94" t="b">
        <f>VLOOKUP(D529, Products!A:F, 6, FALSE)</f>
        <v>1</v>
      </c>
    </row>
    <row r="530" spans="1:19">
      <c r="A530" s="102" t="s">
        <v>971</v>
      </c>
      <c r="B530" s="2">
        <v>45418</v>
      </c>
      <c r="C530" s="1" t="s">
        <v>546</v>
      </c>
      <c r="D530" s="1" t="s">
        <v>102</v>
      </c>
      <c r="E530" s="1" t="s">
        <v>128</v>
      </c>
      <c r="F530" s="83">
        <v>6</v>
      </c>
      <c r="G530" s="92">
        <v>3660</v>
      </c>
      <c r="H530" s="3">
        <v>10.6</v>
      </c>
      <c r="I530" s="3">
        <v>19632.240000000002</v>
      </c>
      <c r="J530" s="1" t="s">
        <v>87</v>
      </c>
      <c r="K530" s="1" t="s">
        <v>99</v>
      </c>
      <c r="L530" t="str">
        <f>VLOOKUP(D530, Products!A:C, 3, FALSE)</f>
        <v>Grocery</v>
      </c>
      <c r="M530" t="str">
        <f>VLOOKUP(C530, Customers!A:E, 5, FALSE)</f>
        <v>SMB</v>
      </c>
      <c r="N530">
        <f>VLOOKUP(C530, Customers!A:E, 3, FALSE)</f>
        <v>29</v>
      </c>
      <c r="O530" s="93" t="str">
        <f>VLOOKUP(E530, Sales_Reps!A:C, 3, FALSE)</f>
        <v>West</v>
      </c>
      <c r="P530">
        <f>VLOOKUP(D530, Products!A:E, 4, FALSE)</f>
        <v>2214</v>
      </c>
      <c r="Q530">
        <f>IF(COUNTIF($A$2:A530, A530)=2, 1, 0)</f>
        <v>0</v>
      </c>
      <c r="R530">
        <f>IF(ISNA(MATCH(C530, Customers!$A:$A, 0)), 1, 0)</f>
        <v>0</v>
      </c>
      <c r="S530" s="94" t="b">
        <f>VLOOKUP(D530, Products!A:F, 6, FALSE)</f>
        <v>0</v>
      </c>
    </row>
    <row r="531" spans="1:19">
      <c r="A531" s="102" t="s">
        <v>972</v>
      </c>
      <c r="B531" s="2">
        <v>45532</v>
      </c>
      <c r="C531" s="1" t="s">
        <v>524</v>
      </c>
      <c r="D531" s="1" t="s">
        <v>187</v>
      </c>
      <c r="E531" s="1" t="s">
        <v>128</v>
      </c>
      <c r="F531" s="83">
        <v>10</v>
      </c>
      <c r="G531" s="92">
        <v>3570</v>
      </c>
      <c r="H531" s="3">
        <v>1.2</v>
      </c>
      <c r="I531" s="3">
        <v>35271.599999999999</v>
      </c>
      <c r="J531" s="1" t="s">
        <v>87</v>
      </c>
      <c r="K531" s="1" t="s">
        <v>112</v>
      </c>
      <c r="L531" t="str">
        <f>VLOOKUP(D531, Products!A:C, 3, FALSE)</f>
        <v>Electronics</v>
      </c>
      <c r="M531" t="str">
        <f>VLOOKUP(C531, Customers!A:E, 5, FALSE)</f>
        <v>Corporate</v>
      </c>
      <c r="N531">
        <f>VLOOKUP(C531, Customers!A:E, 3, FALSE)</f>
        <v>55</v>
      </c>
      <c r="O531" s="93" t="str">
        <f>VLOOKUP(E531, Sales_Reps!A:C, 3, FALSE)</f>
        <v>West</v>
      </c>
      <c r="P531">
        <f>VLOOKUP(D531, Products!A:E, 4, FALSE)</f>
        <v>1665</v>
      </c>
      <c r="Q531">
        <f>IF(COUNTIF($A$2:A531, A531)=2, 1, 0)</f>
        <v>0</v>
      </c>
      <c r="R531">
        <f>IF(ISNA(MATCH(C531, Customers!$A:$A, 0)), 1, 0)</f>
        <v>0</v>
      </c>
      <c r="S531" s="94" t="b">
        <f>VLOOKUP(D531, Products!A:F, 6, FALSE)</f>
        <v>1</v>
      </c>
    </row>
    <row r="532" spans="1:19">
      <c r="A532" s="102" t="s">
        <v>973</v>
      </c>
      <c r="B532" s="2">
        <v>45542</v>
      </c>
      <c r="C532" s="1" t="s">
        <v>420</v>
      </c>
      <c r="D532" s="1" t="s">
        <v>502</v>
      </c>
      <c r="E532" s="1" t="s">
        <v>204</v>
      </c>
      <c r="F532" s="83">
        <v>8</v>
      </c>
      <c r="G532" s="92">
        <v>1090</v>
      </c>
      <c r="H532" s="3">
        <v>13.2</v>
      </c>
      <c r="I532" s="3">
        <v>7568.96</v>
      </c>
      <c r="J532" s="1" t="s">
        <v>144</v>
      </c>
      <c r="K532" s="1" t="s">
        <v>99</v>
      </c>
      <c r="L532" t="str">
        <f>VLOOKUP(D532, Products!A:C, 3, FALSE)</f>
        <v>Home</v>
      </c>
      <c r="M532" t="str">
        <f>VLOOKUP(C532, Customers!A:E, 5, FALSE)</f>
        <v>Retail</v>
      </c>
      <c r="N532">
        <f>VLOOKUP(C532, Customers!A:E, 3, FALSE)</f>
        <v>44</v>
      </c>
      <c r="O532" s="93" t="str">
        <f>VLOOKUP(E532, Sales_Reps!A:C, 3, FALSE)</f>
        <v>South</v>
      </c>
      <c r="P532">
        <f>VLOOKUP(D532, Products!A:E, 4, FALSE)</f>
        <v>464</v>
      </c>
      <c r="Q532">
        <f>IF(COUNTIF($A$2:A532, A532)=2, 1, 0)</f>
        <v>0</v>
      </c>
      <c r="R532">
        <f>IF(ISNA(MATCH(C532, Customers!$A:$A, 0)), 1, 0)</f>
        <v>0</v>
      </c>
      <c r="S532" s="94" t="b">
        <f>VLOOKUP(D532, Products!A:F, 6, FALSE)</f>
        <v>1</v>
      </c>
    </row>
    <row r="533" spans="1:19">
      <c r="A533" s="102" t="s">
        <v>974</v>
      </c>
      <c r="B533" s="2">
        <v>45320</v>
      </c>
      <c r="C533" s="1" t="s">
        <v>457</v>
      </c>
      <c r="D533" s="1" t="s">
        <v>85</v>
      </c>
      <c r="E533" s="1" t="s">
        <v>303</v>
      </c>
      <c r="F533" s="83">
        <v>8</v>
      </c>
      <c r="G533" s="92">
        <v>3620</v>
      </c>
      <c r="H533" s="3">
        <v>29</v>
      </c>
      <c r="I533" s="3">
        <v>20561.599999999999</v>
      </c>
      <c r="J533" s="1" t="s">
        <v>87</v>
      </c>
      <c r="K533" s="1" t="s">
        <v>88</v>
      </c>
      <c r="L533" t="str">
        <f>VLOOKUP(D533, Products!A:C, 3, FALSE)</f>
        <v>Apparel</v>
      </c>
      <c r="M533" t="str">
        <f>VLOOKUP(C533, Customers!A:E, 5, FALSE)</f>
        <v>Retail</v>
      </c>
      <c r="N533">
        <f>VLOOKUP(C533, Customers!A:E, 3, FALSE)</f>
        <v>29</v>
      </c>
      <c r="O533" s="93" t="str">
        <f>VLOOKUP(E533, Sales_Reps!A:C, 3, FALSE)</f>
        <v>East</v>
      </c>
      <c r="P533">
        <f>VLOOKUP(D533, Products!A:E, 4, FALSE)</f>
        <v>2509</v>
      </c>
      <c r="Q533">
        <f>IF(COUNTIF($A$2:A533, A533)=2, 1, 0)</f>
        <v>0</v>
      </c>
      <c r="R533">
        <f>IF(ISNA(MATCH(C533, Customers!$A:$A, 0)), 1, 0)</f>
        <v>0</v>
      </c>
      <c r="S533" s="94" t="b">
        <f>VLOOKUP(D533, Products!A:F, 6, FALSE)</f>
        <v>1</v>
      </c>
    </row>
    <row r="534" spans="1:19">
      <c r="A534" s="102" t="s">
        <v>975</v>
      </c>
      <c r="B534" s="2">
        <v>45548</v>
      </c>
      <c r="C534" s="1" t="s">
        <v>291</v>
      </c>
      <c r="D534" s="1" t="s">
        <v>184</v>
      </c>
      <c r="E534" s="1" t="s">
        <v>132</v>
      </c>
      <c r="F534" s="83">
        <v>7</v>
      </c>
      <c r="G534" s="92">
        <v>4880</v>
      </c>
      <c r="H534" s="3">
        <v>25.6</v>
      </c>
      <c r="I534" s="3">
        <v>25415.040000000001</v>
      </c>
      <c r="J534" s="1" t="s">
        <v>144</v>
      </c>
      <c r="K534" s="1" t="s">
        <v>99</v>
      </c>
      <c r="L534" t="str">
        <f>VLOOKUP(D534, Products!A:C, 3, FALSE)</f>
        <v>Beauty</v>
      </c>
      <c r="M534" t="str">
        <f>VLOOKUP(C534, Customers!A:E, 5, FALSE)</f>
        <v>Retail</v>
      </c>
      <c r="N534">
        <f>VLOOKUP(C534, Customers!A:E, 3, FALSE)</f>
        <v>35</v>
      </c>
      <c r="O534" s="93" t="str">
        <f>VLOOKUP(E534, Sales_Reps!A:C, 3, FALSE)</f>
        <v>South</v>
      </c>
      <c r="P534">
        <f>VLOOKUP(D534, Products!A:E, 4, FALSE)</f>
        <v>2768</v>
      </c>
      <c r="Q534">
        <f>IF(COUNTIF($A$2:A534, A534)=2, 1, 0)</f>
        <v>0</v>
      </c>
      <c r="R534">
        <f>IF(ISNA(MATCH(C534, Customers!$A:$A, 0)), 1, 0)</f>
        <v>0</v>
      </c>
      <c r="S534" s="94" t="b">
        <f>VLOOKUP(D534, Products!A:F, 6, FALSE)</f>
        <v>1</v>
      </c>
    </row>
    <row r="535" spans="1:19">
      <c r="A535" s="102" t="s">
        <v>976</v>
      </c>
      <c r="B535" s="2">
        <v>45434</v>
      </c>
      <c r="C535" s="1" t="s">
        <v>977</v>
      </c>
      <c r="D535" s="1" t="s">
        <v>97</v>
      </c>
      <c r="E535" s="1" t="s">
        <v>128</v>
      </c>
      <c r="F535" s="83">
        <v>2</v>
      </c>
      <c r="G535" s="92">
        <v>470</v>
      </c>
      <c r="H535" s="3">
        <v>9.6999999999999993</v>
      </c>
      <c r="I535" s="3">
        <v>848.82</v>
      </c>
      <c r="J535" s="1" t="s">
        <v>87</v>
      </c>
      <c r="K535" s="1" t="s">
        <v>88</v>
      </c>
      <c r="L535" t="str">
        <f>VLOOKUP(D535, Products!A:C, 3, FALSE)</f>
        <v>Sports</v>
      </c>
      <c r="M535" t="str">
        <f>VLOOKUP(C535, Customers!A:E, 5, FALSE)</f>
        <v>Corporate</v>
      </c>
      <c r="N535">
        <f>VLOOKUP(C535, Customers!A:E, 3, FALSE)</f>
        <v>29</v>
      </c>
      <c r="O535" s="93" t="str">
        <f>VLOOKUP(E535, Sales_Reps!A:C, 3, FALSE)</f>
        <v>West</v>
      </c>
      <c r="P535">
        <f>VLOOKUP(D535, Products!A:E, 4, FALSE)</f>
        <v>302</v>
      </c>
      <c r="Q535">
        <f>IF(COUNTIF($A$2:A535, A535)=2, 1, 0)</f>
        <v>0</v>
      </c>
      <c r="R535">
        <f>IF(ISNA(MATCH(C535, Customers!$A:$A, 0)), 1, 0)</f>
        <v>0</v>
      </c>
      <c r="S535" s="94" t="b">
        <f>VLOOKUP(D535, Products!A:F, 6, FALSE)</f>
        <v>0</v>
      </c>
    </row>
    <row r="536" spans="1:19">
      <c r="A536" s="102" t="s">
        <v>978</v>
      </c>
      <c r="B536" s="2">
        <v>45539</v>
      </c>
      <c r="C536" s="1" t="s">
        <v>835</v>
      </c>
      <c r="D536" s="1" t="s">
        <v>386</v>
      </c>
      <c r="E536" s="1" t="s">
        <v>285</v>
      </c>
      <c r="F536" s="83">
        <v>6</v>
      </c>
      <c r="G536" s="92">
        <v>2290</v>
      </c>
      <c r="H536" s="3">
        <v>8.9</v>
      </c>
      <c r="I536" s="3">
        <v>12517.14</v>
      </c>
      <c r="J536" s="1" t="s">
        <v>87</v>
      </c>
      <c r="K536" s="1" t="s">
        <v>117</v>
      </c>
      <c r="L536" t="str">
        <f>VLOOKUP(D536, Products!A:C, 3, FALSE)</f>
        <v>Beauty</v>
      </c>
      <c r="M536" t="str">
        <f>VLOOKUP(C536, Customers!A:E, 5, FALSE)</f>
        <v>Retail</v>
      </c>
      <c r="N536">
        <f>VLOOKUP(C536, Customers!A:E, 3, FALSE)</f>
        <v>52</v>
      </c>
      <c r="O536" s="93" t="str">
        <f>VLOOKUP(E536, Sales_Reps!A:C, 3, FALSE)</f>
        <v>East</v>
      </c>
      <c r="P536">
        <f>VLOOKUP(D536, Products!A:E, 4, FALSE)</f>
        <v>1219</v>
      </c>
      <c r="Q536">
        <f>IF(COUNTIF($A$2:A536, A536)=2, 1, 0)</f>
        <v>0</v>
      </c>
      <c r="R536">
        <f>IF(ISNA(MATCH(C536, Customers!$A:$A, 0)), 1, 0)</f>
        <v>0</v>
      </c>
      <c r="S536" s="94" t="b">
        <f>VLOOKUP(D536, Products!A:F, 6, FALSE)</f>
        <v>1</v>
      </c>
    </row>
    <row r="537" spans="1:19">
      <c r="A537" s="102" t="s">
        <v>979</v>
      </c>
      <c r="B537" s="2">
        <v>45468</v>
      </c>
      <c r="C537" s="1" t="s">
        <v>460</v>
      </c>
      <c r="D537" s="1" t="s">
        <v>367</v>
      </c>
      <c r="E537" s="1" t="s">
        <v>132</v>
      </c>
      <c r="F537" s="83">
        <v>3</v>
      </c>
      <c r="G537" s="92">
        <v>2380</v>
      </c>
      <c r="H537" s="3">
        <v>2.7</v>
      </c>
      <c r="I537" s="3">
        <v>6947.22</v>
      </c>
      <c r="J537" s="1" t="s">
        <v>93</v>
      </c>
      <c r="K537" s="1" t="s">
        <v>88</v>
      </c>
      <c r="L537" t="str">
        <f>VLOOKUP(D537, Products!A:C, 3, FALSE)</f>
        <v>Grocery</v>
      </c>
      <c r="M537" t="str">
        <f>VLOOKUP(C537, Customers!A:E, 5, FALSE)</f>
        <v>Corporate</v>
      </c>
      <c r="N537">
        <f>VLOOKUP(C537, Customers!A:E, 3, FALSE)</f>
        <v>37</v>
      </c>
      <c r="O537" s="93" t="str">
        <f>VLOOKUP(E537, Sales_Reps!A:C, 3, FALSE)</f>
        <v>South</v>
      </c>
      <c r="P537">
        <f>VLOOKUP(D537, Products!A:E, 4, FALSE)</f>
        <v>1182</v>
      </c>
      <c r="Q537">
        <f>IF(COUNTIF($A$2:A537, A537)=2, 1, 0)</f>
        <v>0</v>
      </c>
      <c r="R537">
        <f>IF(ISNA(MATCH(C537, Customers!$A:$A, 0)), 1, 0)</f>
        <v>0</v>
      </c>
      <c r="S537" s="94" t="b">
        <f>VLOOKUP(D537, Products!A:F, 6, FALSE)</f>
        <v>1</v>
      </c>
    </row>
    <row r="538" spans="1:19">
      <c r="A538" s="102" t="s">
        <v>980</v>
      </c>
      <c r="B538" s="2">
        <v>45485</v>
      </c>
      <c r="C538" s="1" t="s">
        <v>729</v>
      </c>
      <c r="D538" s="1" t="s">
        <v>367</v>
      </c>
      <c r="E538" s="1" t="s">
        <v>107</v>
      </c>
      <c r="F538" s="83">
        <v>9</v>
      </c>
      <c r="G538" s="92">
        <v>2380</v>
      </c>
      <c r="H538" s="3">
        <v>20.100000000000001</v>
      </c>
      <c r="I538" s="3">
        <v>17114.580000000002</v>
      </c>
      <c r="J538" s="1" t="s">
        <v>87</v>
      </c>
      <c r="K538" s="1" t="s">
        <v>112</v>
      </c>
      <c r="L538" t="str">
        <f>VLOOKUP(D538, Products!A:C, 3, FALSE)</f>
        <v>Grocery</v>
      </c>
      <c r="M538" t="str">
        <f>VLOOKUP(C538, Customers!A:E, 5, FALSE)</f>
        <v>Retail</v>
      </c>
      <c r="N538">
        <f>VLOOKUP(C538, Customers!A:E, 3, FALSE)</f>
        <v>56</v>
      </c>
      <c r="O538" s="93" t="str">
        <f>VLOOKUP(E538, Sales_Reps!A:C, 3, FALSE)</f>
        <v>North</v>
      </c>
      <c r="P538">
        <f>VLOOKUP(D538, Products!A:E, 4, FALSE)</f>
        <v>1182</v>
      </c>
      <c r="Q538">
        <f>IF(COUNTIF($A$2:A538, A538)=2, 1, 0)</f>
        <v>0</v>
      </c>
      <c r="R538">
        <f>IF(ISNA(MATCH(C538, Customers!$A:$A, 0)), 1, 0)</f>
        <v>0</v>
      </c>
      <c r="S538" s="94" t="b">
        <f>VLOOKUP(D538, Products!A:F, 6, FALSE)</f>
        <v>1</v>
      </c>
    </row>
    <row r="539" spans="1:19">
      <c r="A539" s="102" t="s">
        <v>981</v>
      </c>
      <c r="B539" s="2">
        <v>45303</v>
      </c>
      <c r="C539" s="1" t="s">
        <v>567</v>
      </c>
      <c r="D539" s="1" t="s">
        <v>360</v>
      </c>
      <c r="E539" s="1" t="s">
        <v>98</v>
      </c>
      <c r="F539" s="83">
        <v>8</v>
      </c>
      <c r="G539" s="92">
        <v>5410</v>
      </c>
      <c r="H539" s="3">
        <v>11.2</v>
      </c>
      <c r="I539" s="3">
        <v>38432.639999999999</v>
      </c>
      <c r="J539" s="1" t="s">
        <v>87</v>
      </c>
      <c r="K539" s="1" t="s">
        <v>117</v>
      </c>
      <c r="L539" t="str">
        <f>VLOOKUP(D539, Products!A:C, 3, FALSE)</f>
        <v>Sports</v>
      </c>
      <c r="M539" t="str">
        <f>VLOOKUP(C539, Customers!A:E, 5, FALSE)</f>
        <v>Corporate</v>
      </c>
      <c r="N539">
        <f>VLOOKUP(C539, Customers!A:E, 3, FALSE)</f>
        <v>41</v>
      </c>
      <c r="O539" s="93" t="str">
        <f>VLOOKUP(E539, Sales_Reps!A:C, 3, FALSE)</f>
        <v>South</v>
      </c>
      <c r="P539">
        <f>VLOOKUP(D539, Products!A:E, 4, FALSE)</f>
        <v>2265</v>
      </c>
      <c r="Q539">
        <f>IF(COUNTIF($A$2:A539, A539)=2, 1, 0)</f>
        <v>0</v>
      </c>
      <c r="R539">
        <f>IF(ISNA(MATCH(C539, Customers!$A:$A, 0)), 1, 0)</f>
        <v>0</v>
      </c>
      <c r="S539" s="94" t="b">
        <f>VLOOKUP(D539, Products!A:F, 6, FALSE)</f>
        <v>1</v>
      </c>
    </row>
    <row r="540" spans="1:19">
      <c r="A540" s="102" t="s">
        <v>982</v>
      </c>
      <c r="B540" s="2">
        <v>45605</v>
      </c>
      <c r="C540" s="1" t="s">
        <v>983</v>
      </c>
      <c r="D540" s="1" t="s">
        <v>120</v>
      </c>
      <c r="E540" s="1" t="s">
        <v>107</v>
      </c>
      <c r="F540" s="83">
        <v>1</v>
      </c>
      <c r="G540" s="92">
        <v>1430</v>
      </c>
      <c r="H540" s="3">
        <v>19.600000000000001</v>
      </c>
      <c r="I540" s="3">
        <v>1149.72</v>
      </c>
      <c r="J540" s="1" t="s">
        <v>87</v>
      </c>
      <c r="K540" s="1" t="s">
        <v>117</v>
      </c>
      <c r="L540" t="str">
        <f>VLOOKUP(D540, Products!A:C, 3, FALSE)</f>
        <v>Electronics</v>
      </c>
      <c r="M540" t="str">
        <f>VLOOKUP(C540, Customers!A:E, 5, FALSE)</f>
        <v>SMB</v>
      </c>
      <c r="N540">
        <f>VLOOKUP(C540, Customers!A:E, 3, FALSE)</f>
        <v>36</v>
      </c>
      <c r="O540" s="93" t="str">
        <f>VLOOKUP(E540, Sales_Reps!A:C, 3, FALSE)</f>
        <v>North</v>
      </c>
      <c r="P540">
        <f>VLOOKUP(D540, Products!A:E, 4, FALSE)</f>
        <v>861</v>
      </c>
      <c r="Q540">
        <f>IF(COUNTIF($A$2:A540, A540)=2, 1, 0)</f>
        <v>0</v>
      </c>
      <c r="R540">
        <f>IF(ISNA(MATCH(C540, Customers!$A:$A, 0)), 1, 0)</f>
        <v>0</v>
      </c>
      <c r="S540" s="94" t="b">
        <f>VLOOKUP(D540, Products!A:F, 6, FALSE)</f>
        <v>1</v>
      </c>
    </row>
    <row r="541" spans="1:19">
      <c r="A541" s="102" t="s">
        <v>984</v>
      </c>
      <c r="B541" s="2">
        <v>45421</v>
      </c>
      <c r="C541" s="1" t="s">
        <v>870</v>
      </c>
      <c r="D541" s="1" t="s">
        <v>151</v>
      </c>
      <c r="E541" s="1" t="s">
        <v>343</v>
      </c>
      <c r="F541" s="83">
        <v>9</v>
      </c>
      <c r="G541" s="92">
        <v>2400</v>
      </c>
      <c r="H541" s="3">
        <v>5</v>
      </c>
      <c r="I541" s="3">
        <v>20520</v>
      </c>
      <c r="J541" s="1" t="s">
        <v>87</v>
      </c>
      <c r="K541" s="1" t="s">
        <v>117</v>
      </c>
      <c r="L541" t="str">
        <f>VLOOKUP(D541, Products!A:C, 3, FALSE)</f>
        <v>Sports</v>
      </c>
      <c r="M541" t="str">
        <f>VLOOKUP(C541, Customers!A:E, 5, FALSE)</f>
        <v>Retail</v>
      </c>
      <c r="N541">
        <f>VLOOKUP(C541, Customers!A:E, 3, FALSE)</f>
        <v>47</v>
      </c>
      <c r="O541" s="93" t="str">
        <f>VLOOKUP(E541, Sales_Reps!A:C, 3, FALSE)</f>
        <v>West</v>
      </c>
      <c r="P541">
        <f>VLOOKUP(D541, Products!A:E, 4, FALSE)</f>
        <v>974</v>
      </c>
      <c r="Q541">
        <f>IF(COUNTIF($A$2:A541, A541)=2, 1, 0)</f>
        <v>0</v>
      </c>
      <c r="R541">
        <f>IF(ISNA(MATCH(C541, Customers!$A:$A, 0)), 1, 0)</f>
        <v>0</v>
      </c>
      <c r="S541" s="94" t="b">
        <f>VLOOKUP(D541, Products!A:F, 6, FALSE)</f>
        <v>1</v>
      </c>
    </row>
    <row r="542" spans="1:19">
      <c r="A542" s="102" t="s">
        <v>985</v>
      </c>
      <c r="B542" s="2">
        <v>45493</v>
      </c>
      <c r="C542" s="1" t="s">
        <v>986</v>
      </c>
      <c r="D542" s="1" t="s">
        <v>234</v>
      </c>
      <c r="E542" s="1" t="s">
        <v>215</v>
      </c>
      <c r="F542" s="83">
        <v>1</v>
      </c>
      <c r="G542" s="92">
        <v>3780</v>
      </c>
      <c r="H542" s="3">
        <v>4.7</v>
      </c>
      <c r="I542" s="3">
        <v>3602.34</v>
      </c>
      <c r="J542" s="1" t="s">
        <v>87</v>
      </c>
      <c r="K542" s="1" t="s">
        <v>94</v>
      </c>
      <c r="L542" t="str">
        <f>VLOOKUP(D542, Products!A:C, 3, FALSE)</f>
        <v>Grocery</v>
      </c>
      <c r="M542" t="str">
        <f>VLOOKUP(C542, Customers!A:E, 5, FALSE)</f>
        <v>Corporate</v>
      </c>
      <c r="N542">
        <f>VLOOKUP(C542, Customers!A:E, 3, FALSE)</f>
        <v>52</v>
      </c>
      <c r="O542" s="93" t="str">
        <f>VLOOKUP(E542, Sales_Reps!A:C, 3, FALSE)</f>
        <v>North</v>
      </c>
      <c r="P542">
        <f>VLOOKUP(D542, Products!A:E, 4, FALSE)</f>
        <v>2436</v>
      </c>
      <c r="Q542">
        <f>IF(COUNTIF($A$2:A542, A542)=2, 1, 0)</f>
        <v>0</v>
      </c>
      <c r="R542">
        <f>IF(ISNA(MATCH(C542, Customers!$A:$A, 0)), 1, 0)</f>
        <v>0</v>
      </c>
      <c r="S542" s="94" t="b">
        <f>VLOOKUP(D542, Products!A:F, 6, FALSE)</f>
        <v>1</v>
      </c>
    </row>
    <row r="543" spans="1:19">
      <c r="A543" s="102" t="s">
        <v>987</v>
      </c>
      <c r="B543" s="2">
        <v>45592</v>
      </c>
      <c r="C543" s="1" t="s">
        <v>878</v>
      </c>
      <c r="D543" s="1" t="s">
        <v>292</v>
      </c>
      <c r="E543" s="1" t="s">
        <v>121</v>
      </c>
      <c r="F543" s="83">
        <v>2</v>
      </c>
      <c r="G543" s="92">
        <v>620</v>
      </c>
      <c r="H543" s="3">
        <v>8</v>
      </c>
      <c r="I543" s="3">
        <v>1140.8</v>
      </c>
      <c r="J543" s="1" t="s">
        <v>87</v>
      </c>
      <c r="K543" s="1" t="s">
        <v>112</v>
      </c>
      <c r="L543" t="str">
        <f>VLOOKUP(D543, Products!A:C, 3, FALSE)</f>
        <v>Apparel</v>
      </c>
      <c r="M543" t="str">
        <f>VLOOKUP(C543, Customers!A:E, 5, FALSE)</f>
        <v>Corporate</v>
      </c>
      <c r="N543">
        <f>VLOOKUP(C543, Customers!A:E, 3, FALSE)</f>
        <v>62</v>
      </c>
      <c r="O543" s="93" t="str">
        <f>VLOOKUP(E543, Sales_Reps!A:C, 3, FALSE)</f>
        <v>East</v>
      </c>
      <c r="P543">
        <f>VLOOKUP(D543, Products!A:E, 4, FALSE)</f>
        <v>396</v>
      </c>
      <c r="Q543">
        <f>IF(COUNTIF($A$2:A543, A543)=2, 1, 0)</f>
        <v>0</v>
      </c>
      <c r="R543">
        <f>IF(ISNA(MATCH(C543, Customers!$A:$A, 0)), 1, 0)</f>
        <v>0</v>
      </c>
      <c r="S543" s="94" t="b">
        <f>VLOOKUP(D543, Products!A:F, 6, FALSE)</f>
        <v>1</v>
      </c>
    </row>
    <row r="544" spans="1:19">
      <c r="A544" s="102" t="s">
        <v>988</v>
      </c>
      <c r="B544" s="2">
        <v>45379</v>
      </c>
      <c r="C544" s="1" t="s">
        <v>638</v>
      </c>
      <c r="D544" s="1" t="s">
        <v>147</v>
      </c>
      <c r="E544" s="1" t="s">
        <v>86</v>
      </c>
      <c r="F544" s="83">
        <v>3</v>
      </c>
      <c r="G544" s="92">
        <v>190</v>
      </c>
      <c r="H544" s="3">
        <v>17.899999999999999</v>
      </c>
      <c r="I544" s="3">
        <v>467.97</v>
      </c>
      <c r="J544" s="1" t="s">
        <v>93</v>
      </c>
      <c r="K544" s="1" t="s">
        <v>99</v>
      </c>
      <c r="L544" t="str">
        <f>VLOOKUP(D544, Products!A:C, 3, FALSE)</f>
        <v>Sports</v>
      </c>
      <c r="M544" t="str">
        <f>VLOOKUP(C544, Customers!A:E, 5, FALSE)</f>
        <v>Retail</v>
      </c>
      <c r="N544">
        <f>VLOOKUP(C544, Customers!A:E, 3, FALSE)</f>
        <v>43</v>
      </c>
      <c r="O544" s="93" t="str">
        <f>VLOOKUP(E544, Sales_Reps!A:C, 3, FALSE)</f>
        <v>North</v>
      </c>
      <c r="P544">
        <f>VLOOKUP(D544, Products!A:E, 4, FALSE)</f>
        <v>147</v>
      </c>
      <c r="Q544">
        <f>IF(COUNTIF($A$2:A544, A544)=2, 1, 0)</f>
        <v>0</v>
      </c>
      <c r="R544">
        <f>IF(ISNA(MATCH(C544, Customers!$A:$A, 0)), 1, 0)</f>
        <v>0</v>
      </c>
      <c r="S544" s="94" t="b">
        <f>VLOOKUP(D544, Products!A:F, 6, FALSE)</f>
        <v>1</v>
      </c>
    </row>
    <row r="545" spans="1:19">
      <c r="A545" s="102" t="s">
        <v>989</v>
      </c>
      <c r="B545" s="2">
        <v>45332</v>
      </c>
      <c r="C545" s="1" t="s">
        <v>990</v>
      </c>
      <c r="D545" s="1" t="s">
        <v>85</v>
      </c>
      <c r="E545" s="1" t="s">
        <v>121</v>
      </c>
      <c r="F545" s="83">
        <v>2</v>
      </c>
      <c r="G545" s="92">
        <v>3620</v>
      </c>
      <c r="H545" s="3">
        <v>15.5</v>
      </c>
      <c r="I545" s="3">
        <v>6117.8</v>
      </c>
      <c r="J545" s="1" t="s">
        <v>87</v>
      </c>
      <c r="K545" s="1" t="s">
        <v>117</v>
      </c>
      <c r="L545" t="str">
        <f>VLOOKUP(D545, Products!A:C, 3, FALSE)</f>
        <v>Apparel</v>
      </c>
      <c r="M545" t="str">
        <f>VLOOKUP(C545, Customers!A:E, 5, FALSE)</f>
        <v>Retail</v>
      </c>
      <c r="N545">
        <f>VLOOKUP(C545, Customers!A:E, 3, FALSE)</f>
        <v>61</v>
      </c>
      <c r="O545" s="93" t="str">
        <f>VLOOKUP(E545, Sales_Reps!A:C, 3, FALSE)</f>
        <v>East</v>
      </c>
      <c r="P545">
        <f>VLOOKUP(D545, Products!A:E, 4, FALSE)</f>
        <v>2509</v>
      </c>
      <c r="Q545">
        <f>IF(COUNTIF($A$2:A545, A545)=2, 1, 0)</f>
        <v>0</v>
      </c>
      <c r="R545">
        <f>IF(ISNA(MATCH(C545, Customers!$A:$A, 0)), 1, 0)</f>
        <v>0</v>
      </c>
      <c r="S545" s="94" t="b">
        <f>VLOOKUP(D545, Products!A:F, 6, FALSE)</f>
        <v>1</v>
      </c>
    </row>
    <row r="546" spans="1:19">
      <c r="A546" s="102" t="s">
        <v>991</v>
      </c>
      <c r="B546" s="2">
        <v>45610</v>
      </c>
      <c r="C546" s="1" t="s">
        <v>190</v>
      </c>
      <c r="D546" s="1" t="s">
        <v>195</v>
      </c>
      <c r="E546" s="1" t="s">
        <v>303</v>
      </c>
      <c r="F546" s="83">
        <v>5</v>
      </c>
      <c r="G546" s="92">
        <v>2860</v>
      </c>
      <c r="H546" s="3">
        <v>26.8</v>
      </c>
      <c r="I546" s="3">
        <v>10467.6</v>
      </c>
      <c r="J546" s="1" t="s">
        <v>87</v>
      </c>
      <c r="K546" s="1" t="s">
        <v>133</v>
      </c>
      <c r="L546" t="str">
        <f>VLOOKUP(D546, Products!A:C, 3, FALSE)</f>
        <v>Sports</v>
      </c>
      <c r="M546" t="str">
        <f>VLOOKUP(C546, Customers!A:E, 5, FALSE)</f>
        <v>Corporate</v>
      </c>
      <c r="N546">
        <f>VLOOKUP(C546, Customers!A:E, 3, FALSE)</f>
        <v>56</v>
      </c>
      <c r="O546" s="93" t="str">
        <f>VLOOKUP(E546, Sales_Reps!A:C, 3, FALSE)</f>
        <v>East</v>
      </c>
      <c r="P546">
        <f>VLOOKUP(D546, Products!A:E, 4, FALSE)</f>
        <v>2028</v>
      </c>
      <c r="Q546">
        <f>IF(COUNTIF($A$2:A546, A546)=2, 1, 0)</f>
        <v>0</v>
      </c>
      <c r="R546">
        <f>IF(ISNA(MATCH(C546, Customers!$A:$A, 0)), 1, 0)</f>
        <v>0</v>
      </c>
      <c r="S546" s="94" t="b">
        <f>VLOOKUP(D546, Products!A:F, 6, FALSE)</f>
        <v>1</v>
      </c>
    </row>
    <row r="547" spans="1:19">
      <c r="A547" s="102" t="s">
        <v>992</v>
      </c>
      <c r="B547" s="2">
        <v>45638</v>
      </c>
      <c r="C547" s="1" t="s">
        <v>910</v>
      </c>
      <c r="D547" s="1" t="s">
        <v>151</v>
      </c>
      <c r="E547" s="1" t="s">
        <v>154</v>
      </c>
      <c r="F547" s="83">
        <v>6</v>
      </c>
      <c r="G547" s="92">
        <v>2400</v>
      </c>
      <c r="H547" s="3">
        <v>19.2</v>
      </c>
      <c r="I547" s="3">
        <v>11635.2</v>
      </c>
      <c r="J547" s="1" t="s">
        <v>140</v>
      </c>
      <c r="K547" s="1" t="s">
        <v>99</v>
      </c>
      <c r="L547" t="str">
        <f>VLOOKUP(D547, Products!A:C, 3, FALSE)</f>
        <v>Sports</v>
      </c>
      <c r="M547" t="str">
        <f>VLOOKUP(C547, Customers!A:E, 5, FALSE)</f>
        <v>Retail</v>
      </c>
      <c r="N547">
        <f>VLOOKUP(C547, Customers!A:E, 3, FALSE)</f>
        <v>55</v>
      </c>
      <c r="O547" s="93" t="str">
        <f>VLOOKUP(E547, Sales_Reps!A:C, 3, FALSE)</f>
        <v>East</v>
      </c>
      <c r="P547">
        <f>VLOOKUP(D547, Products!A:E, 4, FALSE)</f>
        <v>974</v>
      </c>
      <c r="Q547">
        <f>IF(COUNTIF($A$2:A547, A547)=2, 1, 0)</f>
        <v>0</v>
      </c>
      <c r="R547">
        <f>IF(ISNA(MATCH(C547, Customers!$A:$A, 0)), 1, 0)</f>
        <v>0</v>
      </c>
      <c r="S547" s="94" t="b">
        <f>VLOOKUP(D547, Products!A:F, 6, FALSE)</f>
        <v>1</v>
      </c>
    </row>
    <row r="548" spans="1:19">
      <c r="A548" s="102" t="s">
        <v>993</v>
      </c>
      <c r="B548" s="2">
        <v>45546</v>
      </c>
      <c r="C548" s="1" t="s">
        <v>610</v>
      </c>
      <c r="D548" s="1" t="s">
        <v>443</v>
      </c>
      <c r="E548" s="1" t="s">
        <v>204</v>
      </c>
      <c r="F548" s="83">
        <v>7</v>
      </c>
      <c r="G548" s="92">
        <v>5080</v>
      </c>
      <c r="H548" s="3">
        <v>16.600000000000001</v>
      </c>
      <c r="I548" s="3">
        <v>29657.040000000001</v>
      </c>
      <c r="J548" s="1" t="s">
        <v>93</v>
      </c>
      <c r="K548" s="1" t="s">
        <v>117</v>
      </c>
      <c r="L548" t="str">
        <f>VLOOKUP(D548, Products!A:C, 3, FALSE)</f>
        <v>Home</v>
      </c>
      <c r="M548" t="str">
        <f>VLOOKUP(C548, Customers!A:E, 5, FALSE)</f>
        <v>SMB</v>
      </c>
      <c r="N548">
        <f>VLOOKUP(C548, Customers!A:E, 3, FALSE)</f>
        <v>42</v>
      </c>
      <c r="O548" s="93" t="str">
        <f>VLOOKUP(E548, Sales_Reps!A:C, 3, FALSE)</f>
        <v>South</v>
      </c>
      <c r="P548">
        <f>VLOOKUP(D548, Products!A:E, 4, FALSE)</f>
        <v>2459</v>
      </c>
      <c r="Q548">
        <f>IF(COUNTIF($A$2:A548, A548)=2, 1, 0)</f>
        <v>0</v>
      </c>
      <c r="R548">
        <f>IF(ISNA(MATCH(C548, Customers!$A:$A, 0)), 1, 0)</f>
        <v>0</v>
      </c>
      <c r="S548" s="94" t="b">
        <f>VLOOKUP(D548, Products!A:F, 6, FALSE)</f>
        <v>1</v>
      </c>
    </row>
    <row r="549" spans="1:19">
      <c r="A549" s="102" t="s">
        <v>994</v>
      </c>
      <c r="B549" s="2">
        <v>45436</v>
      </c>
      <c r="C549" s="1" t="s">
        <v>156</v>
      </c>
      <c r="D549" s="1" t="s">
        <v>443</v>
      </c>
      <c r="E549" s="1" t="s">
        <v>188</v>
      </c>
      <c r="F549" s="83">
        <v>10</v>
      </c>
      <c r="G549" s="92">
        <v>5080</v>
      </c>
      <c r="H549" s="3">
        <v>24.6</v>
      </c>
      <c r="I549" s="3">
        <v>38303.199999999997</v>
      </c>
      <c r="J549" s="1" t="s">
        <v>87</v>
      </c>
      <c r="K549" s="1" t="s">
        <v>133</v>
      </c>
      <c r="L549" t="str">
        <f>VLOOKUP(D549, Products!A:C, 3, FALSE)</f>
        <v>Home</v>
      </c>
      <c r="M549" t="str">
        <f>VLOOKUP(C549, Customers!A:E, 5, FALSE)</f>
        <v>Corporate</v>
      </c>
      <c r="N549">
        <f>VLOOKUP(C549, Customers!A:E, 3, FALSE)</f>
        <v>32</v>
      </c>
      <c r="O549" s="93" t="str">
        <f>VLOOKUP(E549, Sales_Reps!A:C, 3, FALSE)</f>
        <v>South</v>
      </c>
      <c r="P549">
        <f>VLOOKUP(D549, Products!A:E, 4, FALSE)</f>
        <v>2459</v>
      </c>
      <c r="Q549">
        <f>IF(COUNTIF($A$2:A549, A549)=2, 1, 0)</f>
        <v>0</v>
      </c>
      <c r="R549">
        <f>IF(ISNA(MATCH(C549, Customers!$A:$A, 0)), 1, 0)</f>
        <v>0</v>
      </c>
      <c r="S549" s="94" t="b">
        <f>VLOOKUP(D549, Products!A:F, 6, FALSE)</f>
        <v>1</v>
      </c>
    </row>
    <row r="550" spans="1:19">
      <c r="A550" s="102" t="s">
        <v>995</v>
      </c>
      <c r="B550" s="2">
        <v>45532</v>
      </c>
      <c r="C550" s="1" t="s">
        <v>959</v>
      </c>
      <c r="D550" s="1" t="s">
        <v>115</v>
      </c>
      <c r="E550" s="1" t="s">
        <v>107</v>
      </c>
      <c r="F550" s="83">
        <v>7</v>
      </c>
      <c r="G550" s="92">
        <v>960</v>
      </c>
      <c r="H550" s="3">
        <v>16.600000000000001</v>
      </c>
      <c r="I550" s="3">
        <v>5604.48</v>
      </c>
      <c r="J550" s="1" t="s">
        <v>87</v>
      </c>
      <c r="K550" s="1" t="s">
        <v>112</v>
      </c>
      <c r="L550" t="str">
        <f>VLOOKUP(D550, Products!A:C, 3, FALSE)</f>
        <v>Sports</v>
      </c>
      <c r="M550" t="str">
        <f>VLOOKUP(C550, Customers!A:E, 5, FALSE)</f>
        <v>SMB</v>
      </c>
      <c r="N550">
        <f>VLOOKUP(C550, Customers!A:E, 3, FALSE)</f>
        <v>65</v>
      </c>
      <c r="O550" s="93" t="str">
        <f>VLOOKUP(E550, Sales_Reps!A:C, 3, FALSE)</f>
        <v>North</v>
      </c>
      <c r="P550">
        <f>VLOOKUP(D550, Products!A:E, 4, FALSE)</f>
        <v>705</v>
      </c>
      <c r="Q550">
        <f>IF(COUNTIF($A$2:A550, A550)=2, 1, 0)</f>
        <v>0</v>
      </c>
      <c r="R550">
        <f>IF(ISNA(MATCH(C550, Customers!$A:$A, 0)), 1, 0)</f>
        <v>0</v>
      </c>
      <c r="S550" s="94" t="b">
        <f>VLOOKUP(D550, Products!A:F, 6, FALSE)</f>
        <v>1</v>
      </c>
    </row>
    <row r="551" spans="1:19">
      <c r="A551" s="102" t="s">
        <v>996</v>
      </c>
      <c r="B551" s="2">
        <v>45568</v>
      </c>
      <c r="C551" s="1" t="s">
        <v>266</v>
      </c>
      <c r="D551" s="1" t="s">
        <v>102</v>
      </c>
      <c r="E551" s="1" t="s">
        <v>128</v>
      </c>
      <c r="F551" s="83">
        <v>3</v>
      </c>
      <c r="G551" s="92">
        <v>3660</v>
      </c>
      <c r="H551" s="3">
        <v>3.2</v>
      </c>
      <c r="I551" s="3">
        <v>10628.64</v>
      </c>
      <c r="J551" s="1" t="s">
        <v>93</v>
      </c>
      <c r="K551" s="1" t="s">
        <v>99</v>
      </c>
      <c r="L551" t="str">
        <f>VLOOKUP(D551, Products!A:C, 3, FALSE)</f>
        <v>Grocery</v>
      </c>
      <c r="M551" t="str">
        <f>VLOOKUP(C551, Customers!A:E, 5, FALSE)</f>
        <v>Corporate</v>
      </c>
      <c r="N551">
        <f>VLOOKUP(C551, Customers!A:E, 3, FALSE)</f>
        <v>55</v>
      </c>
      <c r="O551" s="93" t="str">
        <f>VLOOKUP(E551, Sales_Reps!A:C, 3, FALSE)</f>
        <v>West</v>
      </c>
      <c r="P551">
        <f>VLOOKUP(D551, Products!A:E, 4, FALSE)</f>
        <v>2214</v>
      </c>
      <c r="Q551">
        <f>IF(COUNTIF($A$2:A551, A551)=2, 1, 0)</f>
        <v>0</v>
      </c>
      <c r="R551">
        <f>IF(ISNA(MATCH(C551, Customers!$A:$A, 0)), 1, 0)</f>
        <v>0</v>
      </c>
      <c r="S551" s="94" t="b">
        <f>VLOOKUP(D551, Products!A:F, 6, FALSE)</f>
        <v>0</v>
      </c>
    </row>
    <row r="552" spans="1:19">
      <c r="A552" s="102" t="s">
        <v>997</v>
      </c>
      <c r="B552" s="2">
        <v>45572</v>
      </c>
      <c r="C552" s="1" t="s">
        <v>197</v>
      </c>
      <c r="D552" s="1" t="s">
        <v>135</v>
      </c>
      <c r="E552" s="1" t="s">
        <v>204</v>
      </c>
      <c r="F552" s="83">
        <v>6</v>
      </c>
      <c r="G552" s="92">
        <v>2640</v>
      </c>
      <c r="H552" s="3">
        <v>26.3</v>
      </c>
      <c r="I552" s="3">
        <v>11674.08</v>
      </c>
      <c r="J552" s="1" t="s">
        <v>87</v>
      </c>
      <c r="K552" s="1" t="s">
        <v>88</v>
      </c>
      <c r="L552" t="str">
        <f>VLOOKUP(D552, Products!A:C, 3, FALSE)</f>
        <v>Electronics</v>
      </c>
      <c r="M552" t="str">
        <f>VLOOKUP(C552, Customers!A:E, 5, FALSE)</f>
        <v>Corporate</v>
      </c>
      <c r="N552">
        <f>VLOOKUP(C552, Customers!A:E, 3, FALSE)</f>
        <v>47</v>
      </c>
      <c r="O552" s="93" t="str">
        <f>VLOOKUP(E552, Sales_Reps!A:C, 3, FALSE)</f>
        <v>South</v>
      </c>
      <c r="P552">
        <f>VLOOKUP(D552, Products!A:E, 4, FALSE)</f>
        <v>1149</v>
      </c>
      <c r="Q552">
        <f>IF(COUNTIF($A$2:A552, A552)=2, 1, 0)</f>
        <v>0</v>
      </c>
      <c r="R552">
        <f>IF(ISNA(MATCH(C552, Customers!$A:$A, 0)), 1, 0)</f>
        <v>0</v>
      </c>
      <c r="S552" s="94" t="b">
        <f>VLOOKUP(D552, Products!A:F, 6, FALSE)</f>
        <v>1</v>
      </c>
    </row>
    <row r="553" spans="1:19">
      <c r="A553" s="102" t="s">
        <v>998</v>
      </c>
      <c r="B553" s="2">
        <v>45562</v>
      </c>
      <c r="C553" s="1" t="s">
        <v>425</v>
      </c>
      <c r="D553" s="1" t="s">
        <v>267</v>
      </c>
      <c r="E553" s="1" t="s">
        <v>204</v>
      </c>
      <c r="F553" s="83">
        <v>6</v>
      </c>
      <c r="G553" s="92">
        <v>1220</v>
      </c>
      <c r="H553" s="3">
        <v>22.3</v>
      </c>
      <c r="I553" s="3">
        <v>5687.64</v>
      </c>
      <c r="J553" s="1" t="s">
        <v>140</v>
      </c>
      <c r="K553" s="1" t="s">
        <v>94</v>
      </c>
      <c r="L553" t="str">
        <f>VLOOKUP(D553, Products!A:C, 3, FALSE)</f>
        <v>Electronics</v>
      </c>
      <c r="M553" t="str">
        <f>VLOOKUP(C553, Customers!A:E, 5, FALSE)</f>
        <v>SMB</v>
      </c>
      <c r="N553">
        <f>VLOOKUP(C553, Customers!A:E, 3, FALSE)</f>
        <v>64</v>
      </c>
      <c r="O553" s="93" t="str">
        <f>VLOOKUP(E553, Sales_Reps!A:C, 3, FALSE)</f>
        <v>South</v>
      </c>
      <c r="P553">
        <f>VLOOKUP(D553, Products!A:E, 4, FALSE)</f>
        <v>517</v>
      </c>
      <c r="Q553">
        <f>IF(COUNTIF($A$2:A553, A553)=2, 1, 0)</f>
        <v>0</v>
      </c>
      <c r="R553">
        <f>IF(ISNA(MATCH(C553, Customers!$A:$A, 0)), 1, 0)</f>
        <v>0</v>
      </c>
      <c r="S553" s="94" t="b">
        <f>VLOOKUP(D553, Products!A:F, 6, FALSE)</f>
        <v>1</v>
      </c>
    </row>
    <row r="554" spans="1:19">
      <c r="A554" s="102" t="s">
        <v>999</v>
      </c>
      <c r="B554" s="2">
        <v>45345</v>
      </c>
      <c r="C554" s="1" t="s">
        <v>1000</v>
      </c>
      <c r="D554" s="1" t="s">
        <v>282</v>
      </c>
      <c r="E554" s="1" t="s">
        <v>252</v>
      </c>
      <c r="F554" s="83">
        <v>1</v>
      </c>
      <c r="G554" s="92">
        <v>300</v>
      </c>
      <c r="H554" s="3">
        <v>0.7</v>
      </c>
      <c r="I554" s="3">
        <v>297.89999999999998</v>
      </c>
      <c r="J554" s="1" t="s">
        <v>87</v>
      </c>
      <c r="K554" s="1" t="s">
        <v>117</v>
      </c>
      <c r="L554" t="str">
        <f>VLOOKUP(D554, Products!A:C, 3, FALSE)</f>
        <v>Electronics</v>
      </c>
      <c r="M554" t="str">
        <f>VLOOKUP(C554, Customers!A:E, 5, FALSE)</f>
        <v>Retail</v>
      </c>
      <c r="N554">
        <f>VLOOKUP(C554, Customers!A:E, 3, FALSE)</f>
        <v>27</v>
      </c>
      <c r="O554" s="93" t="str">
        <f>VLOOKUP(E554, Sales_Reps!A:C, 3, FALSE)</f>
        <v>South</v>
      </c>
      <c r="P554">
        <f>VLOOKUP(D554, Products!A:E, 4, FALSE)</f>
        <v>128</v>
      </c>
      <c r="Q554">
        <f>IF(COUNTIF($A$2:A554, A554)=2, 1, 0)</f>
        <v>0</v>
      </c>
      <c r="R554">
        <f>IF(ISNA(MATCH(C554, Customers!$A:$A, 0)), 1, 0)</f>
        <v>0</v>
      </c>
      <c r="S554" s="94" t="b">
        <f>VLOOKUP(D554, Products!A:F, 6, FALSE)</f>
        <v>1</v>
      </c>
    </row>
    <row r="555" spans="1:19">
      <c r="A555" s="102" t="s">
        <v>1001</v>
      </c>
      <c r="B555" s="2">
        <v>45370</v>
      </c>
      <c r="C555" s="1" t="s">
        <v>697</v>
      </c>
      <c r="D555" s="1" t="s">
        <v>182</v>
      </c>
      <c r="E555" s="1" t="s">
        <v>192</v>
      </c>
      <c r="F555" s="83">
        <v>2</v>
      </c>
      <c r="G555" s="92">
        <v>1010</v>
      </c>
      <c r="H555" s="3">
        <v>28</v>
      </c>
      <c r="I555" s="3">
        <v>1454.4</v>
      </c>
      <c r="J555" s="1" t="s">
        <v>87</v>
      </c>
      <c r="K555" s="1" t="s">
        <v>133</v>
      </c>
      <c r="L555" t="str">
        <f>VLOOKUP(D555, Products!A:C, 3, FALSE)</f>
        <v>Sports</v>
      </c>
      <c r="M555" t="str">
        <f>VLOOKUP(C555, Customers!A:E, 5, FALSE)</f>
        <v>Retail</v>
      </c>
      <c r="N555">
        <f>VLOOKUP(C555, Customers!A:E, 3, FALSE)</f>
        <v>65</v>
      </c>
      <c r="O555" s="93" t="str">
        <f>VLOOKUP(E555, Sales_Reps!A:C, 3, FALSE)</f>
        <v>East</v>
      </c>
      <c r="P555">
        <f>VLOOKUP(D555, Products!A:E, 4, FALSE)</f>
        <v>516</v>
      </c>
      <c r="Q555">
        <f>IF(COUNTIF($A$2:A555, A555)=2, 1, 0)</f>
        <v>0</v>
      </c>
      <c r="R555">
        <f>IF(ISNA(MATCH(C555, Customers!$A:$A, 0)), 1, 0)</f>
        <v>0</v>
      </c>
      <c r="S555" s="94" t="b">
        <f>VLOOKUP(D555, Products!A:F, 6, FALSE)</f>
        <v>1</v>
      </c>
    </row>
    <row r="556" spans="1:19">
      <c r="A556" s="102" t="s">
        <v>1002</v>
      </c>
      <c r="B556" s="2">
        <v>45407</v>
      </c>
      <c r="C556" s="1" t="s">
        <v>1003</v>
      </c>
      <c r="D556" s="1" t="s">
        <v>138</v>
      </c>
      <c r="E556" s="1" t="s">
        <v>273</v>
      </c>
      <c r="F556" s="83">
        <v>5</v>
      </c>
      <c r="G556" s="92">
        <v>2600</v>
      </c>
      <c r="H556" s="3">
        <v>0.8</v>
      </c>
      <c r="I556" s="3">
        <v>12896</v>
      </c>
      <c r="J556" s="1" t="s">
        <v>140</v>
      </c>
      <c r="K556" s="1" t="s">
        <v>99</v>
      </c>
      <c r="L556" t="str">
        <f>VLOOKUP(D556, Products!A:C, 3, FALSE)</f>
        <v>Electronics</v>
      </c>
      <c r="M556" t="str">
        <f>VLOOKUP(C556, Customers!A:E, 5, FALSE)</f>
        <v>SMB</v>
      </c>
      <c r="N556">
        <f>VLOOKUP(C556, Customers!A:E, 3, FALSE)</f>
        <v>45</v>
      </c>
      <c r="O556" s="93" t="str">
        <f>VLOOKUP(E556, Sales_Reps!A:C, 3, FALSE)</f>
        <v>South</v>
      </c>
      <c r="P556">
        <f>VLOOKUP(D556, Products!A:E, 4, FALSE)</f>
        <v>1052</v>
      </c>
      <c r="Q556">
        <f>IF(COUNTIF($A$2:A556, A556)=2, 1, 0)</f>
        <v>0</v>
      </c>
      <c r="R556">
        <f>IF(ISNA(MATCH(C556, Customers!$A:$A, 0)), 1, 0)</f>
        <v>0</v>
      </c>
      <c r="S556" s="94" t="b">
        <f>VLOOKUP(D556, Products!A:F, 6, FALSE)</f>
        <v>1</v>
      </c>
    </row>
    <row r="557" spans="1:19">
      <c r="A557" s="102" t="s">
        <v>1004</v>
      </c>
      <c r="B557" s="2">
        <v>45337</v>
      </c>
      <c r="C557" s="1" t="s">
        <v>555</v>
      </c>
      <c r="D557" s="1" t="s">
        <v>515</v>
      </c>
      <c r="E557" s="1" t="s">
        <v>201</v>
      </c>
      <c r="F557" s="83">
        <v>3</v>
      </c>
      <c r="G557" s="92">
        <v>6940</v>
      </c>
      <c r="H557" s="3">
        <v>10.7</v>
      </c>
      <c r="I557" s="3">
        <v>18592.259999999998</v>
      </c>
      <c r="J557" s="1" t="s">
        <v>140</v>
      </c>
      <c r="K557" s="1" t="s">
        <v>112</v>
      </c>
      <c r="L557" t="str">
        <f>VLOOKUP(D557, Products!A:C, 3, FALSE)</f>
        <v>Sports</v>
      </c>
      <c r="M557" t="str">
        <f>VLOOKUP(C557, Customers!A:E, 5, FALSE)</f>
        <v>Retail</v>
      </c>
      <c r="N557">
        <f>VLOOKUP(C557, Customers!A:E, 3, FALSE)</f>
        <v>37</v>
      </c>
      <c r="O557" s="93" t="str">
        <f>VLOOKUP(E557, Sales_Reps!A:C, 3, FALSE)</f>
        <v>West</v>
      </c>
      <c r="P557">
        <f>VLOOKUP(D557, Products!A:E, 4, FALSE)</f>
        <v>2827</v>
      </c>
      <c r="Q557">
        <f>IF(COUNTIF($A$2:A557, A557)=2, 1, 0)</f>
        <v>0</v>
      </c>
      <c r="R557">
        <f>IF(ISNA(MATCH(C557, Customers!$A:$A, 0)), 1, 0)</f>
        <v>0</v>
      </c>
      <c r="S557" s="94" t="b">
        <f>VLOOKUP(D557, Products!A:F, 6, FALSE)</f>
        <v>1</v>
      </c>
    </row>
    <row r="558" spans="1:19">
      <c r="A558" s="102" t="s">
        <v>1005</v>
      </c>
      <c r="B558" s="2">
        <v>45571</v>
      </c>
      <c r="C558" s="1" t="s">
        <v>1006</v>
      </c>
      <c r="D558" s="1" t="s">
        <v>110</v>
      </c>
      <c r="E558" s="1" t="s">
        <v>273</v>
      </c>
      <c r="F558" s="83">
        <v>1</v>
      </c>
      <c r="G558" s="92">
        <v>370</v>
      </c>
      <c r="H558" s="3">
        <v>10.3</v>
      </c>
      <c r="I558" s="3">
        <v>331.89</v>
      </c>
      <c r="J558" s="1" t="s">
        <v>144</v>
      </c>
      <c r="K558" s="1" t="s">
        <v>117</v>
      </c>
      <c r="L558" t="str">
        <f>VLOOKUP(D558, Products!A:C, 3, FALSE)</f>
        <v>Home</v>
      </c>
      <c r="M558" t="str">
        <f>VLOOKUP(C558, Customers!A:E, 5, FALSE)</f>
        <v>SMB</v>
      </c>
      <c r="N558">
        <f>VLOOKUP(C558, Customers!A:E, 3, FALSE)</f>
        <v>44</v>
      </c>
      <c r="O558" s="93" t="str">
        <f>VLOOKUP(E558, Sales_Reps!A:C, 3, FALSE)</f>
        <v>South</v>
      </c>
      <c r="P558">
        <f>VLOOKUP(D558, Products!A:E, 4, FALSE)</f>
        <v>288</v>
      </c>
      <c r="Q558">
        <f>IF(COUNTIF($A$2:A558, A558)=2, 1, 0)</f>
        <v>0</v>
      </c>
      <c r="R558">
        <f>IF(ISNA(MATCH(C558, Customers!$A:$A, 0)), 1, 0)</f>
        <v>0</v>
      </c>
      <c r="S558" s="94" t="b">
        <f>VLOOKUP(D558, Products!A:F, 6, FALSE)</f>
        <v>1</v>
      </c>
    </row>
    <row r="559" spans="1:19">
      <c r="A559" s="102" t="s">
        <v>1007</v>
      </c>
      <c r="B559" s="2">
        <v>45357</v>
      </c>
      <c r="C559" s="1" t="s">
        <v>597</v>
      </c>
      <c r="D559" s="1" t="s">
        <v>234</v>
      </c>
      <c r="E559" s="1" t="s">
        <v>229</v>
      </c>
      <c r="F559" s="83">
        <v>2</v>
      </c>
      <c r="G559" s="92">
        <v>3780</v>
      </c>
      <c r="H559" s="3">
        <v>29.4</v>
      </c>
      <c r="I559" s="3">
        <v>5337.36</v>
      </c>
      <c r="J559" s="1" t="s">
        <v>87</v>
      </c>
      <c r="K559" s="1" t="s">
        <v>112</v>
      </c>
      <c r="L559" t="str">
        <f>VLOOKUP(D559, Products!A:C, 3, FALSE)</f>
        <v>Grocery</v>
      </c>
      <c r="M559" t="str">
        <f>VLOOKUP(C559, Customers!A:E, 5, FALSE)</f>
        <v>Retail</v>
      </c>
      <c r="N559">
        <f>VLOOKUP(C559, Customers!A:E, 3, FALSE)</f>
        <v>39</v>
      </c>
      <c r="O559" s="93" t="str">
        <f>VLOOKUP(E559, Sales_Reps!A:C, 3, FALSE)</f>
        <v>West</v>
      </c>
      <c r="P559">
        <f>VLOOKUP(D559, Products!A:E, 4, FALSE)</f>
        <v>2436</v>
      </c>
      <c r="Q559">
        <f>IF(COUNTIF($A$2:A559, A559)=2, 1, 0)</f>
        <v>0</v>
      </c>
      <c r="R559">
        <f>IF(ISNA(MATCH(C559, Customers!$A:$A, 0)), 1, 0)</f>
        <v>0</v>
      </c>
      <c r="S559" s="94" t="b">
        <f>VLOOKUP(D559, Products!A:F, 6, FALSE)</f>
        <v>1</v>
      </c>
    </row>
    <row r="560" spans="1:19">
      <c r="A560" s="102" t="s">
        <v>1008</v>
      </c>
      <c r="B560" s="2">
        <v>45432</v>
      </c>
      <c r="C560" s="1" t="s">
        <v>479</v>
      </c>
      <c r="D560" s="1" t="s">
        <v>127</v>
      </c>
      <c r="E560" s="1" t="s">
        <v>285</v>
      </c>
      <c r="F560" s="83">
        <v>5</v>
      </c>
      <c r="G560" s="92">
        <v>970</v>
      </c>
      <c r="H560" s="3">
        <v>14.6</v>
      </c>
      <c r="I560" s="3">
        <v>4141.8999999999996</v>
      </c>
      <c r="J560" s="1" t="s">
        <v>87</v>
      </c>
      <c r="K560" s="1" t="s">
        <v>88</v>
      </c>
      <c r="L560" t="str">
        <f>VLOOKUP(D560, Products!A:C, 3, FALSE)</f>
        <v>Grocery</v>
      </c>
      <c r="M560" t="str">
        <f>VLOOKUP(C560, Customers!A:E, 5, FALSE)</f>
        <v>SMB</v>
      </c>
      <c r="N560">
        <f>VLOOKUP(C560, Customers!A:E, 3, FALSE)</f>
        <v>49</v>
      </c>
      <c r="O560" s="93" t="str">
        <f>VLOOKUP(E560, Sales_Reps!A:C, 3, FALSE)</f>
        <v>East</v>
      </c>
      <c r="P560">
        <f>VLOOKUP(D560, Products!A:E, 4, FALSE)</f>
        <v>434</v>
      </c>
      <c r="Q560">
        <f>IF(COUNTIF($A$2:A560, A560)=2, 1, 0)</f>
        <v>0</v>
      </c>
      <c r="R560">
        <f>IF(ISNA(MATCH(C560, Customers!$A:$A, 0)), 1, 0)</f>
        <v>0</v>
      </c>
      <c r="S560" s="94" t="b">
        <f>VLOOKUP(D560, Products!A:F, 6, FALSE)</f>
        <v>1</v>
      </c>
    </row>
    <row r="561" spans="1:19">
      <c r="A561" s="102" t="s">
        <v>1009</v>
      </c>
      <c r="B561" s="2">
        <v>45604</v>
      </c>
      <c r="C561" s="1" t="s">
        <v>785</v>
      </c>
      <c r="D561" s="1" t="s">
        <v>245</v>
      </c>
      <c r="E561" s="1" t="s">
        <v>297</v>
      </c>
      <c r="F561" s="83">
        <v>3</v>
      </c>
      <c r="G561" s="92">
        <v>2270</v>
      </c>
      <c r="H561" s="3">
        <v>6.5</v>
      </c>
      <c r="I561" s="3">
        <v>6367.35</v>
      </c>
      <c r="J561" s="1" t="s">
        <v>87</v>
      </c>
      <c r="K561" s="1" t="s">
        <v>88</v>
      </c>
      <c r="L561" t="str">
        <f>VLOOKUP(D561, Products!A:C, 3, FALSE)</f>
        <v>Grocery</v>
      </c>
      <c r="M561" t="str">
        <f>VLOOKUP(C561, Customers!A:E, 5, FALSE)</f>
        <v>Retail</v>
      </c>
      <c r="N561">
        <f>VLOOKUP(C561, Customers!A:E, 3, FALSE)</f>
        <v>31</v>
      </c>
      <c r="O561" s="93" t="str">
        <f>VLOOKUP(E561, Sales_Reps!A:C, 3, FALSE)</f>
        <v>North</v>
      </c>
      <c r="P561">
        <f>VLOOKUP(D561, Products!A:E, 4, FALSE)</f>
        <v>1412</v>
      </c>
      <c r="Q561">
        <f>IF(COUNTIF($A$2:A561, A561)=2, 1, 0)</f>
        <v>0</v>
      </c>
      <c r="R561">
        <f>IF(ISNA(MATCH(C561, Customers!$A:$A, 0)), 1, 0)</f>
        <v>0</v>
      </c>
      <c r="S561" s="94" t="b">
        <f>VLOOKUP(D561, Products!A:F, 6, FALSE)</f>
        <v>1</v>
      </c>
    </row>
    <row r="562" spans="1:19">
      <c r="A562" s="102" t="s">
        <v>1010</v>
      </c>
      <c r="B562" s="2">
        <v>45467</v>
      </c>
      <c r="C562" s="1" t="s">
        <v>700</v>
      </c>
      <c r="D562" s="1" t="s">
        <v>259</v>
      </c>
      <c r="E562" s="1" t="s">
        <v>229</v>
      </c>
      <c r="F562" s="83">
        <v>10</v>
      </c>
      <c r="G562" s="92">
        <v>1540</v>
      </c>
      <c r="H562" s="3">
        <v>16.5</v>
      </c>
      <c r="I562" s="3">
        <v>12859</v>
      </c>
      <c r="J562" s="1" t="s">
        <v>87</v>
      </c>
      <c r="K562" s="1" t="s">
        <v>94</v>
      </c>
      <c r="L562" t="str">
        <f>VLOOKUP(D562, Products!A:C, 3, FALSE)</f>
        <v>Beauty</v>
      </c>
      <c r="M562" t="str">
        <f>VLOOKUP(C562, Customers!A:E, 5, FALSE)</f>
        <v>SMB</v>
      </c>
      <c r="N562">
        <f>VLOOKUP(C562, Customers!A:E, 3, FALSE)</f>
        <v>46</v>
      </c>
      <c r="O562" s="93" t="str">
        <f>VLOOKUP(E562, Sales_Reps!A:C, 3, FALSE)</f>
        <v>West</v>
      </c>
      <c r="P562">
        <f>VLOOKUP(D562, Products!A:E, 4, FALSE)</f>
        <v>647</v>
      </c>
      <c r="Q562">
        <f>IF(COUNTIF($A$2:A562, A562)=2, 1, 0)</f>
        <v>0</v>
      </c>
      <c r="R562">
        <f>IF(ISNA(MATCH(C562, Customers!$A:$A, 0)), 1, 0)</f>
        <v>0</v>
      </c>
      <c r="S562" s="94" t="b">
        <f>VLOOKUP(D562, Products!A:F, 6, FALSE)</f>
        <v>0</v>
      </c>
    </row>
    <row r="563" spans="1:19">
      <c r="A563" s="102" t="s">
        <v>1011</v>
      </c>
      <c r="B563" s="2">
        <v>45649</v>
      </c>
      <c r="C563" s="1" t="s">
        <v>105</v>
      </c>
      <c r="D563" s="1" t="s">
        <v>200</v>
      </c>
      <c r="E563" s="1" t="s">
        <v>238</v>
      </c>
      <c r="F563" s="83">
        <v>4</v>
      </c>
      <c r="G563" s="92">
        <v>2760</v>
      </c>
      <c r="H563" s="3">
        <v>19.8</v>
      </c>
      <c r="I563" s="3">
        <v>8854.08</v>
      </c>
      <c r="J563" s="1" t="s">
        <v>87</v>
      </c>
      <c r="K563" s="1" t="s">
        <v>94</v>
      </c>
      <c r="L563" t="str">
        <f>VLOOKUP(D563, Products!A:C, 3, FALSE)</f>
        <v>Grocery</v>
      </c>
      <c r="M563" t="str">
        <f>VLOOKUP(C563, Customers!A:E, 5, FALSE)</f>
        <v>Retail</v>
      </c>
      <c r="N563">
        <f>VLOOKUP(C563, Customers!A:E, 3, FALSE)</f>
        <v>36</v>
      </c>
      <c r="O563" s="93" t="str">
        <f>VLOOKUP(E563, Sales_Reps!A:C, 3, FALSE)</f>
        <v>East</v>
      </c>
      <c r="P563">
        <f>VLOOKUP(D563, Products!A:E, 4, FALSE)</f>
        <v>1435</v>
      </c>
      <c r="Q563">
        <f>IF(COUNTIF($A$2:A563, A563)=2, 1, 0)</f>
        <v>0</v>
      </c>
      <c r="R563">
        <f>IF(ISNA(MATCH(C563, Customers!$A:$A, 0)), 1, 0)</f>
        <v>0</v>
      </c>
      <c r="S563" s="94" t="b">
        <f>VLOOKUP(D563, Products!A:F, 6, FALSE)</f>
        <v>1</v>
      </c>
    </row>
    <row r="564" spans="1:19">
      <c r="A564" s="102" t="s">
        <v>1012</v>
      </c>
      <c r="B564" s="2">
        <v>45332</v>
      </c>
      <c r="C564" s="1" t="s">
        <v>385</v>
      </c>
      <c r="D564" s="1" t="s">
        <v>131</v>
      </c>
      <c r="E564" s="1" t="s">
        <v>170</v>
      </c>
      <c r="F564" s="83">
        <v>3</v>
      </c>
      <c r="G564" s="92">
        <v>2270</v>
      </c>
      <c r="H564" s="3">
        <v>29.5</v>
      </c>
      <c r="I564" s="3">
        <v>4801.05</v>
      </c>
      <c r="J564" s="1" t="s">
        <v>144</v>
      </c>
      <c r="K564" s="1" t="s">
        <v>117</v>
      </c>
      <c r="L564" t="str">
        <f>VLOOKUP(D564, Products!A:C, 3, FALSE)</f>
        <v>Grocery</v>
      </c>
      <c r="M564" t="str">
        <f>VLOOKUP(C564, Customers!A:E, 5, FALSE)</f>
        <v>Retail</v>
      </c>
      <c r="N564">
        <f>VLOOKUP(C564, Customers!A:E, 3, FALSE)</f>
        <v>23</v>
      </c>
      <c r="O564" s="93" t="str">
        <f>VLOOKUP(E564, Sales_Reps!A:C, 3, FALSE)</f>
        <v>West</v>
      </c>
      <c r="P564">
        <f>VLOOKUP(D564, Products!A:E, 4, FALSE)</f>
        <v>1203</v>
      </c>
      <c r="Q564">
        <f>IF(COUNTIF($A$2:A564, A564)=2, 1, 0)</f>
        <v>0</v>
      </c>
      <c r="R564">
        <f>IF(ISNA(MATCH(C564, Customers!$A:$A, 0)), 1, 0)</f>
        <v>0</v>
      </c>
      <c r="S564" s="94" t="b">
        <f>VLOOKUP(D564, Products!A:F, 6, FALSE)</f>
        <v>1</v>
      </c>
    </row>
    <row r="565" spans="1:19">
      <c r="A565" s="102" t="s">
        <v>1013</v>
      </c>
      <c r="B565" s="2">
        <v>45418</v>
      </c>
      <c r="C565" s="1" t="s">
        <v>567</v>
      </c>
      <c r="D565" s="1" t="s">
        <v>276</v>
      </c>
      <c r="E565" s="1" t="s">
        <v>188</v>
      </c>
      <c r="F565" s="83">
        <v>8</v>
      </c>
      <c r="G565" s="92">
        <v>3020</v>
      </c>
      <c r="H565" s="3">
        <v>1.2</v>
      </c>
      <c r="I565" s="3">
        <v>23870.080000000002</v>
      </c>
      <c r="J565" s="1" t="s">
        <v>87</v>
      </c>
      <c r="K565" s="1" t="s">
        <v>117</v>
      </c>
      <c r="L565" t="str">
        <f>VLOOKUP(D565, Products!A:C, 3, FALSE)</f>
        <v>Beauty</v>
      </c>
      <c r="M565" t="str">
        <f>VLOOKUP(C565, Customers!A:E, 5, FALSE)</f>
        <v>Corporate</v>
      </c>
      <c r="N565">
        <f>VLOOKUP(C565, Customers!A:E, 3, FALSE)</f>
        <v>41</v>
      </c>
      <c r="O565" s="93" t="str">
        <f>VLOOKUP(E565, Sales_Reps!A:C, 3, FALSE)</f>
        <v>South</v>
      </c>
      <c r="P565">
        <f>VLOOKUP(D565, Products!A:E, 4, FALSE)</f>
        <v>1626</v>
      </c>
      <c r="Q565">
        <f>IF(COUNTIF($A$2:A565, A565)=2, 1, 0)</f>
        <v>0</v>
      </c>
      <c r="R565">
        <f>IF(ISNA(MATCH(C565, Customers!$A:$A, 0)), 1, 0)</f>
        <v>0</v>
      </c>
      <c r="S565" s="94" t="b">
        <f>VLOOKUP(D565, Products!A:F, 6, FALSE)</f>
        <v>1</v>
      </c>
    </row>
    <row r="566" spans="1:19">
      <c r="A566" s="102" t="s">
        <v>1014</v>
      </c>
      <c r="B566" s="2">
        <v>45490</v>
      </c>
      <c r="C566" s="1" t="s">
        <v>559</v>
      </c>
      <c r="D566" s="1" t="s">
        <v>367</v>
      </c>
      <c r="E566" s="1" t="s">
        <v>303</v>
      </c>
      <c r="F566" s="83">
        <v>6</v>
      </c>
      <c r="G566" s="92">
        <v>2380</v>
      </c>
      <c r="H566" s="3">
        <v>20.399999999999999</v>
      </c>
      <c r="I566" s="3">
        <v>11366.88</v>
      </c>
      <c r="J566" s="1" t="s">
        <v>87</v>
      </c>
      <c r="K566" s="1" t="s">
        <v>88</v>
      </c>
      <c r="L566" t="str">
        <f>VLOOKUP(D566, Products!A:C, 3, FALSE)</f>
        <v>Grocery</v>
      </c>
      <c r="M566" t="str">
        <f>VLOOKUP(C566, Customers!A:E, 5, FALSE)</f>
        <v>Retail</v>
      </c>
      <c r="N566">
        <f>VLOOKUP(C566, Customers!A:E, 3, FALSE)</f>
        <v>62</v>
      </c>
      <c r="O566" s="93" t="str">
        <f>VLOOKUP(E566, Sales_Reps!A:C, 3, FALSE)</f>
        <v>East</v>
      </c>
      <c r="P566">
        <f>VLOOKUP(D566, Products!A:E, 4, FALSE)</f>
        <v>1182</v>
      </c>
      <c r="Q566">
        <f>IF(COUNTIF($A$2:A566, A566)=2, 1, 0)</f>
        <v>0</v>
      </c>
      <c r="R566">
        <f>IF(ISNA(MATCH(C566, Customers!$A:$A, 0)), 1, 0)</f>
        <v>0</v>
      </c>
      <c r="S566" s="94" t="b">
        <f>VLOOKUP(D566, Products!A:F, 6, FALSE)</f>
        <v>1</v>
      </c>
    </row>
    <row r="567" spans="1:19">
      <c r="A567" s="102" t="s">
        <v>1015</v>
      </c>
      <c r="B567" s="2">
        <v>45470</v>
      </c>
      <c r="C567" s="1" t="s">
        <v>1016</v>
      </c>
      <c r="D567" s="1" t="s">
        <v>515</v>
      </c>
      <c r="E567" s="1" t="s">
        <v>128</v>
      </c>
      <c r="F567" s="83">
        <v>1</v>
      </c>
      <c r="G567" s="92">
        <v>6940</v>
      </c>
      <c r="H567" s="3">
        <v>15</v>
      </c>
      <c r="I567" s="3">
        <v>5899</v>
      </c>
      <c r="J567" s="1" t="s">
        <v>140</v>
      </c>
      <c r="K567" s="1" t="s">
        <v>117</v>
      </c>
      <c r="L567" t="str">
        <f>VLOOKUP(D567, Products!A:C, 3, FALSE)</f>
        <v>Sports</v>
      </c>
      <c r="M567" t="str">
        <f>VLOOKUP(C567, Customers!A:E, 5, FALSE)</f>
        <v>SMB</v>
      </c>
      <c r="N567">
        <f>VLOOKUP(C567, Customers!A:E, 3, FALSE)</f>
        <v>49</v>
      </c>
      <c r="O567" s="93" t="str">
        <f>VLOOKUP(E567, Sales_Reps!A:C, 3, FALSE)</f>
        <v>West</v>
      </c>
      <c r="P567">
        <f>VLOOKUP(D567, Products!A:E, 4, FALSE)</f>
        <v>2827</v>
      </c>
      <c r="Q567">
        <f>IF(COUNTIF($A$2:A567, A567)=2, 1, 0)</f>
        <v>0</v>
      </c>
      <c r="R567">
        <f>IF(ISNA(MATCH(C567, Customers!$A:$A, 0)), 1, 0)</f>
        <v>0</v>
      </c>
      <c r="S567" s="94" t="b">
        <f>VLOOKUP(D567, Products!A:F, 6, FALSE)</f>
        <v>1</v>
      </c>
    </row>
    <row r="568" spans="1:19">
      <c r="A568" s="102" t="s">
        <v>1017</v>
      </c>
      <c r="B568" s="2">
        <v>45654</v>
      </c>
      <c r="C568" s="1" t="s">
        <v>291</v>
      </c>
      <c r="D568" s="1" t="s">
        <v>279</v>
      </c>
      <c r="E568" s="1" t="s">
        <v>132</v>
      </c>
      <c r="F568" s="83">
        <v>1</v>
      </c>
      <c r="G568" s="92">
        <v>2660</v>
      </c>
      <c r="H568" s="3">
        <v>11.6</v>
      </c>
      <c r="I568" s="3">
        <v>2351.44</v>
      </c>
      <c r="J568" s="1" t="s">
        <v>87</v>
      </c>
      <c r="K568" s="1" t="s">
        <v>99</v>
      </c>
      <c r="L568" t="str">
        <f>VLOOKUP(D568, Products!A:C, 3, FALSE)</f>
        <v>Electronics</v>
      </c>
      <c r="M568" t="str">
        <f>VLOOKUP(C568, Customers!A:E, 5, FALSE)</f>
        <v>Retail</v>
      </c>
      <c r="N568">
        <f>VLOOKUP(C568, Customers!A:E, 3, FALSE)</f>
        <v>35</v>
      </c>
      <c r="O568" s="93" t="str">
        <f>VLOOKUP(E568, Sales_Reps!A:C, 3, FALSE)</f>
        <v>South</v>
      </c>
      <c r="P568">
        <f>VLOOKUP(D568, Products!A:E, 4, FALSE)</f>
        <v>1259</v>
      </c>
      <c r="Q568">
        <f>IF(COUNTIF($A$2:A568, A568)=2, 1, 0)</f>
        <v>0</v>
      </c>
      <c r="R568">
        <f>IF(ISNA(MATCH(C568, Customers!$A:$A, 0)), 1, 0)</f>
        <v>0</v>
      </c>
      <c r="S568" s="94" t="b">
        <f>VLOOKUP(D568, Products!A:F, 6, FALSE)</f>
        <v>0</v>
      </c>
    </row>
    <row r="569" spans="1:19">
      <c r="A569" s="102" t="s">
        <v>1018</v>
      </c>
      <c r="B569" s="2">
        <v>45548</v>
      </c>
      <c r="C569" s="1" t="s">
        <v>770</v>
      </c>
      <c r="D569" s="1" t="s">
        <v>127</v>
      </c>
      <c r="E569" s="1" t="s">
        <v>252</v>
      </c>
      <c r="F569" s="83">
        <v>4</v>
      </c>
      <c r="G569" s="92">
        <v>970</v>
      </c>
      <c r="H569" s="3">
        <v>11.6</v>
      </c>
      <c r="I569" s="3">
        <v>3429.92</v>
      </c>
      <c r="J569" s="1" t="s">
        <v>87</v>
      </c>
      <c r="K569" s="1" t="s">
        <v>88</v>
      </c>
      <c r="L569" t="str">
        <f>VLOOKUP(D569, Products!A:C, 3, FALSE)</f>
        <v>Grocery</v>
      </c>
      <c r="M569" t="str">
        <f>VLOOKUP(C569, Customers!A:E, 5, FALSE)</f>
        <v>Retail</v>
      </c>
      <c r="N569">
        <f>VLOOKUP(C569, Customers!A:E, 3, FALSE)</f>
        <v>35</v>
      </c>
      <c r="O569" s="93" t="str">
        <f>VLOOKUP(E569, Sales_Reps!A:C, 3, FALSE)</f>
        <v>South</v>
      </c>
      <c r="P569">
        <f>VLOOKUP(D569, Products!A:E, 4, FALSE)</f>
        <v>434</v>
      </c>
      <c r="Q569">
        <f>IF(COUNTIF($A$2:A569, A569)=2, 1, 0)</f>
        <v>0</v>
      </c>
      <c r="R569">
        <f>IF(ISNA(MATCH(C569, Customers!$A:$A, 0)), 1, 0)</f>
        <v>0</v>
      </c>
      <c r="S569" s="94" t="b">
        <f>VLOOKUP(D569, Products!A:F, 6, FALSE)</f>
        <v>1</v>
      </c>
    </row>
    <row r="570" spans="1:19">
      <c r="A570" s="102" t="s">
        <v>1019</v>
      </c>
      <c r="B570" s="2">
        <v>45632</v>
      </c>
      <c r="C570" s="1" t="s">
        <v>602</v>
      </c>
      <c r="D570" s="1" t="s">
        <v>245</v>
      </c>
      <c r="E570" s="1" t="s">
        <v>297</v>
      </c>
      <c r="F570" s="83">
        <v>7</v>
      </c>
      <c r="G570" s="92">
        <v>2270</v>
      </c>
      <c r="H570" s="3">
        <v>27.9</v>
      </c>
      <c r="I570" s="3">
        <v>11456.69</v>
      </c>
      <c r="J570" s="1" t="s">
        <v>87</v>
      </c>
      <c r="K570" s="1" t="s">
        <v>94</v>
      </c>
      <c r="L570" t="str">
        <f>VLOOKUP(D570, Products!A:C, 3, FALSE)</f>
        <v>Grocery</v>
      </c>
      <c r="M570" t="str">
        <f>VLOOKUP(C570, Customers!A:E, 5, FALSE)</f>
        <v>Retail</v>
      </c>
      <c r="N570">
        <f>VLOOKUP(C570, Customers!A:E, 3, FALSE)</f>
        <v>61</v>
      </c>
      <c r="O570" s="93" t="str">
        <f>VLOOKUP(E570, Sales_Reps!A:C, 3, FALSE)</f>
        <v>North</v>
      </c>
      <c r="P570">
        <f>VLOOKUP(D570, Products!A:E, 4, FALSE)</f>
        <v>1412</v>
      </c>
      <c r="Q570">
        <f>IF(COUNTIF($A$2:A570, A570)=2, 1, 0)</f>
        <v>0</v>
      </c>
      <c r="R570">
        <f>IF(ISNA(MATCH(C570, Customers!$A:$A, 0)), 1, 0)</f>
        <v>0</v>
      </c>
      <c r="S570" s="94" t="b">
        <f>VLOOKUP(D570, Products!A:F, 6, FALSE)</f>
        <v>1</v>
      </c>
    </row>
    <row r="571" spans="1:19">
      <c r="A571" s="102" t="s">
        <v>1020</v>
      </c>
      <c r="B571" s="2">
        <v>45304</v>
      </c>
      <c r="C571" s="1" t="s">
        <v>263</v>
      </c>
      <c r="D571" s="1" t="s">
        <v>182</v>
      </c>
      <c r="E571" s="1" t="s">
        <v>346</v>
      </c>
      <c r="F571" s="83">
        <v>8</v>
      </c>
      <c r="G571" s="92">
        <v>1010</v>
      </c>
      <c r="H571" s="3">
        <v>13.7</v>
      </c>
      <c r="I571" s="3">
        <v>6973.04</v>
      </c>
      <c r="J571" s="1" t="s">
        <v>140</v>
      </c>
      <c r="K571" s="1" t="s">
        <v>133</v>
      </c>
      <c r="L571" t="str">
        <f>VLOOKUP(D571, Products!A:C, 3, FALSE)</f>
        <v>Sports</v>
      </c>
      <c r="M571" t="str">
        <f>VLOOKUP(C571, Customers!A:E, 5, FALSE)</f>
        <v>Retail</v>
      </c>
      <c r="N571">
        <f>VLOOKUP(C571, Customers!A:E, 3, FALSE)</f>
        <v>53</v>
      </c>
      <c r="O571" s="93" t="str">
        <f>VLOOKUP(E571, Sales_Reps!A:C, 3, FALSE)</f>
        <v>South</v>
      </c>
      <c r="P571">
        <f>VLOOKUP(D571, Products!A:E, 4, FALSE)</f>
        <v>516</v>
      </c>
      <c r="Q571">
        <f>IF(COUNTIF($A$2:A571, A571)=2, 1, 0)</f>
        <v>0</v>
      </c>
      <c r="R571">
        <f>IF(ISNA(MATCH(C571, Customers!$A:$A, 0)), 1, 0)</f>
        <v>0</v>
      </c>
      <c r="S571" s="94" t="b">
        <f>VLOOKUP(D571, Products!A:F, 6, FALSE)</f>
        <v>1</v>
      </c>
    </row>
    <row r="572" spans="1:19">
      <c r="A572" s="102" t="s">
        <v>1021</v>
      </c>
      <c r="B572" s="2">
        <v>45330</v>
      </c>
      <c r="C572" s="1" t="s">
        <v>460</v>
      </c>
      <c r="D572" s="1" t="s">
        <v>367</v>
      </c>
      <c r="E572" s="1" t="s">
        <v>215</v>
      </c>
      <c r="F572" s="83">
        <v>8</v>
      </c>
      <c r="G572" s="92">
        <v>2380</v>
      </c>
      <c r="H572" s="3">
        <v>15.3</v>
      </c>
      <c r="I572" s="3">
        <v>16126.88</v>
      </c>
      <c r="J572" s="1" t="s">
        <v>140</v>
      </c>
      <c r="K572" s="1" t="s">
        <v>88</v>
      </c>
      <c r="L572" t="str">
        <f>VLOOKUP(D572, Products!A:C, 3, FALSE)</f>
        <v>Grocery</v>
      </c>
      <c r="M572" t="str">
        <f>VLOOKUP(C572, Customers!A:E, 5, FALSE)</f>
        <v>Corporate</v>
      </c>
      <c r="N572">
        <f>VLOOKUP(C572, Customers!A:E, 3, FALSE)</f>
        <v>37</v>
      </c>
      <c r="O572" s="93" t="str">
        <f>VLOOKUP(E572, Sales_Reps!A:C, 3, FALSE)</f>
        <v>North</v>
      </c>
      <c r="P572">
        <f>VLOOKUP(D572, Products!A:E, 4, FALSE)</f>
        <v>1182</v>
      </c>
      <c r="Q572">
        <f>IF(COUNTIF($A$2:A572, A572)=2, 1, 0)</f>
        <v>0</v>
      </c>
      <c r="R572">
        <f>IF(ISNA(MATCH(C572, Customers!$A:$A, 0)), 1, 0)</f>
        <v>0</v>
      </c>
      <c r="S572" s="94" t="b">
        <f>VLOOKUP(D572, Products!A:F, 6, FALSE)</f>
        <v>1</v>
      </c>
    </row>
    <row r="573" spans="1:19">
      <c r="A573" s="102" t="s">
        <v>1022</v>
      </c>
      <c r="B573" s="2">
        <v>45633</v>
      </c>
      <c r="C573" s="1" t="s">
        <v>983</v>
      </c>
      <c r="D573" s="1" t="s">
        <v>97</v>
      </c>
      <c r="E573" s="1" t="s">
        <v>303</v>
      </c>
      <c r="F573" s="83">
        <v>10</v>
      </c>
      <c r="G573" s="92">
        <v>470</v>
      </c>
      <c r="H573" s="3">
        <v>2.1</v>
      </c>
      <c r="I573" s="3">
        <v>4601.3</v>
      </c>
      <c r="J573" s="1" t="s">
        <v>87</v>
      </c>
      <c r="K573" s="1" t="s">
        <v>117</v>
      </c>
      <c r="L573" t="str">
        <f>VLOOKUP(D573, Products!A:C, 3, FALSE)</f>
        <v>Sports</v>
      </c>
      <c r="M573" t="str">
        <f>VLOOKUP(C573, Customers!A:E, 5, FALSE)</f>
        <v>SMB</v>
      </c>
      <c r="N573">
        <f>VLOOKUP(C573, Customers!A:E, 3, FALSE)</f>
        <v>36</v>
      </c>
      <c r="O573" s="93" t="str">
        <f>VLOOKUP(E573, Sales_Reps!A:C, 3, FALSE)</f>
        <v>East</v>
      </c>
      <c r="P573">
        <f>VLOOKUP(D573, Products!A:E, 4, FALSE)</f>
        <v>302</v>
      </c>
      <c r="Q573">
        <f>IF(COUNTIF($A$2:A573, A573)=2, 1, 0)</f>
        <v>0</v>
      </c>
      <c r="R573">
        <f>IF(ISNA(MATCH(C573, Customers!$A:$A, 0)), 1, 0)</f>
        <v>0</v>
      </c>
      <c r="S573" s="94" t="b">
        <f>VLOOKUP(D573, Products!A:F, 6, FALSE)</f>
        <v>0</v>
      </c>
    </row>
    <row r="574" spans="1:19">
      <c r="A574" s="102" t="s">
        <v>1023</v>
      </c>
      <c r="B574" s="2">
        <v>45480</v>
      </c>
      <c r="C574" s="1" t="s">
        <v>451</v>
      </c>
      <c r="D574" s="1" t="s">
        <v>191</v>
      </c>
      <c r="E574" s="1" t="s">
        <v>111</v>
      </c>
      <c r="F574" s="83">
        <v>5</v>
      </c>
      <c r="G574" s="92">
        <v>5100</v>
      </c>
      <c r="H574" s="3">
        <v>9.6999999999999993</v>
      </c>
      <c r="I574" s="3">
        <v>23026.5</v>
      </c>
      <c r="J574" s="1" t="s">
        <v>87</v>
      </c>
      <c r="K574" s="1" t="s">
        <v>99</v>
      </c>
      <c r="L574" t="str">
        <f>VLOOKUP(D574, Products!A:C, 3, FALSE)</f>
        <v>Beauty</v>
      </c>
      <c r="M574" t="str">
        <f>VLOOKUP(C574, Customers!A:E, 5, FALSE)</f>
        <v>SMB</v>
      </c>
      <c r="N574">
        <f>VLOOKUP(C574, Customers!A:E, 3, FALSE)</f>
        <v>34</v>
      </c>
      <c r="O574" s="93" t="str">
        <f>VLOOKUP(E574, Sales_Reps!A:C, 3, FALSE)</f>
        <v>West</v>
      </c>
      <c r="P574">
        <f>VLOOKUP(D574, Products!A:E, 4, FALSE)</f>
        <v>2237</v>
      </c>
      <c r="Q574">
        <f>IF(COUNTIF($A$2:A574, A574)=2, 1, 0)</f>
        <v>0</v>
      </c>
      <c r="R574">
        <f>IF(ISNA(MATCH(C574, Customers!$A:$A, 0)), 1, 0)</f>
        <v>0</v>
      </c>
      <c r="S574" s="94" t="b">
        <f>VLOOKUP(D574, Products!A:F, 6, FALSE)</f>
        <v>1</v>
      </c>
    </row>
    <row r="575" spans="1:19">
      <c r="A575" s="102" t="s">
        <v>1024</v>
      </c>
      <c r="B575" s="2">
        <v>45402</v>
      </c>
      <c r="C575" s="1" t="s">
        <v>166</v>
      </c>
      <c r="D575" s="1" t="s">
        <v>380</v>
      </c>
      <c r="E575" s="1" t="s">
        <v>201</v>
      </c>
      <c r="F575" s="83">
        <v>9</v>
      </c>
      <c r="G575" s="92">
        <v>960</v>
      </c>
      <c r="H575" s="3">
        <v>17.7</v>
      </c>
      <c r="I575" s="3">
        <v>7110.72</v>
      </c>
      <c r="J575" s="1" t="s">
        <v>87</v>
      </c>
      <c r="K575" s="1" t="s">
        <v>133</v>
      </c>
      <c r="L575" t="str">
        <f>VLOOKUP(D575, Products!A:C, 3, FALSE)</f>
        <v>Beauty</v>
      </c>
      <c r="M575" t="str">
        <f>VLOOKUP(C575, Customers!A:E, 5, FALSE)</f>
        <v>Retail</v>
      </c>
      <c r="N575">
        <f>VLOOKUP(C575, Customers!A:E, 3, FALSE)</f>
        <v>32</v>
      </c>
      <c r="O575" s="93" t="str">
        <f>VLOOKUP(E575, Sales_Reps!A:C, 3, FALSE)</f>
        <v>West</v>
      </c>
      <c r="P575">
        <f>VLOOKUP(D575, Products!A:E, 4, FALSE)</f>
        <v>675</v>
      </c>
      <c r="Q575">
        <f>IF(COUNTIF($A$2:A575, A575)=2, 1, 0)</f>
        <v>0</v>
      </c>
      <c r="R575">
        <f>IF(ISNA(MATCH(C575, Customers!$A:$A, 0)), 1, 0)</f>
        <v>0</v>
      </c>
      <c r="S575" s="94" t="b">
        <f>VLOOKUP(D575, Products!A:F, 6, FALSE)</f>
        <v>1</v>
      </c>
    </row>
    <row r="576" spans="1:19">
      <c r="A576" s="102" t="s">
        <v>1025</v>
      </c>
      <c r="B576" s="2">
        <v>45478</v>
      </c>
      <c r="C576" s="1" t="s">
        <v>206</v>
      </c>
      <c r="D576" s="1" t="s">
        <v>264</v>
      </c>
      <c r="E576" s="1" t="s">
        <v>86</v>
      </c>
      <c r="F576" s="83">
        <v>2</v>
      </c>
      <c r="G576" s="92">
        <v>4070</v>
      </c>
      <c r="H576" s="3">
        <v>2.1</v>
      </c>
      <c r="I576" s="3">
        <v>7969.06</v>
      </c>
      <c r="J576" s="1" t="s">
        <v>87</v>
      </c>
      <c r="K576" s="1" t="s">
        <v>133</v>
      </c>
      <c r="L576" t="str">
        <f>VLOOKUP(D576, Products!A:C, 3, FALSE)</f>
        <v>Grocery</v>
      </c>
      <c r="M576" t="str">
        <f>VLOOKUP(C576, Customers!A:E, 5, FALSE)</f>
        <v>SMB</v>
      </c>
      <c r="N576">
        <f>VLOOKUP(C576, Customers!A:E, 3, FALSE)</f>
        <v>40</v>
      </c>
      <c r="O576" s="93" t="str">
        <f>VLOOKUP(E576, Sales_Reps!A:C, 3, FALSE)</f>
        <v>North</v>
      </c>
      <c r="P576">
        <f>VLOOKUP(D576, Products!A:E, 4, FALSE)</f>
        <v>2027</v>
      </c>
      <c r="Q576">
        <f>IF(COUNTIF($A$2:A576, A576)=2, 1, 0)</f>
        <v>0</v>
      </c>
      <c r="R576">
        <f>IF(ISNA(MATCH(C576, Customers!$A:$A, 0)), 1, 0)</f>
        <v>0</v>
      </c>
      <c r="S576" s="94" t="b">
        <f>VLOOKUP(D576, Products!A:F, 6, FALSE)</f>
        <v>1</v>
      </c>
    </row>
    <row r="577" spans="1:19">
      <c r="A577" s="102" t="s">
        <v>1026</v>
      </c>
      <c r="B577" s="2">
        <v>45358</v>
      </c>
      <c r="C577" s="1" t="s">
        <v>1027</v>
      </c>
      <c r="D577" s="1" t="s">
        <v>226</v>
      </c>
      <c r="E577" s="1" t="s">
        <v>158</v>
      </c>
      <c r="F577" s="83">
        <v>5</v>
      </c>
      <c r="G577" s="92">
        <v>3730</v>
      </c>
      <c r="H577" s="3">
        <v>16.5</v>
      </c>
      <c r="I577" s="3">
        <v>15572.75</v>
      </c>
      <c r="J577" s="1" t="s">
        <v>87</v>
      </c>
      <c r="K577" s="1" t="s">
        <v>112</v>
      </c>
      <c r="L577" t="str">
        <f>VLOOKUP(D577, Products!A:C, 3, FALSE)</f>
        <v>Home</v>
      </c>
      <c r="M577" t="str">
        <f>VLOOKUP(C577, Customers!A:E, 5, FALSE)</f>
        <v>SMB</v>
      </c>
      <c r="N577">
        <f>VLOOKUP(C577, Customers!A:E, 3, FALSE)</f>
        <v>47</v>
      </c>
      <c r="O577" s="93" t="str">
        <f>VLOOKUP(E577, Sales_Reps!A:C, 3, FALSE)</f>
        <v>East</v>
      </c>
      <c r="P577">
        <f>VLOOKUP(D577, Products!A:E, 4, FALSE)</f>
        <v>2135</v>
      </c>
      <c r="Q577">
        <f>IF(COUNTIF($A$2:A577, A577)=2, 1, 0)</f>
        <v>0</v>
      </c>
      <c r="R577">
        <f>IF(ISNA(MATCH(C577, Customers!$A:$A, 0)), 1, 0)</f>
        <v>0</v>
      </c>
      <c r="S577" s="94" t="b">
        <f>VLOOKUP(D577, Products!A:F, 6, FALSE)</f>
        <v>1</v>
      </c>
    </row>
    <row r="578" spans="1:19">
      <c r="A578" s="102" t="s">
        <v>1028</v>
      </c>
      <c r="B578" s="2">
        <v>45589</v>
      </c>
      <c r="C578" s="1" t="s">
        <v>101</v>
      </c>
      <c r="D578" s="1" t="s">
        <v>195</v>
      </c>
      <c r="E578" s="1" t="s">
        <v>285</v>
      </c>
      <c r="F578" s="83">
        <v>1</v>
      </c>
      <c r="G578" s="92">
        <v>2860</v>
      </c>
      <c r="H578" s="3">
        <v>10.4</v>
      </c>
      <c r="I578" s="3">
        <v>2562.56</v>
      </c>
      <c r="J578" s="1" t="s">
        <v>140</v>
      </c>
      <c r="K578" s="1" t="s">
        <v>99</v>
      </c>
      <c r="L578" t="str">
        <f>VLOOKUP(D578, Products!A:C, 3, FALSE)</f>
        <v>Sports</v>
      </c>
      <c r="M578" t="str">
        <f>VLOOKUP(C578, Customers!A:E, 5, FALSE)</f>
        <v>Corporate</v>
      </c>
      <c r="N578">
        <f>VLOOKUP(C578, Customers!A:E, 3, FALSE)</f>
        <v>46</v>
      </c>
      <c r="O578" s="93" t="str">
        <f>VLOOKUP(E578, Sales_Reps!A:C, 3, FALSE)</f>
        <v>East</v>
      </c>
      <c r="P578">
        <f>VLOOKUP(D578, Products!A:E, 4, FALSE)</f>
        <v>2028</v>
      </c>
      <c r="Q578">
        <f>IF(COUNTIF($A$2:A578, A578)=2, 1, 0)</f>
        <v>0</v>
      </c>
      <c r="R578">
        <f>IF(ISNA(MATCH(C578, Customers!$A:$A, 0)), 1, 0)</f>
        <v>0</v>
      </c>
      <c r="S578" s="94" t="b">
        <f>VLOOKUP(D578, Products!A:F, 6, FALSE)</f>
        <v>1</v>
      </c>
    </row>
    <row r="579" spans="1:19">
      <c r="A579" s="102" t="s">
        <v>1029</v>
      </c>
      <c r="B579" s="2">
        <v>45507</v>
      </c>
      <c r="C579" s="1" t="s">
        <v>802</v>
      </c>
      <c r="D579" s="1" t="s">
        <v>184</v>
      </c>
      <c r="E579" s="1" t="s">
        <v>303</v>
      </c>
      <c r="F579" s="83">
        <v>4</v>
      </c>
      <c r="G579" s="92">
        <v>4880</v>
      </c>
      <c r="H579" s="3">
        <v>27.5</v>
      </c>
      <c r="I579" s="3">
        <v>14152</v>
      </c>
      <c r="J579" s="1" t="s">
        <v>93</v>
      </c>
      <c r="K579" s="1" t="s">
        <v>94</v>
      </c>
      <c r="L579" t="str">
        <f>VLOOKUP(D579, Products!A:C, 3, FALSE)</f>
        <v>Beauty</v>
      </c>
      <c r="M579" t="str">
        <f>VLOOKUP(C579, Customers!A:E, 5, FALSE)</f>
        <v>SMB</v>
      </c>
      <c r="N579">
        <f>VLOOKUP(C579, Customers!A:E, 3, FALSE)</f>
        <v>39</v>
      </c>
      <c r="O579" s="93" t="str">
        <f>VLOOKUP(E579, Sales_Reps!A:C, 3, FALSE)</f>
        <v>East</v>
      </c>
      <c r="P579">
        <f>VLOOKUP(D579, Products!A:E, 4, FALSE)</f>
        <v>2768</v>
      </c>
      <c r="Q579">
        <f>IF(COUNTIF($A$2:A579, A579)=2, 1, 0)</f>
        <v>0</v>
      </c>
      <c r="R579">
        <f>IF(ISNA(MATCH(C579, Customers!$A:$A, 0)), 1, 0)</f>
        <v>0</v>
      </c>
      <c r="S579" s="94" t="b">
        <f>VLOOKUP(D579, Products!A:F, 6, FALSE)</f>
        <v>1</v>
      </c>
    </row>
    <row r="580" spans="1:19">
      <c r="A580" s="102" t="s">
        <v>1030</v>
      </c>
      <c r="B580" s="2">
        <v>45470</v>
      </c>
      <c r="C580" s="1" t="s">
        <v>823</v>
      </c>
      <c r="D580" s="1" t="s">
        <v>245</v>
      </c>
      <c r="E580" s="1" t="s">
        <v>285</v>
      </c>
      <c r="F580" s="83">
        <v>3</v>
      </c>
      <c r="G580" s="92">
        <v>2270</v>
      </c>
      <c r="H580" s="3">
        <v>6.7</v>
      </c>
      <c r="I580" s="3">
        <v>6353.73</v>
      </c>
      <c r="J580" s="1" t="s">
        <v>87</v>
      </c>
      <c r="K580" s="1" t="s">
        <v>94</v>
      </c>
      <c r="L580" t="str">
        <f>VLOOKUP(D580, Products!A:C, 3, FALSE)</f>
        <v>Grocery</v>
      </c>
      <c r="M580" t="str">
        <f>VLOOKUP(C580, Customers!A:E, 5, FALSE)</f>
        <v>Retail</v>
      </c>
      <c r="N580">
        <f>VLOOKUP(C580, Customers!A:E, 3, FALSE)</f>
        <v>32</v>
      </c>
      <c r="O580" s="93" t="str">
        <f>VLOOKUP(E580, Sales_Reps!A:C, 3, FALSE)</f>
        <v>East</v>
      </c>
      <c r="P580">
        <f>VLOOKUP(D580, Products!A:E, 4, FALSE)</f>
        <v>1412</v>
      </c>
      <c r="Q580">
        <f>IF(COUNTIF($A$2:A580, A580)=2, 1, 0)</f>
        <v>0</v>
      </c>
      <c r="R580">
        <f>IF(ISNA(MATCH(C580, Customers!$A:$A, 0)), 1, 0)</f>
        <v>0</v>
      </c>
      <c r="S580" s="94" t="b">
        <f>VLOOKUP(D580, Products!A:F, 6, FALSE)</f>
        <v>1</v>
      </c>
    </row>
    <row r="581" spans="1:19">
      <c r="A581" s="102" t="s">
        <v>1031</v>
      </c>
      <c r="B581" s="2">
        <v>45589</v>
      </c>
      <c r="C581" s="1" t="s">
        <v>557</v>
      </c>
      <c r="D581" s="1" t="s">
        <v>351</v>
      </c>
      <c r="E581" s="1" t="s">
        <v>86</v>
      </c>
      <c r="F581" s="83">
        <v>10</v>
      </c>
      <c r="G581" s="92">
        <v>4060</v>
      </c>
      <c r="H581" s="3">
        <v>3.6</v>
      </c>
      <c r="I581" s="3">
        <v>39138.400000000001</v>
      </c>
      <c r="J581" s="1" t="s">
        <v>93</v>
      </c>
      <c r="K581" s="1" t="s">
        <v>112</v>
      </c>
      <c r="L581" t="str">
        <f>VLOOKUP(D581, Products!A:C, 3, FALSE)</f>
        <v>Grocery</v>
      </c>
      <c r="M581" t="str">
        <f>VLOOKUP(C581, Customers!A:E, 5, FALSE)</f>
        <v>Retail</v>
      </c>
      <c r="N581">
        <f>VLOOKUP(C581, Customers!A:E, 3, FALSE)</f>
        <v>65</v>
      </c>
      <c r="O581" s="93" t="str">
        <f>VLOOKUP(E581, Sales_Reps!A:C, 3, FALSE)</f>
        <v>North</v>
      </c>
      <c r="P581">
        <f>VLOOKUP(D581, Products!A:E, 4, FALSE)</f>
        <v>2911</v>
      </c>
      <c r="Q581">
        <f>IF(COUNTIF($A$2:A581, A581)=2, 1, 0)</f>
        <v>0</v>
      </c>
      <c r="R581">
        <f>IF(ISNA(MATCH(C581, Customers!$A:$A, 0)), 1, 0)</f>
        <v>0</v>
      </c>
      <c r="S581" s="94" t="b">
        <f>VLOOKUP(D581, Products!A:F, 6, FALSE)</f>
        <v>1</v>
      </c>
    </row>
    <row r="582" spans="1:19">
      <c r="A582" s="102" t="s">
        <v>1032</v>
      </c>
      <c r="B582" s="2">
        <v>45433</v>
      </c>
      <c r="C582" s="1" t="s">
        <v>615</v>
      </c>
      <c r="D582" s="1" t="s">
        <v>135</v>
      </c>
      <c r="E582" s="1" t="s">
        <v>139</v>
      </c>
      <c r="F582" s="83">
        <v>8</v>
      </c>
      <c r="G582" s="92">
        <v>2640</v>
      </c>
      <c r="H582" s="3">
        <v>28.8</v>
      </c>
      <c r="I582" s="3">
        <v>15037.44</v>
      </c>
      <c r="J582" s="1" t="s">
        <v>87</v>
      </c>
      <c r="K582" s="1" t="s">
        <v>112</v>
      </c>
      <c r="L582" t="str">
        <f>VLOOKUP(D582, Products!A:C, 3, FALSE)</f>
        <v>Electronics</v>
      </c>
      <c r="M582" t="str">
        <f>VLOOKUP(C582, Customers!A:E, 5, FALSE)</f>
        <v>Retail</v>
      </c>
      <c r="N582">
        <f>VLOOKUP(C582, Customers!A:E, 3, FALSE)</f>
        <v>53</v>
      </c>
      <c r="O582" s="93" t="str">
        <f>VLOOKUP(E582, Sales_Reps!A:C, 3, FALSE)</f>
        <v>North</v>
      </c>
      <c r="P582">
        <f>VLOOKUP(D582, Products!A:E, 4, FALSE)</f>
        <v>1149</v>
      </c>
      <c r="Q582">
        <f>IF(COUNTIF($A$2:A582, A582)=2, 1, 0)</f>
        <v>0</v>
      </c>
      <c r="R582">
        <f>IF(ISNA(MATCH(C582, Customers!$A:$A, 0)), 1, 0)</f>
        <v>0</v>
      </c>
      <c r="S582" s="94" t="b">
        <f>VLOOKUP(D582, Products!A:F, 6, FALSE)</f>
        <v>1</v>
      </c>
    </row>
    <row r="583" spans="1:19">
      <c r="A583" s="102" t="s">
        <v>1033</v>
      </c>
      <c r="B583" s="2">
        <v>45477</v>
      </c>
      <c r="C583" s="1" t="s">
        <v>490</v>
      </c>
      <c r="D583" s="1" t="s">
        <v>226</v>
      </c>
      <c r="E583" s="1" t="s">
        <v>325</v>
      </c>
      <c r="F583" s="83">
        <v>6</v>
      </c>
      <c r="G583" s="92">
        <v>3730</v>
      </c>
      <c r="H583" s="3">
        <v>21.9</v>
      </c>
      <c r="I583" s="3">
        <v>17478.78</v>
      </c>
      <c r="J583" s="1" t="s">
        <v>87</v>
      </c>
      <c r="K583" s="1" t="s">
        <v>99</v>
      </c>
      <c r="L583" t="str">
        <f>VLOOKUP(D583, Products!A:C, 3, FALSE)</f>
        <v>Home</v>
      </c>
      <c r="M583" t="str">
        <f>VLOOKUP(C583, Customers!A:E, 5, FALSE)</f>
        <v>Retail</v>
      </c>
      <c r="N583">
        <f>VLOOKUP(C583, Customers!A:E, 3, FALSE)</f>
        <v>59</v>
      </c>
      <c r="O583" s="93" t="str">
        <f>VLOOKUP(E583, Sales_Reps!A:C, 3, FALSE)</f>
        <v>South</v>
      </c>
      <c r="P583">
        <f>VLOOKUP(D583, Products!A:E, 4, FALSE)</f>
        <v>2135</v>
      </c>
      <c r="Q583">
        <f>IF(COUNTIF($A$2:A583, A583)=2, 1, 0)</f>
        <v>0</v>
      </c>
      <c r="R583">
        <f>IF(ISNA(MATCH(C583, Customers!$A:$A, 0)), 1, 0)</f>
        <v>0</v>
      </c>
      <c r="S583" s="94" t="b">
        <f>VLOOKUP(D583, Products!A:F, 6, FALSE)</f>
        <v>1</v>
      </c>
    </row>
    <row r="584" spans="1:19">
      <c r="A584" s="102" t="s">
        <v>1034</v>
      </c>
      <c r="B584" s="2">
        <v>45443</v>
      </c>
      <c r="C584" s="1" t="s">
        <v>490</v>
      </c>
      <c r="D584" s="1" t="s">
        <v>364</v>
      </c>
      <c r="E584" s="1" t="s">
        <v>103</v>
      </c>
      <c r="F584" s="83">
        <v>9</v>
      </c>
      <c r="G584" s="92">
        <v>5330</v>
      </c>
      <c r="H584" s="3">
        <v>29.4</v>
      </c>
      <c r="I584" s="3">
        <v>33866.82</v>
      </c>
      <c r="J584" s="1" t="s">
        <v>140</v>
      </c>
      <c r="K584" s="1" t="s">
        <v>99</v>
      </c>
      <c r="L584" t="str">
        <f>VLOOKUP(D584, Products!A:C, 3, FALSE)</f>
        <v>Electronics</v>
      </c>
      <c r="M584" t="str">
        <f>VLOOKUP(C584, Customers!A:E, 5, FALSE)</f>
        <v>Retail</v>
      </c>
      <c r="N584">
        <f>VLOOKUP(C584, Customers!A:E, 3, FALSE)</f>
        <v>59</v>
      </c>
      <c r="O584" s="93" t="str">
        <f>VLOOKUP(E584, Sales_Reps!A:C, 3, FALSE)</f>
        <v>North</v>
      </c>
      <c r="P584">
        <f>VLOOKUP(D584, Products!A:E, 4, FALSE)</f>
        <v>2405</v>
      </c>
      <c r="Q584">
        <f>IF(COUNTIF($A$2:A584, A584)=2, 1, 0)</f>
        <v>0</v>
      </c>
      <c r="R584">
        <f>IF(ISNA(MATCH(C584, Customers!$A:$A, 0)), 1, 0)</f>
        <v>0</v>
      </c>
      <c r="S584" s="94" t="b">
        <f>VLOOKUP(D584, Products!A:F, 6, FALSE)</f>
        <v>1</v>
      </c>
    </row>
    <row r="585" spans="1:19">
      <c r="A585" s="102" t="s">
        <v>1035</v>
      </c>
      <c r="B585" s="2">
        <v>45322</v>
      </c>
      <c r="C585" s="1" t="s">
        <v>1036</v>
      </c>
      <c r="D585" s="1" t="s">
        <v>452</v>
      </c>
      <c r="E585" s="1" t="s">
        <v>343</v>
      </c>
      <c r="F585" s="83">
        <v>1</v>
      </c>
      <c r="G585" s="92">
        <v>3450</v>
      </c>
      <c r="H585" s="3">
        <v>23.3</v>
      </c>
      <c r="I585" s="3">
        <v>2646.15</v>
      </c>
      <c r="J585" s="1" t="s">
        <v>87</v>
      </c>
      <c r="K585" s="1" t="s">
        <v>112</v>
      </c>
      <c r="L585" t="str">
        <f>VLOOKUP(D585, Products!A:C, 3, FALSE)</f>
        <v>Apparel</v>
      </c>
      <c r="M585" t="str">
        <f>VLOOKUP(C585, Customers!A:E, 5, FALSE)</f>
        <v>Retail</v>
      </c>
      <c r="N585">
        <f>VLOOKUP(C585, Customers!A:E, 3, FALSE)</f>
        <v>33</v>
      </c>
      <c r="O585" s="93" t="str">
        <f>VLOOKUP(E585, Sales_Reps!A:C, 3, FALSE)</f>
        <v>West</v>
      </c>
      <c r="P585">
        <f>VLOOKUP(D585, Products!A:E, 4, FALSE)</f>
        <v>1748</v>
      </c>
      <c r="Q585">
        <f>IF(COUNTIF($A$2:A585, A585)=2, 1, 0)</f>
        <v>0</v>
      </c>
      <c r="R585">
        <f>IF(ISNA(MATCH(C585, Customers!$A:$A, 0)), 1, 0)</f>
        <v>0</v>
      </c>
      <c r="S585" s="94" t="b">
        <f>VLOOKUP(D585, Products!A:F, 6, FALSE)</f>
        <v>1</v>
      </c>
    </row>
    <row r="586" spans="1:19">
      <c r="A586" s="102" t="s">
        <v>1037</v>
      </c>
      <c r="B586" s="2">
        <v>45544</v>
      </c>
      <c r="C586" s="1" t="s">
        <v>1038</v>
      </c>
      <c r="D586" s="1" t="s">
        <v>241</v>
      </c>
      <c r="E586" s="1" t="s">
        <v>238</v>
      </c>
      <c r="F586" s="83">
        <v>3</v>
      </c>
      <c r="G586" s="92">
        <v>6080</v>
      </c>
      <c r="H586" s="3">
        <v>14.5</v>
      </c>
      <c r="I586" s="3">
        <v>15595.2</v>
      </c>
      <c r="J586" s="1" t="s">
        <v>87</v>
      </c>
      <c r="K586" s="1" t="s">
        <v>117</v>
      </c>
      <c r="L586" t="str">
        <f>VLOOKUP(D586, Products!A:C, 3, FALSE)</f>
        <v>Beauty</v>
      </c>
      <c r="M586" t="str">
        <f>VLOOKUP(C586, Customers!A:E, 5, FALSE)</f>
        <v>Corporate</v>
      </c>
      <c r="N586">
        <f>VLOOKUP(C586, Customers!A:E, 3, FALSE)</f>
        <v>55</v>
      </c>
      <c r="O586" s="93" t="str">
        <f>VLOOKUP(E586, Sales_Reps!A:C, 3, FALSE)</f>
        <v>East</v>
      </c>
      <c r="P586">
        <f>VLOOKUP(D586, Products!A:E, 4, FALSE)</f>
        <v>2617</v>
      </c>
      <c r="Q586">
        <f>IF(COUNTIF($A$2:A586, A586)=2, 1, 0)</f>
        <v>0</v>
      </c>
      <c r="R586">
        <f>IF(ISNA(MATCH(C586, Customers!$A:$A, 0)), 1, 0)</f>
        <v>0</v>
      </c>
      <c r="S586" s="94" t="b">
        <f>VLOOKUP(D586, Products!A:F, 6, FALSE)</f>
        <v>1</v>
      </c>
    </row>
    <row r="587" spans="1:19">
      <c r="A587" s="102" t="s">
        <v>1039</v>
      </c>
      <c r="B587" s="2">
        <v>45609</v>
      </c>
      <c r="C587" s="1" t="s">
        <v>310</v>
      </c>
      <c r="D587" s="1" t="s">
        <v>226</v>
      </c>
      <c r="E587" s="1" t="s">
        <v>297</v>
      </c>
      <c r="F587" s="83">
        <v>4</v>
      </c>
      <c r="G587" s="92">
        <v>3730</v>
      </c>
      <c r="H587" s="3">
        <v>3.4</v>
      </c>
      <c r="I587" s="3">
        <v>14412.72</v>
      </c>
      <c r="J587" s="1" t="s">
        <v>140</v>
      </c>
      <c r="K587" s="1" t="s">
        <v>117</v>
      </c>
      <c r="L587" t="str">
        <f>VLOOKUP(D587, Products!A:C, 3, FALSE)</f>
        <v>Home</v>
      </c>
      <c r="M587" t="str">
        <f>VLOOKUP(C587, Customers!A:E, 5, FALSE)</f>
        <v>Retail</v>
      </c>
      <c r="N587">
        <f>VLOOKUP(C587, Customers!A:E, 3, FALSE)</f>
        <v>42</v>
      </c>
      <c r="O587" s="93" t="str">
        <f>VLOOKUP(E587, Sales_Reps!A:C, 3, FALSE)</f>
        <v>North</v>
      </c>
      <c r="P587">
        <f>VLOOKUP(D587, Products!A:E, 4, FALSE)</f>
        <v>2135</v>
      </c>
      <c r="Q587">
        <f>IF(COUNTIF($A$2:A587, A587)=2, 1, 0)</f>
        <v>0</v>
      </c>
      <c r="R587">
        <f>IF(ISNA(MATCH(C587, Customers!$A:$A, 0)), 1, 0)</f>
        <v>0</v>
      </c>
      <c r="S587" s="94" t="b">
        <f>VLOOKUP(D587, Products!A:F, 6, FALSE)</f>
        <v>1</v>
      </c>
    </row>
    <row r="588" spans="1:19">
      <c r="A588" s="102" t="s">
        <v>1040</v>
      </c>
      <c r="B588" s="2">
        <v>45491</v>
      </c>
      <c r="C588" s="1" t="s">
        <v>301</v>
      </c>
      <c r="D588" s="1" t="s">
        <v>279</v>
      </c>
      <c r="E588" s="1" t="s">
        <v>285</v>
      </c>
      <c r="F588" s="83">
        <v>10</v>
      </c>
      <c r="G588" s="92">
        <v>2660</v>
      </c>
      <c r="H588" s="3">
        <v>2.1</v>
      </c>
      <c r="I588" s="3">
        <v>26041.4</v>
      </c>
      <c r="J588" s="1" t="s">
        <v>87</v>
      </c>
      <c r="K588" s="1" t="s">
        <v>94</v>
      </c>
      <c r="L588" t="str">
        <f>VLOOKUP(D588, Products!A:C, 3, FALSE)</f>
        <v>Electronics</v>
      </c>
      <c r="M588" t="str">
        <f>VLOOKUP(C588, Customers!A:E, 5, FALSE)</f>
        <v>Retail</v>
      </c>
      <c r="N588">
        <f>VLOOKUP(C588, Customers!A:E, 3, FALSE)</f>
        <v>41</v>
      </c>
      <c r="O588" s="93" t="str">
        <f>VLOOKUP(E588, Sales_Reps!A:C, 3, FALSE)</f>
        <v>East</v>
      </c>
      <c r="P588">
        <f>VLOOKUP(D588, Products!A:E, 4, FALSE)</f>
        <v>1259</v>
      </c>
      <c r="Q588">
        <f>IF(COUNTIF($A$2:A588, A588)=2, 1, 0)</f>
        <v>0</v>
      </c>
      <c r="R588">
        <f>IF(ISNA(MATCH(C588, Customers!$A:$A, 0)), 1, 0)</f>
        <v>0</v>
      </c>
      <c r="S588" s="94" t="b">
        <f>VLOOKUP(D588, Products!A:F, 6, FALSE)</f>
        <v>0</v>
      </c>
    </row>
    <row r="589" spans="1:19">
      <c r="A589" s="102" t="s">
        <v>1041</v>
      </c>
      <c r="B589" s="2">
        <v>45373</v>
      </c>
      <c r="C589" s="1" t="s">
        <v>175</v>
      </c>
      <c r="D589" s="1" t="s">
        <v>338</v>
      </c>
      <c r="E589" s="1" t="s">
        <v>158</v>
      </c>
      <c r="F589" s="83">
        <v>7</v>
      </c>
      <c r="G589" s="92">
        <v>2210</v>
      </c>
      <c r="H589" s="3">
        <v>17.100000000000001</v>
      </c>
      <c r="I589" s="3">
        <v>12824.63</v>
      </c>
      <c r="J589" s="1" t="s">
        <v>87</v>
      </c>
      <c r="K589" s="1" t="s">
        <v>133</v>
      </c>
      <c r="L589" t="str">
        <f>VLOOKUP(D589, Products!A:C, 3, FALSE)</f>
        <v>Grocery</v>
      </c>
      <c r="M589" t="str">
        <f>VLOOKUP(C589, Customers!A:E, 5, FALSE)</f>
        <v>SMB</v>
      </c>
      <c r="N589">
        <f>VLOOKUP(C589, Customers!A:E, 3, FALSE)</f>
        <v>40</v>
      </c>
      <c r="O589" s="93" t="str">
        <f>VLOOKUP(E589, Sales_Reps!A:C, 3, FALSE)</f>
        <v>East</v>
      </c>
      <c r="P589">
        <f>VLOOKUP(D589, Products!A:E, 4, FALSE)</f>
        <v>1010</v>
      </c>
      <c r="Q589">
        <f>IF(COUNTIF($A$2:A589, A589)=2, 1, 0)</f>
        <v>0</v>
      </c>
      <c r="R589">
        <f>IF(ISNA(MATCH(C589, Customers!$A:$A, 0)), 1, 0)</f>
        <v>0</v>
      </c>
      <c r="S589" s="94" t="b">
        <f>VLOOKUP(D589, Products!A:F, 6, FALSE)</f>
        <v>1</v>
      </c>
    </row>
    <row r="590" spans="1:19">
      <c r="A590" s="102" t="s">
        <v>1042</v>
      </c>
      <c r="B590" s="2">
        <v>45607</v>
      </c>
      <c r="C590" s="1" t="s">
        <v>194</v>
      </c>
      <c r="D590" s="1" t="s">
        <v>461</v>
      </c>
      <c r="E590" s="1" t="s">
        <v>252</v>
      </c>
      <c r="F590" s="83">
        <v>6</v>
      </c>
      <c r="G590" s="92">
        <v>3780</v>
      </c>
      <c r="H590" s="3">
        <v>12.7</v>
      </c>
      <c r="I590" s="3">
        <v>19799.64</v>
      </c>
      <c r="J590" s="1" t="s">
        <v>87</v>
      </c>
      <c r="K590" s="1" t="s">
        <v>88</v>
      </c>
      <c r="L590" t="str">
        <f>VLOOKUP(D590, Products!A:C, 3, FALSE)</f>
        <v>Sports</v>
      </c>
      <c r="M590" t="str">
        <f>VLOOKUP(C590, Customers!A:E, 5, FALSE)</f>
        <v>SMB</v>
      </c>
      <c r="N590">
        <f>VLOOKUP(C590, Customers!A:E, 3, FALSE)</f>
        <v>44</v>
      </c>
      <c r="O590" s="93" t="str">
        <f>VLOOKUP(E590, Sales_Reps!A:C, 3, FALSE)</f>
        <v>South</v>
      </c>
      <c r="P590">
        <f>VLOOKUP(D590, Products!A:E, 4, FALSE)</f>
        <v>1860</v>
      </c>
      <c r="Q590">
        <f>IF(COUNTIF($A$2:A590, A590)=2, 1, 0)</f>
        <v>0</v>
      </c>
      <c r="R590">
        <f>IF(ISNA(MATCH(C590, Customers!$A:$A, 0)), 1, 0)</f>
        <v>0</v>
      </c>
      <c r="S590" s="94" t="b">
        <f>VLOOKUP(D590, Products!A:F, 6, FALSE)</f>
        <v>1</v>
      </c>
    </row>
    <row r="591" spans="1:19">
      <c r="A591" s="102" t="s">
        <v>1043</v>
      </c>
      <c r="B591" s="2">
        <v>45412</v>
      </c>
      <c r="C591" s="1" t="s">
        <v>963</v>
      </c>
      <c r="D591" s="1" t="s">
        <v>124</v>
      </c>
      <c r="E591" s="1" t="s">
        <v>229</v>
      </c>
      <c r="F591" s="83">
        <v>4</v>
      </c>
      <c r="G591" s="92">
        <v>5490</v>
      </c>
      <c r="H591" s="3">
        <v>26.9</v>
      </c>
      <c r="I591" s="3">
        <v>16052.76</v>
      </c>
      <c r="J591" s="1" t="s">
        <v>87</v>
      </c>
      <c r="K591" s="1" t="s">
        <v>94</v>
      </c>
      <c r="L591" t="str">
        <f>VLOOKUP(D591, Products!A:C, 3, FALSE)</f>
        <v>Home</v>
      </c>
      <c r="M591" t="str">
        <f>VLOOKUP(C591, Customers!A:E, 5, FALSE)</f>
        <v>Retail</v>
      </c>
      <c r="N591">
        <f>VLOOKUP(C591, Customers!A:E, 3, FALSE)</f>
        <v>31</v>
      </c>
      <c r="O591" s="93" t="str">
        <f>VLOOKUP(E591, Sales_Reps!A:C, 3, FALSE)</f>
        <v>West</v>
      </c>
      <c r="P591">
        <f>VLOOKUP(D591, Products!A:E, 4, FALSE)</f>
        <v>2549</v>
      </c>
      <c r="Q591">
        <f>IF(COUNTIF($A$2:A591, A591)=2, 1, 0)</f>
        <v>0</v>
      </c>
      <c r="R591">
        <f>IF(ISNA(MATCH(C591, Customers!$A:$A, 0)), 1, 0)</f>
        <v>0</v>
      </c>
      <c r="S591" s="94" t="b">
        <f>VLOOKUP(D591, Products!A:F, 6, FALSE)</f>
        <v>1</v>
      </c>
    </row>
    <row r="592" spans="1:19">
      <c r="A592" s="102" t="s">
        <v>1044</v>
      </c>
      <c r="B592" s="2">
        <v>45351</v>
      </c>
      <c r="C592" s="1" t="s">
        <v>802</v>
      </c>
      <c r="D592" s="1" t="s">
        <v>279</v>
      </c>
      <c r="E592" s="1" t="s">
        <v>252</v>
      </c>
      <c r="F592" s="83">
        <v>9</v>
      </c>
      <c r="G592" s="92">
        <v>2660</v>
      </c>
      <c r="H592" s="3">
        <v>21.9</v>
      </c>
      <c r="I592" s="3">
        <v>18697.14</v>
      </c>
      <c r="J592" s="1" t="s">
        <v>87</v>
      </c>
      <c r="K592" s="1" t="s">
        <v>94</v>
      </c>
      <c r="L592" t="str">
        <f>VLOOKUP(D592, Products!A:C, 3, FALSE)</f>
        <v>Electronics</v>
      </c>
      <c r="M592" t="str">
        <f>VLOOKUP(C592, Customers!A:E, 5, FALSE)</f>
        <v>SMB</v>
      </c>
      <c r="N592">
        <f>VLOOKUP(C592, Customers!A:E, 3, FALSE)</f>
        <v>39</v>
      </c>
      <c r="O592" s="93" t="str">
        <f>VLOOKUP(E592, Sales_Reps!A:C, 3, FALSE)</f>
        <v>South</v>
      </c>
      <c r="P592">
        <f>VLOOKUP(D592, Products!A:E, 4, FALSE)</f>
        <v>1259</v>
      </c>
      <c r="Q592">
        <f>IF(COUNTIF($A$2:A592, A592)=2, 1, 0)</f>
        <v>0</v>
      </c>
      <c r="R592">
        <f>IF(ISNA(MATCH(C592, Customers!$A:$A, 0)), 1, 0)</f>
        <v>0</v>
      </c>
      <c r="S592" s="94" t="b">
        <f>VLOOKUP(D592, Products!A:F, 6, FALSE)</f>
        <v>0</v>
      </c>
    </row>
    <row r="593" spans="1:19">
      <c r="A593" s="102" t="s">
        <v>1045</v>
      </c>
      <c r="B593" s="2">
        <v>45572</v>
      </c>
      <c r="C593" s="1" t="s">
        <v>403</v>
      </c>
      <c r="D593" s="1" t="s">
        <v>515</v>
      </c>
      <c r="E593" s="1" t="s">
        <v>128</v>
      </c>
      <c r="F593" s="83">
        <v>9</v>
      </c>
      <c r="G593" s="92">
        <v>6940</v>
      </c>
      <c r="H593" s="3">
        <v>8</v>
      </c>
      <c r="I593" s="3">
        <v>57463.199999999997</v>
      </c>
      <c r="J593" s="1" t="s">
        <v>87</v>
      </c>
      <c r="K593" s="1" t="s">
        <v>117</v>
      </c>
      <c r="L593" t="str">
        <f>VLOOKUP(D593, Products!A:C, 3, FALSE)</f>
        <v>Sports</v>
      </c>
      <c r="M593" t="str">
        <f>VLOOKUP(C593, Customers!A:E, 5, FALSE)</f>
        <v>Retail</v>
      </c>
      <c r="N593">
        <f>VLOOKUP(C593, Customers!A:E, 3, FALSE)</f>
        <v>59</v>
      </c>
      <c r="O593" s="93" t="str">
        <f>VLOOKUP(E593, Sales_Reps!A:C, 3, FALSE)</f>
        <v>West</v>
      </c>
      <c r="P593">
        <f>VLOOKUP(D593, Products!A:E, 4, FALSE)</f>
        <v>2827</v>
      </c>
      <c r="Q593">
        <f>IF(COUNTIF($A$2:A593, A593)=2, 1, 0)</f>
        <v>0</v>
      </c>
      <c r="R593">
        <f>IF(ISNA(MATCH(C593, Customers!$A:$A, 0)), 1, 0)</f>
        <v>0</v>
      </c>
      <c r="S593" s="94" t="b">
        <f>VLOOKUP(D593, Products!A:F, 6, FALSE)</f>
        <v>1</v>
      </c>
    </row>
    <row r="594" spans="1:19">
      <c r="A594" s="102" t="s">
        <v>733</v>
      </c>
      <c r="B594" s="2">
        <v>45402</v>
      </c>
      <c r="C594" s="1" t="s">
        <v>197</v>
      </c>
      <c r="D594" s="1" t="s">
        <v>248</v>
      </c>
      <c r="E594" s="1" t="s">
        <v>103</v>
      </c>
      <c r="F594" s="83">
        <v>1</v>
      </c>
      <c r="G594" s="92">
        <v>3870</v>
      </c>
      <c r="H594" s="3">
        <v>22.6</v>
      </c>
      <c r="I594" s="3">
        <v>2995.38</v>
      </c>
      <c r="J594" s="1" t="s">
        <v>87</v>
      </c>
      <c r="K594" s="1" t="s">
        <v>88</v>
      </c>
      <c r="L594" t="str">
        <f>VLOOKUP(D594, Products!A:C, 3, FALSE)</f>
        <v>Electronics</v>
      </c>
      <c r="M594" t="str">
        <f>VLOOKUP(C594, Customers!A:E, 5, FALSE)</f>
        <v>Corporate</v>
      </c>
      <c r="N594">
        <f>VLOOKUP(C594, Customers!A:E, 3, FALSE)</f>
        <v>47</v>
      </c>
      <c r="O594" s="93" t="str">
        <f>VLOOKUP(E594, Sales_Reps!A:C, 3, FALSE)</f>
        <v>North</v>
      </c>
      <c r="P594">
        <f>VLOOKUP(D594, Products!A:E, 4, FALSE)</f>
        <v>1559</v>
      </c>
      <c r="Q594">
        <f>IF(COUNTIF($A$2:A594, A594)=2, 1, 0)</f>
        <v>1</v>
      </c>
      <c r="R594">
        <f>IF(ISNA(MATCH(C594, Customers!$A:$A, 0)), 1, 0)</f>
        <v>0</v>
      </c>
      <c r="S594" s="94" t="b">
        <f>VLOOKUP(D594, Products!A:F, 6, FALSE)</f>
        <v>1</v>
      </c>
    </row>
    <row r="595" spans="1:19">
      <c r="A595" s="102" t="s">
        <v>1046</v>
      </c>
      <c r="B595" s="2">
        <v>45503</v>
      </c>
      <c r="C595" s="1" t="s">
        <v>1047</v>
      </c>
      <c r="D595" s="1" t="s">
        <v>502</v>
      </c>
      <c r="E595" s="1" t="s">
        <v>107</v>
      </c>
      <c r="F595" s="83">
        <v>3</v>
      </c>
      <c r="G595" s="92">
        <v>1090</v>
      </c>
      <c r="H595" s="3">
        <v>28.1</v>
      </c>
      <c r="I595" s="3">
        <v>2351.13</v>
      </c>
      <c r="J595" s="1" t="s">
        <v>87</v>
      </c>
      <c r="K595" s="1" t="s">
        <v>133</v>
      </c>
      <c r="L595" t="str">
        <f>VLOOKUP(D595, Products!A:C, 3, FALSE)</f>
        <v>Home</v>
      </c>
      <c r="M595" t="str">
        <f>VLOOKUP(C595, Customers!A:E, 5, FALSE)</f>
        <v>Retail</v>
      </c>
      <c r="N595">
        <f>VLOOKUP(C595, Customers!A:E, 3, FALSE)</f>
        <v>41</v>
      </c>
      <c r="O595" s="93" t="str">
        <f>VLOOKUP(E595, Sales_Reps!A:C, 3, FALSE)</f>
        <v>North</v>
      </c>
      <c r="P595">
        <f>VLOOKUP(D595, Products!A:E, 4, FALSE)</f>
        <v>464</v>
      </c>
      <c r="Q595">
        <f>IF(COUNTIF($A$2:A595, A595)=2, 1, 0)</f>
        <v>0</v>
      </c>
      <c r="R595">
        <f>IF(ISNA(MATCH(C595, Customers!$A:$A, 0)), 1, 0)</f>
        <v>0</v>
      </c>
      <c r="S595" s="94" t="b">
        <f>VLOOKUP(D595, Products!A:F, 6, FALSE)</f>
        <v>1</v>
      </c>
    </row>
    <row r="596" spans="1:19">
      <c r="A596" s="102" t="s">
        <v>1048</v>
      </c>
      <c r="B596" s="2">
        <v>45524</v>
      </c>
      <c r="C596" s="1" t="s">
        <v>465</v>
      </c>
      <c r="D596" s="1" t="s">
        <v>138</v>
      </c>
      <c r="E596" s="1" t="s">
        <v>215</v>
      </c>
      <c r="F596" s="83">
        <v>2</v>
      </c>
      <c r="G596" s="92">
        <v>2600</v>
      </c>
      <c r="H596" s="3">
        <v>5.6</v>
      </c>
      <c r="I596" s="3">
        <v>4908.8</v>
      </c>
      <c r="J596" s="1" t="s">
        <v>87</v>
      </c>
      <c r="K596" s="1" t="s">
        <v>112</v>
      </c>
      <c r="L596" t="str">
        <f>VLOOKUP(D596, Products!A:C, 3, FALSE)</f>
        <v>Electronics</v>
      </c>
      <c r="M596" t="str">
        <f>VLOOKUP(C596, Customers!A:E, 5, FALSE)</f>
        <v>Retail</v>
      </c>
      <c r="N596">
        <f>VLOOKUP(C596, Customers!A:E, 3, FALSE)</f>
        <v>61</v>
      </c>
      <c r="O596" s="93" t="str">
        <f>VLOOKUP(E596, Sales_Reps!A:C, 3, FALSE)</f>
        <v>North</v>
      </c>
      <c r="P596">
        <f>VLOOKUP(D596, Products!A:E, 4, FALSE)</f>
        <v>1052</v>
      </c>
      <c r="Q596">
        <f>IF(COUNTIF($A$2:A596, A596)=2, 1, 0)</f>
        <v>0</v>
      </c>
      <c r="R596">
        <f>IF(ISNA(MATCH(C596, Customers!$A:$A, 0)), 1, 0)</f>
        <v>0</v>
      </c>
      <c r="S596" s="94" t="b">
        <f>VLOOKUP(D596, Products!A:F, 6, FALSE)</f>
        <v>1</v>
      </c>
    </row>
    <row r="597" spans="1:19">
      <c r="A597" s="102" t="s">
        <v>1049</v>
      </c>
      <c r="B597" s="2">
        <v>45425</v>
      </c>
      <c r="C597" s="1" t="s">
        <v>856</v>
      </c>
      <c r="D597" s="1" t="s">
        <v>115</v>
      </c>
      <c r="E597" s="1" t="s">
        <v>192</v>
      </c>
      <c r="F597" s="83">
        <v>4</v>
      </c>
      <c r="G597" s="92">
        <v>960</v>
      </c>
      <c r="H597" s="3">
        <v>21.7</v>
      </c>
      <c r="I597" s="3">
        <v>3006.72</v>
      </c>
      <c r="J597" s="1" t="s">
        <v>87</v>
      </c>
      <c r="K597" s="1" t="s">
        <v>88</v>
      </c>
      <c r="L597" t="str">
        <f>VLOOKUP(D597, Products!A:C, 3, FALSE)</f>
        <v>Sports</v>
      </c>
      <c r="M597" t="str">
        <f>VLOOKUP(C597, Customers!A:E, 5, FALSE)</f>
        <v>SMB</v>
      </c>
      <c r="N597">
        <f>VLOOKUP(C597, Customers!A:E, 3, FALSE)</f>
        <v>59</v>
      </c>
      <c r="O597" s="93" t="str">
        <f>VLOOKUP(E597, Sales_Reps!A:C, 3, FALSE)</f>
        <v>East</v>
      </c>
      <c r="P597">
        <f>VLOOKUP(D597, Products!A:E, 4, FALSE)</f>
        <v>705</v>
      </c>
      <c r="Q597">
        <f>IF(COUNTIF($A$2:A597, A597)=2, 1, 0)</f>
        <v>0</v>
      </c>
      <c r="R597">
        <f>IF(ISNA(MATCH(C597, Customers!$A:$A, 0)), 1, 0)</f>
        <v>0</v>
      </c>
      <c r="S597" s="94" t="b">
        <f>VLOOKUP(D597, Products!A:F, 6, FALSE)</f>
        <v>1</v>
      </c>
    </row>
    <row r="598" spans="1:19">
      <c r="A598" s="102" t="s">
        <v>1050</v>
      </c>
      <c r="B598" s="2">
        <v>45533</v>
      </c>
      <c r="C598" s="1" t="s">
        <v>1051</v>
      </c>
      <c r="D598" s="1" t="s">
        <v>110</v>
      </c>
      <c r="E598" s="1" t="s">
        <v>201</v>
      </c>
      <c r="F598" s="83">
        <v>6</v>
      </c>
      <c r="G598" s="92">
        <v>370</v>
      </c>
      <c r="H598" s="3">
        <v>22.5</v>
      </c>
      <c r="I598" s="3">
        <v>1720.5</v>
      </c>
      <c r="J598" s="1" t="s">
        <v>87</v>
      </c>
      <c r="K598" s="1" t="s">
        <v>112</v>
      </c>
      <c r="L598" t="str">
        <f>VLOOKUP(D598, Products!A:C, 3, FALSE)</f>
        <v>Home</v>
      </c>
      <c r="M598" t="str">
        <f>VLOOKUP(C598, Customers!A:E, 5, FALSE)</f>
        <v>Retail</v>
      </c>
      <c r="N598">
        <f>VLOOKUP(C598, Customers!A:E, 3, FALSE)</f>
        <v>54</v>
      </c>
      <c r="O598" s="93" t="str">
        <f>VLOOKUP(E598, Sales_Reps!A:C, 3, FALSE)</f>
        <v>West</v>
      </c>
      <c r="P598">
        <f>VLOOKUP(D598, Products!A:E, 4, FALSE)</f>
        <v>288</v>
      </c>
      <c r="Q598">
        <f>IF(COUNTIF($A$2:A598, A598)=2, 1, 0)</f>
        <v>0</v>
      </c>
      <c r="R598">
        <f>IF(ISNA(MATCH(C598, Customers!$A:$A, 0)), 1, 0)</f>
        <v>0</v>
      </c>
      <c r="S598" s="94" t="b">
        <f>VLOOKUP(D598, Products!A:F, 6, FALSE)</f>
        <v>1</v>
      </c>
    </row>
    <row r="599" spans="1:19">
      <c r="A599" s="102" t="s">
        <v>1052</v>
      </c>
      <c r="B599" s="2">
        <v>45649</v>
      </c>
      <c r="C599" s="1" t="s">
        <v>250</v>
      </c>
      <c r="D599" s="1" t="s">
        <v>443</v>
      </c>
      <c r="E599" s="1" t="s">
        <v>103</v>
      </c>
      <c r="F599" s="83">
        <v>5</v>
      </c>
      <c r="G599" s="92">
        <v>5080</v>
      </c>
      <c r="H599" s="3">
        <v>23.8</v>
      </c>
      <c r="I599" s="3">
        <v>19354.8</v>
      </c>
      <c r="J599" s="1" t="s">
        <v>87</v>
      </c>
      <c r="K599" s="1" t="s">
        <v>117</v>
      </c>
      <c r="L599" t="str">
        <f>VLOOKUP(D599, Products!A:C, 3, FALSE)</f>
        <v>Home</v>
      </c>
      <c r="M599" t="str">
        <f>VLOOKUP(C599, Customers!A:E, 5, FALSE)</f>
        <v>SMB</v>
      </c>
      <c r="N599">
        <f>VLOOKUP(C599, Customers!A:E, 3, FALSE)</f>
        <v>34</v>
      </c>
      <c r="O599" s="93" t="str">
        <f>VLOOKUP(E599, Sales_Reps!A:C, 3, FALSE)</f>
        <v>North</v>
      </c>
      <c r="P599">
        <f>VLOOKUP(D599, Products!A:E, 4, FALSE)</f>
        <v>2459</v>
      </c>
      <c r="Q599">
        <f>IF(COUNTIF($A$2:A599, A599)=2, 1, 0)</f>
        <v>0</v>
      </c>
      <c r="R599">
        <f>IF(ISNA(MATCH(C599, Customers!$A:$A, 0)), 1, 0)</f>
        <v>0</v>
      </c>
      <c r="S599" s="94" t="b">
        <f>VLOOKUP(D599, Products!A:F, 6, FALSE)</f>
        <v>1</v>
      </c>
    </row>
    <row r="600" spans="1:19">
      <c r="A600" s="102" t="s">
        <v>1053</v>
      </c>
      <c r="B600" s="2">
        <v>45375</v>
      </c>
      <c r="C600" s="1" t="s">
        <v>559</v>
      </c>
      <c r="D600" s="1" t="s">
        <v>259</v>
      </c>
      <c r="E600" s="1" t="s">
        <v>148</v>
      </c>
      <c r="F600" s="83">
        <v>5</v>
      </c>
      <c r="G600" s="92">
        <v>1540</v>
      </c>
      <c r="H600" s="3">
        <v>6.1</v>
      </c>
      <c r="I600" s="3">
        <v>7230.3</v>
      </c>
      <c r="J600" s="1" t="s">
        <v>87</v>
      </c>
      <c r="K600" s="1" t="s">
        <v>88</v>
      </c>
      <c r="L600" t="str">
        <f>VLOOKUP(D600, Products!A:C, 3, FALSE)</f>
        <v>Beauty</v>
      </c>
      <c r="M600" t="str">
        <f>VLOOKUP(C600, Customers!A:E, 5, FALSE)</f>
        <v>Retail</v>
      </c>
      <c r="N600">
        <f>VLOOKUP(C600, Customers!A:E, 3, FALSE)</f>
        <v>62</v>
      </c>
      <c r="O600" s="93" t="str">
        <f>VLOOKUP(E600, Sales_Reps!A:C, 3, FALSE)</f>
        <v>North</v>
      </c>
      <c r="P600">
        <f>VLOOKUP(D600, Products!A:E, 4, FALSE)</f>
        <v>647</v>
      </c>
      <c r="Q600">
        <f>IF(COUNTIF($A$2:A600, A600)=2, 1, 0)</f>
        <v>0</v>
      </c>
      <c r="R600">
        <f>IF(ISNA(MATCH(C600, Customers!$A:$A, 0)), 1, 0)</f>
        <v>0</v>
      </c>
      <c r="S600" s="94" t="b">
        <f>VLOOKUP(D600, Products!A:F, 6, FALSE)</f>
        <v>0</v>
      </c>
    </row>
    <row r="601" spans="1:19">
      <c r="A601" s="102" t="s">
        <v>1054</v>
      </c>
      <c r="B601" s="2">
        <v>45342</v>
      </c>
      <c r="C601" s="1" t="s">
        <v>1055</v>
      </c>
      <c r="D601" s="1" t="s">
        <v>131</v>
      </c>
      <c r="E601" s="1" t="s">
        <v>188</v>
      </c>
      <c r="F601" s="83">
        <v>7</v>
      </c>
      <c r="G601" s="92">
        <v>2270</v>
      </c>
      <c r="H601" s="3">
        <v>0.4</v>
      </c>
      <c r="I601" s="3">
        <v>15826.44</v>
      </c>
      <c r="J601" s="1" t="s">
        <v>87</v>
      </c>
      <c r="K601" s="1" t="s">
        <v>112</v>
      </c>
      <c r="L601" t="str">
        <f>VLOOKUP(D601, Products!A:C, 3, FALSE)</f>
        <v>Grocery</v>
      </c>
      <c r="M601" t="str">
        <f>VLOOKUP(C601, Customers!A:E, 5, FALSE)</f>
        <v>Retail</v>
      </c>
      <c r="N601">
        <f>VLOOKUP(C601, Customers!A:E, 3, FALSE)</f>
        <v>37</v>
      </c>
      <c r="O601" s="93" t="str">
        <f>VLOOKUP(E601, Sales_Reps!A:C, 3, FALSE)</f>
        <v>South</v>
      </c>
      <c r="P601">
        <f>VLOOKUP(D601, Products!A:E, 4, FALSE)</f>
        <v>1203</v>
      </c>
      <c r="Q601">
        <f>IF(COUNTIF($A$2:A601, A601)=2, 1, 0)</f>
        <v>0</v>
      </c>
      <c r="R601">
        <f>IF(ISNA(MATCH(C601, Customers!$A:$A, 0)), 1, 0)</f>
        <v>0</v>
      </c>
      <c r="S601" s="94" t="b">
        <f>VLOOKUP(D601, Products!A:F, 6, FALSE)</f>
        <v>1</v>
      </c>
    </row>
    <row r="602" spans="1:19">
      <c r="A602" s="102" t="s">
        <v>1056</v>
      </c>
      <c r="B602" s="2">
        <v>45441</v>
      </c>
      <c r="C602" s="1" t="s">
        <v>828</v>
      </c>
      <c r="D602" s="1" t="s">
        <v>115</v>
      </c>
      <c r="E602" s="1" t="s">
        <v>188</v>
      </c>
      <c r="F602" s="83">
        <v>2</v>
      </c>
      <c r="G602" s="92">
        <v>960</v>
      </c>
      <c r="H602" s="3">
        <v>3.7</v>
      </c>
      <c r="I602" s="3">
        <v>1848.96</v>
      </c>
      <c r="J602" s="1" t="s">
        <v>87</v>
      </c>
      <c r="K602" s="1" t="s">
        <v>133</v>
      </c>
      <c r="L602" t="str">
        <f>VLOOKUP(D602, Products!A:C, 3, FALSE)</f>
        <v>Sports</v>
      </c>
      <c r="M602" t="str">
        <f>VLOOKUP(C602, Customers!A:E, 5, FALSE)</f>
        <v>Retail</v>
      </c>
      <c r="N602">
        <f>VLOOKUP(C602, Customers!A:E, 3, FALSE)</f>
        <v>52</v>
      </c>
      <c r="O602" s="93" t="str">
        <f>VLOOKUP(E602, Sales_Reps!A:C, 3, FALSE)</f>
        <v>South</v>
      </c>
      <c r="P602">
        <f>VLOOKUP(D602, Products!A:E, 4, FALSE)</f>
        <v>705</v>
      </c>
      <c r="Q602">
        <f>IF(COUNTIF($A$2:A602, A602)=2, 1, 0)</f>
        <v>0</v>
      </c>
      <c r="R602">
        <f>IF(ISNA(MATCH(C602, Customers!$A:$A, 0)), 1, 0)</f>
        <v>0</v>
      </c>
      <c r="S602" s="94" t="b">
        <f>VLOOKUP(D602, Products!A:F, 6, FALSE)</f>
        <v>1</v>
      </c>
    </row>
    <row r="603" spans="1:19">
      <c r="A603" s="102" t="s">
        <v>1057</v>
      </c>
      <c r="B603" s="2">
        <v>45410</v>
      </c>
      <c r="C603" s="1" t="s">
        <v>407</v>
      </c>
      <c r="D603" s="1" t="s">
        <v>120</v>
      </c>
      <c r="E603" s="1" t="s">
        <v>343</v>
      </c>
      <c r="F603" s="83">
        <v>6</v>
      </c>
      <c r="G603" s="92">
        <v>1430</v>
      </c>
      <c r="H603" s="3">
        <v>2</v>
      </c>
      <c r="I603" s="3">
        <v>8408.4</v>
      </c>
      <c r="J603" s="1" t="s">
        <v>93</v>
      </c>
      <c r="K603" s="1" t="s">
        <v>88</v>
      </c>
      <c r="L603" t="str">
        <f>VLOOKUP(D603, Products!A:C, 3, FALSE)</f>
        <v>Electronics</v>
      </c>
      <c r="M603" t="str">
        <f>VLOOKUP(C603, Customers!A:E, 5, FALSE)</f>
        <v>SMB</v>
      </c>
      <c r="N603">
        <f>VLOOKUP(C603, Customers!A:E, 3, FALSE)</f>
        <v>53</v>
      </c>
      <c r="O603" s="93" t="str">
        <f>VLOOKUP(E603, Sales_Reps!A:C, 3, FALSE)</f>
        <v>West</v>
      </c>
      <c r="P603">
        <f>VLOOKUP(D603, Products!A:E, 4, FALSE)</f>
        <v>861</v>
      </c>
      <c r="Q603">
        <f>IF(COUNTIF($A$2:A603, A603)=2, 1, 0)</f>
        <v>0</v>
      </c>
      <c r="R603">
        <f>IF(ISNA(MATCH(C603, Customers!$A:$A, 0)), 1, 0)</f>
        <v>0</v>
      </c>
      <c r="S603" s="94" t="b">
        <f>VLOOKUP(D603, Products!A:F, 6, FALSE)</f>
        <v>1</v>
      </c>
    </row>
    <row r="604" spans="1:19">
      <c r="A604" s="102" t="s">
        <v>1058</v>
      </c>
      <c r="B604" s="2">
        <v>45588</v>
      </c>
      <c r="C604" s="1" t="s">
        <v>299</v>
      </c>
      <c r="D604" s="1" t="s">
        <v>157</v>
      </c>
      <c r="E604" s="1" t="s">
        <v>103</v>
      </c>
      <c r="F604" s="83">
        <v>10</v>
      </c>
      <c r="G604" s="92">
        <v>3450</v>
      </c>
      <c r="H604" s="3">
        <v>19.100000000000001</v>
      </c>
      <c r="I604" s="3">
        <v>27910.5</v>
      </c>
      <c r="J604" s="1" t="s">
        <v>87</v>
      </c>
      <c r="K604" s="1" t="s">
        <v>133</v>
      </c>
      <c r="L604" t="str">
        <f>VLOOKUP(D604, Products!A:C, 3, FALSE)</f>
        <v>Beauty</v>
      </c>
      <c r="M604" t="str">
        <f>VLOOKUP(C604, Customers!A:E, 5, FALSE)</f>
        <v>Retail</v>
      </c>
      <c r="N604">
        <f>VLOOKUP(C604, Customers!A:E, 3, FALSE)</f>
        <v>29</v>
      </c>
      <c r="O604" s="93" t="str">
        <f>VLOOKUP(E604, Sales_Reps!A:C, 3, FALSE)</f>
        <v>North</v>
      </c>
      <c r="P604">
        <f>VLOOKUP(D604, Products!A:E, 4, FALSE)</f>
        <v>2420</v>
      </c>
      <c r="Q604">
        <f>IF(COUNTIF($A$2:A604, A604)=2, 1, 0)</f>
        <v>0</v>
      </c>
      <c r="R604">
        <f>IF(ISNA(MATCH(C604, Customers!$A:$A, 0)), 1, 0)</f>
        <v>0</v>
      </c>
      <c r="S604" s="94" t="b">
        <f>VLOOKUP(D604, Products!A:F, 6, FALSE)</f>
        <v>1</v>
      </c>
    </row>
    <row r="605" spans="1:19">
      <c r="A605" s="102" t="s">
        <v>1059</v>
      </c>
      <c r="B605" s="2">
        <v>45412</v>
      </c>
      <c r="C605" s="1" t="s">
        <v>440</v>
      </c>
      <c r="D605" s="1" t="s">
        <v>267</v>
      </c>
      <c r="E605" s="1" t="s">
        <v>201</v>
      </c>
      <c r="F605" s="83">
        <v>8</v>
      </c>
      <c r="G605" s="92">
        <v>1220</v>
      </c>
      <c r="H605" s="3">
        <v>16.899999999999999</v>
      </c>
      <c r="I605" s="3">
        <v>8110.56</v>
      </c>
      <c r="J605" s="1" t="s">
        <v>87</v>
      </c>
      <c r="K605" s="1" t="s">
        <v>88</v>
      </c>
      <c r="L605" t="str">
        <f>VLOOKUP(D605, Products!A:C, 3, FALSE)</f>
        <v>Electronics</v>
      </c>
      <c r="M605" t="str">
        <f>VLOOKUP(C605, Customers!A:E, 5, FALSE)</f>
        <v>SMB</v>
      </c>
      <c r="N605">
        <f>VLOOKUP(C605, Customers!A:E, 3, FALSE)</f>
        <v>30</v>
      </c>
      <c r="O605" s="93" t="str">
        <f>VLOOKUP(E605, Sales_Reps!A:C, 3, FALSE)</f>
        <v>West</v>
      </c>
      <c r="P605">
        <f>VLOOKUP(D605, Products!A:E, 4, FALSE)</f>
        <v>517</v>
      </c>
      <c r="Q605">
        <f>IF(COUNTIF($A$2:A605, A605)=2, 1, 0)</f>
        <v>0</v>
      </c>
      <c r="R605">
        <f>IF(ISNA(MATCH(C605, Customers!$A:$A, 0)), 1, 0)</f>
        <v>0</v>
      </c>
      <c r="S605" s="94" t="b">
        <f>VLOOKUP(D605, Products!A:F, 6, FALSE)</f>
        <v>1</v>
      </c>
    </row>
    <row r="606" spans="1:19">
      <c r="A606" s="102" t="s">
        <v>1060</v>
      </c>
      <c r="B606" s="2">
        <v>45439</v>
      </c>
      <c r="C606" s="1" t="s">
        <v>968</v>
      </c>
      <c r="D606" s="1" t="s">
        <v>200</v>
      </c>
      <c r="E606" s="1" t="s">
        <v>192</v>
      </c>
      <c r="F606" s="83">
        <v>9</v>
      </c>
      <c r="G606" s="92">
        <v>2760</v>
      </c>
      <c r="H606" s="3">
        <v>16.899999999999999</v>
      </c>
      <c r="I606" s="3">
        <v>20642.04</v>
      </c>
      <c r="J606" s="1" t="s">
        <v>87</v>
      </c>
      <c r="K606" s="1" t="s">
        <v>99</v>
      </c>
      <c r="L606" t="str">
        <f>VLOOKUP(D606, Products!A:C, 3, FALSE)</f>
        <v>Grocery</v>
      </c>
      <c r="M606" t="str">
        <f>VLOOKUP(C606, Customers!A:E, 5, FALSE)</f>
        <v>Retail</v>
      </c>
      <c r="N606">
        <f>VLOOKUP(C606, Customers!A:E, 3, FALSE)</f>
        <v>47</v>
      </c>
      <c r="O606" s="93" t="str">
        <f>VLOOKUP(E606, Sales_Reps!A:C, 3, FALSE)</f>
        <v>East</v>
      </c>
      <c r="P606">
        <f>VLOOKUP(D606, Products!A:E, 4, FALSE)</f>
        <v>1435</v>
      </c>
      <c r="Q606">
        <f>IF(COUNTIF($A$2:A606, A606)=2, 1, 0)</f>
        <v>0</v>
      </c>
      <c r="R606">
        <f>IF(ISNA(MATCH(C606, Customers!$A:$A, 0)), 1, 0)</f>
        <v>0</v>
      </c>
      <c r="S606" s="94" t="b">
        <f>VLOOKUP(D606, Products!A:F, 6, FALSE)</f>
        <v>1</v>
      </c>
    </row>
    <row r="607" spans="1:19">
      <c r="A607" s="102" t="s">
        <v>1061</v>
      </c>
      <c r="B607" s="2">
        <v>45593</v>
      </c>
      <c r="C607" s="1" t="s">
        <v>1062</v>
      </c>
      <c r="D607" s="1" t="s">
        <v>179</v>
      </c>
      <c r="E607" s="1" t="s">
        <v>238</v>
      </c>
      <c r="F607" s="83">
        <v>6</v>
      </c>
      <c r="G607" s="92">
        <v>3350</v>
      </c>
      <c r="H607" s="3">
        <v>11.8</v>
      </c>
      <c r="I607" s="3">
        <v>17728.2</v>
      </c>
      <c r="J607" s="1" t="s">
        <v>93</v>
      </c>
      <c r="K607" s="1" t="s">
        <v>112</v>
      </c>
      <c r="L607" t="str">
        <f>VLOOKUP(D607, Products!A:C, 3, FALSE)</f>
        <v>Beauty</v>
      </c>
      <c r="M607" t="str">
        <f>VLOOKUP(C607, Customers!A:E, 5, FALSE)</f>
        <v>SMB</v>
      </c>
      <c r="N607">
        <f>VLOOKUP(C607, Customers!A:E, 3, FALSE)</f>
        <v>54</v>
      </c>
      <c r="O607" s="93" t="str">
        <f>VLOOKUP(E607, Sales_Reps!A:C, 3, FALSE)</f>
        <v>East</v>
      </c>
      <c r="P607">
        <f>VLOOKUP(D607, Products!A:E, 4, FALSE)</f>
        <v>1728</v>
      </c>
      <c r="Q607">
        <f>IF(COUNTIF($A$2:A607, A607)=2, 1, 0)</f>
        <v>0</v>
      </c>
      <c r="R607">
        <f>IF(ISNA(MATCH(C607, Customers!$A:$A, 0)), 1, 0)</f>
        <v>0</v>
      </c>
      <c r="S607" s="94" t="b">
        <f>VLOOKUP(D607, Products!A:F, 6, FALSE)</f>
        <v>1</v>
      </c>
    </row>
    <row r="608" spans="1:19">
      <c r="A608" s="102" t="s">
        <v>1063</v>
      </c>
      <c r="B608" s="2">
        <v>45570</v>
      </c>
      <c r="C608" s="1" t="s">
        <v>250</v>
      </c>
      <c r="D608" s="1" t="s">
        <v>191</v>
      </c>
      <c r="E608" s="1" t="s">
        <v>252</v>
      </c>
      <c r="F608" s="83">
        <v>6</v>
      </c>
      <c r="G608" s="92">
        <v>5100</v>
      </c>
      <c r="H608" s="3">
        <v>13.2</v>
      </c>
      <c r="I608" s="3">
        <v>26560.799999999999</v>
      </c>
      <c r="J608" s="1" t="s">
        <v>87</v>
      </c>
      <c r="K608" s="1" t="s">
        <v>117</v>
      </c>
      <c r="L608" t="str">
        <f>VLOOKUP(D608, Products!A:C, 3, FALSE)</f>
        <v>Beauty</v>
      </c>
      <c r="M608" t="str">
        <f>VLOOKUP(C608, Customers!A:E, 5, FALSE)</f>
        <v>SMB</v>
      </c>
      <c r="N608">
        <f>VLOOKUP(C608, Customers!A:E, 3, FALSE)</f>
        <v>34</v>
      </c>
      <c r="O608" s="93" t="str">
        <f>VLOOKUP(E608, Sales_Reps!A:C, 3, FALSE)</f>
        <v>South</v>
      </c>
      <c r="P608">
        <f>VLOOKUP(D608, Products!A:E, 4, FALSE)</f>
        <v>2237</v>
      </c>
      <c r="Q608">
        <f>IF(COUNTIF($A$2:A608, A608)=2, 1, 0)</f>
        <v>0</v>
      </c>
      <c r="R608">
        <f>IF(ISNA(MATCH(C608, Customers!$A:$A, 0)), 1, 0)</f>
        <v>0</v>
      </c>
      <c r="S608" s="94" t="b">
        <f>VLOOKUP(D608, Products!A:F, 6, FALSE)</f>
        <v>1</v>
      </c>
    </row>
    <row r="609" spans="1:19">
      <c r="A609" s="102" t="s">
        <v>1064</v>
      </c>
      <c r="B609" s="2">
        <v>45474</v>
      </c>
      <c r="C609" s="1" t="s">
        <v>1065</v>
      </c>
      <c r="D609" s="1" t="s">
        <v>135</v>
      </c>
      <c r="E609" s="1" t="s">
        <v>343</v>
      </c>
      <c r="F609" s="83">
        <v>6</v>
      </c>
      <c r="G609" s="92">
        <v>2640</v>
      </c>
      <c r="H609" s="3">
        <v>26.2</v>
      </c>
      <c r="I609" s="3">
        <v>11689.92</v>
      </c>
      <c r="J609" s="1" t="s">
        <v>87</v>
      </c>
      <c r="K609" s="1" t="s">
        <v>94</v>
      </c>
      <c r="L609" t="str">
        <f>VLOOKUP(D609, Products!A:C, 3, FALSE)</f>
        <v>Electronics</v>
      </c>
      <c r="M609" t="str">
        <f>VLOOKUP(C609, Customers!A:E, 5, FALSE)</f>
        <v>Retail</v>
      </c>
      <c r="N609">
        <f>VLOOKUP(C609, Customers!A:E, 3, FALSE)</f>
        <v>49</v>
      </c>
      <c r="O609" s="93" t="str">
        <f>VLOOKUP(E609, Sales_Reps!A:C, 3, FALSE)</f>
        <v>West</v>
      </c>
      <c r="P609">
        <f>VLOOKUP(D609, Products!A:E, 4, FALSE)</f>
        <v>1149</v>
      </c>
      <c r="Q609">
        <f>IF(COUNTIF($A$2:A609, A609)=2, 1, 0)</f>
        <v>0</v>
      </c>
      <c r="R609">
        <f>IF(ISNA(MATCH(C609, Customers!$A:$A, 0)), 1, 0)</f>
        <v>0</v>
      </c>
      <c r="S609" s="94" t="b">
        <f>VLOOKUP(D609, Products!A:F, 6, FALSE)</f>
        <v>1</v>
      </c>
    </row>
    <row r="610" spans="1:19">
      <c r="A610" s="102" t="s">
        <v>1066</v>
      </c>
      <c r="B610" s="2">
        <v>45524</v>
      </c>
      <c r="C610" s="1" t="s">
        <v>597</v>
      </c>
      <c r="D610" s="1" t="s">
        <v>102</v>
      </c>
      <c r="E610" s="1" t="s">
        <v>346</v>
      </c>
      <c r="F610" s="83">
        <v>1</v>
      </c>
      <c r="G610" s="92">
        <v>3660</v>
      </c>
      <c r="H610" s="3">
        <v>19.7</v>
      </c>
      <c r="I610" s="3">
        <v>2938.98</v>
      </c>
      <c r="J610" s="1" t="s">
        <v>87</v>
      </c>
      <c r="K610" s="1" t="s">
        <v>112</v>
      </c>
      <c r="L610" t="str">
        <f>VLOOKUP(D610, Products!A:C, 3, FALSE)</f>
        <v>Grocery</v>
      </c>
      <c r="M610" t="str">
        <f>VLOOKUP(C610, Customers!A:E, 5, FALSE)</f>
        <v>Retail</v>
      </c>
      <c r="N610">
        <f>VLOOKUP(C610, Customers!A:E, 3, FALSE)</f>
        <v>39</v>
      </c>
      <c r="O610" s="93" t="str">
        <f>VLOOKUP(E610, Sales_Reps!A:C, 3, FALSE)</f>
        <v>South</v>
      </c>
      <c r="P610">
        <f>VLOOKUP(D610, Products!A:E, 4, FALSE)</f>
        <v>2214</v>
      </c>
      <c r="Q610">
        <f>IF(COUNTIF($A$2:A610, A610)=2, 1, 0)</f>
        <v>0</v>
      </c>
      <c r="R610">
        <f>IF(ISNA(MATCH(C610, Customers!$A:$A, 0)), 1, 0)</f>
        <v>0</v>
      </c>
      <c r="S610" s="94" t="b">
        <f>VLOOKUP(D610, Products!A:F, 6, FALSE)</f>
        <v>0</v>
      </c>
    </row>
    <row r="611" spans="1:19">
      <c r="A611" s="102" t="s">
        <v>1067</v>
      </c>
      <c r="B611" s="2">
        <v>45468</v>
      </c>
      <c r="C611" s="1" t="s">
        <v>613</v>
      </c>
      <c r="D611" s="1" t="s">
        <v>110</v>
      </c>
      <c r="E611" s="1" t="s">
        <v>343</v>
      </c>
      <c r="F611" s="83">
        <v>5</v>
      </c>
      <c r="G611" s="92">
        <v>370</v>
      </c>
      <c r="H611" s="3">
        <v>21.7</v>
      </c>
      <c r="I611" s="3">
        <v>1448.55</v>
      </c>
      <c r="J611" s="1" t="s">
        <v>87</v>
      </c>
      <c r="K611" s="1" t="s">
        <v>112</v>
      </c>
      <c r="L611" t="str">
        <f>VLOOKUP(D611, Products!A:C, 3, FALSE)</f>
        <v>Home</v>
      </c>
      <c r="M611" t="str">
        <f>VLOOKUP(C611, Customers!A:E, 5, FALSE)</f>
        <v>Retail</v>
      </c>
      <c r="N611">
        <f>VLOOKUP(C611, Customers!A:E, 3, FALSE)</f>
        <v>44</v>
      </c>
      <c r="O611" s="93" t="str">
        <f>VLOOKUP(E611, Sales_Reps!A:C, 3, FALSE)</f>
        <v>West</v>
      </c>
      <c r="P611">
        <f>VLOOKUP(D611, Products!A:E, 4, FALSE)</f>
        <v>288</v>
      </c>
      <c r="Q611">
        <f>IF(COUNTIF($A$2:A611, A611)=2, 1, 0)</f>
        <v>0</v>
      </c>
      <c r="R611">
        <f>IF(ISNA(MATCH(C611, Customers!$A:$A, 0)), 1, 0)</f>
        <v>0</v>
      </c>
      <c r="S611" s="94" t="b">
        <f>VLOOKUP(D611, Products!A:F, 6, FALSE)</f>
        <v>1</v>
      </c>
    </row>
    <row r="612" spans="1:19">
      <c r="A612" s="102" t="s">
        <v>1068</v>
      </c>
      <c r="B612" s="2">
        <v>45336</v>
      </c>
      <c r="C612" s="1" t="s">
        <v>394</v>
      </c>
      <c r="D612" s="1" t="s">
        <v>292</v>
      </c>
      <c r="E612" s="1" t="s">
        <v>111</v>
      </c>
      <c r="F612" s="83">
        <v>5</v>
      </c>
      <c r="G612" s="92">
        <v>620</v>
      </c>
      <c r="H612" s="3">
        <v>10.199999999999999</v>
      </c>
      <c r="I612" s="3">
        <v>2783.8</v>
      </c>
      <c r="J612" s="1" t="s">
        <v>87</v>
      </c>
      <c r="K612" s="1" t="s">
        <v>117</v>
      </c>
      <c r="L612" t="str">
        <f>VLOOKUP(D612, Products!A:C, 3, FALSE)</f>
        <v>Apparel</v>
      </c>
      <c r="M612" t="str">
        <f>VLOOKUP(C612, Customers!A:E, 5, FALSE)</f>
        <v>SMB</v>
      </c>
      <c r="N612">
        <f>VLOOKUP(C612, Customers!A:E, 3, FALSE)</f>
        <v>28</v>
      </c>
      <c r="O612" s="93" t="str">
        <f>VLOOKUP(E612, Sales_Reps!A:C, 3, FALSE)</f>
        <v>West</v>
      </c>
      <c r="P612">
        <f>VLOOKUP(D612, Products!A:E, 4, FALSE)</f>
        <v>396</v>
      </c>
      <c r="Q612">
        <f>IF(COUNTIF($A$2:A612, A612)=2, 1, 0)</f>
        <v>0</v>
      </c>
      <c r="R612">
        <f>IF(ISNA(MATCH(C612, Customers!$A:$A, 0)), 1, 0)</f>
        <v>0</v>
      </c>
      <c r="S612" s="94" t="b">
        <f>VLOOKUP(D612, Products!A:F, 6, FALSE)</f>
        <v>1</v>
      </c>
    </row>
    <row r="613" spans="1:19">
      <c r="A613" s="102" t="s">
        <v>1069</v>
      </c>
      <c r="B613" s="2">
        <v>45392</v>
      </c>
      <c r="C613" s="1" t="s">
        <v>697</v>
      </c>
      <c r="D613" s="1" t="s">
        <v>97</v>
      </c>
      <c r="E613" s="1" t="s">
        <v>303</v>
      </c>
      <c r="F613" s="83">
        <v>8</v>
      </c>
      <c r="G613" s="92">
        <v>470</v>
      </c>
      <c r="H613" s="3">
        <v>2.4</v>
      </c>
      <c r="I613" s="3">
        <v>3669.76</v>
      </c>
      <c r="J613" s="1" t="s">
        <v>87</v>
      </c>
      <c r="K613" s="1" t="s">
        <v>133</v>
      </c>
      <c r="L613" t="str">
        <f>VLOOKUP(D613, Products!A:C, 3, FALSE)</f>
        <v>Sports</v>
      </c>
      <c r="M613" t="str">
        <f>VLOOKUP(C613, Customers!A:E, 5, FALSE)</f>
        <v>Retail</v>
      </c>
      <c r="N613">
        <f>VLOOKUP(C613, Customers!A:E, 3, FALSE)</f>
        <v>65</v>
      </c>
      <c r="O613" s="93" t="str">
        <f>VLOOKUP(E613, Sales_Reps!A:C, 3, FALSE)</f>
        <v>East</v>
      </c>
      <c r="P613">
        <f>VLOOKUP(D613, Products!A:E, 4, FALSE)</f>
        <v>302</v>
      </c>
      <c r="Q613">
        <f>IF(COUNTIF($A$2:A613, A613)=2, 1, 0)</f>
        <v>0</v>
      </c>
      <c r="R613">
        <f>IF(ISNA(MATCH(C613, Customers!$A:$A, 0)), 1, 0)</f>
        <v>0</v>
      </c>
      <c r="S613" s="94" t="b">
        <f>VLOOKUP(D613, Products!A:F, 6, FALSE)</f>
        <v>0</v>
      </c>
    </row>
    <row r="614" spans="1:19">
      <c r="A614" s="102" t="s">
        <v>1070</v>
      </c>
      <c r="B614" s="2">
        <v>45610</v>
      </c>
      <c r="C614" s="1" t="s">
        <v>626</v>
      </c>
      <c r="D614" s="1" t="s">
        <v>386</v>
      </c>
      <c r="E614" s="1" t="s">
        <v>92</v>
      </c>
      <c r="F614" s="83">
        <v>3</v>
      </c>
      <c r="G614" s="92">
        <v>2290</v>
      </c>
      <c r="H614" s="3">
        <v>20.8</v>
      </c>
      <c r="I614" s="3">
        <v>5441.04</v>
      </c>
      <c r="J614" s="1" t="s">
        <v>87</v>
      </c>
      <c r="K614" s="1" t="s">
        <v>99</v>
      </c>
      <c r="L614" t="str">
        <f>VLOOKUP(D614, Products!A:C, 3, FALSE)</f>
        <v>Beauty</v>
      </c>
      <c r="M614" t="str">
        <f>VLOOKUP(C614, Customers!A:E, 5, FALSE)</f>
        <v>Retail</v>
      </c>
      <c r="N614">
        <f>VLOOKUP(C614, Customers!A:E, 3, FALSE)</f>
        <v>40</v>
      </c>
      <c r="O614" s="93" t="str">
        <f>VLOOKUP(E614, Sales_Reps!A:C, 3, FALSE)</f>
        <v>North</v>
      </c>
      <c r="P614">
        <f>VLOOKUP(D614, Products!A:E, 4, FALSE)</f>
        <v>1219</v>
      </c>
      <c r="Q614">
        <f>IF(COUNTIF($A$2:A614, A614)=2, 1, 0)</f>
        <v>0</v>
      </c>
      <c r="R614">
        <f>IF(ISNA(MATCH(C614, Customers!$A:$A, 0)), 1, 0)</f>
        <v>0</v>
      </c>
      <c r="S614" s="94" t="b">
        <f>VLOOKUP(D614, Products!A:F, 6, FALSE)</f>
        <v>1</v>
      </c>
    </row>
    <row r="615" spans="1:19">
      <c r="A615" s="102" t="s">
        <v>1071</v>
      </c>
      <c r="B615" s="2">
        <v>45297</v>
      </c>
      <c r="C615" s="1" t="s">
        <v>1072</v>
      </c>
      <c r="D615" s="1" t="s">
        <v>115</v>
      </c>
      <c r="E615" s="1" t="s">
        <v>116</v>
      </c>
      <c r="F615" s="83">
        <v>4</v>
      </c>
      <c r="G615" s="92">
        <v>960</v>
      </c>
      <c r="H615" s="3">
        <v>28.8</v>
      </c>
      <c r="I615" s="3">
        <v>2734.08</v>
      </c>
      <c r="J615" s="1" t="s">
        <v>93</v>
      </c>
      <c r="K615" s="1" t="s">
        <v>112</v>
      </c>
      <c r="L615" t="str">
        <f>VLOOKUP(D615, Products!A:C, 3, FALSE)</f>
        <v>Sports</v>
      </c>
      <c r="M615" t="str">
        <f>VLOOKUP(C615, Customers!A:E, 5, FALSE)</f>
        <v>SMB</v>
      </c>
      <c r="N615">
        <f>VLOOKUP(C615, Customers!A:E, 3, FALSE)</f>
        <v>53</v>
      </c>
      <c r="O615" s="93" t="str">
        <f>VLOOKUP(E615, Sales_Reps!A:C, 3, FALSE)</f>
        <v>West</v>
      </c>
      <c r="P615">
        <f>VLOOKUP(D615, Products!A:E, 4, FALSE)</f>
        <v>705</v>
      </c>
      <c r="Q615">
        <f>IF(COUNTIF($A$2:A615, A615)=2, 1, 0)</f>
        <v>0</v>
      </c>
      <c r="R615">
        <f>IF(ISNA(MATCH(C615, Customers!$A:$A, 0)), 1, 0)</f>
        <v>0</v>
      </c>
      <c r="S615" s="94" t="b">
        <f>VLOOKUP(D615, Products!A:F, 6, FALSE)</f>
        <v>1</v>
      </c>
    </row>
    <row r="616" spans="1:19">
      <c r="A616" s="102" t="s">
        <v>1073</v>
      </c>
      <c r="B616" s="2">
        <v>45558</v>
      </c>
      <c r="C616" s="1" t="s">
        <v>442</v>
      </c>
      <c r="D616" s="1" t="s">
        <v>102</v>
      </c>
      <c r="E616" s="1" t="s">
        <v>132</v>
      </c>
      <c r="F616" s="83">
        <v>5</v>
      </c>
      <c r="G616" s="92">
        <v>3660</v>
      </c>
      <c r="H616" s="3">
        <v>11.9</v>
      </c>
      <c r="I616" s="3">
        <v>16122.3</v>
      </c>
      <c r="J616" s="1" t="s">
        <v>93</v>
      </c>
      <c r="K616" s="1" t="s">
        <v>88</v>
      </c>
      <c r="L616" t="str">
        <f>VLOOKUP(D616, Products!A:C, 3, FALSE)</f>
        <v>Grocery</v>
      </c>
      <c r="M616" t="str">
        <f>VLOOKUP(C616, Customers!A:E, 5, FALSE)</f>
        <v>Retail</v>
      </c>
      <c r="N616">
        <f>VLOOKUP(C616, Customers!A:E, 3, FALSE)</f>
        <v>65</v>
      </c>
      <c r="O616" s="93" t="str">
        <f>VLOOKUP(E616, Sales_Reps!A:C, 3, FALSE)</f>
        <v>South</v>
      </c>
      <c r="P616">
        <f>VLOOKUP(D616, Products!A:E, 4, FALSE)</f>
        <v>2214</v>
      </c>
      <c r="Q616">
        <f>IF(COUNTIF($A$2:A616, A616)=2, 1, 0)</f>
        <v>0</v>
      </c>
      <c r="R616">
        <f>IF(ISNA(MATCH(C616, Customers!$A:$A, 0)), 1, 0)</f>
        <v>0</v>
      </c>
      <c r="S616" s="94" t="b">
        <f>VLOOKUP(D616, Products!A:F, 6, FALSE)</f>
        <v>0</v>
      </c>
    </row>
    <row r="617" spans="1:19">
      <c r="A617" s="102" t="s">
        <v>1074</v>
      </c>
      <c r="B617" s="2">
        <v>45487</v>
      </c>
      <c r="C617" s="1" t="s">
        <v>333</v>
      </c>
      <c r="D617" s="1" t="s">
        <v>187</v>
      </c>
      <c r="E617" s="1" t="s">
        <v>121</v>
      </c>
      <c r="F617" s="83">
        <v>5</v>
      </c>
      <c r="G617" s="92">
        <v>3570</v>
      </c>
      <c r="H617" s="3">
        <v>12.4</v>
      </c>
      <c r="I617" s="3">
        <v>15636.6</v>
      </c>
      <c r="J617" s="1" t="s">
        <v>87</v>
      </c>
      <c r="K617" s="1" t="s">
        <v>133</v>
      </c>
      <c r="L617" t="str">
        <f>VLOOKUP(D617, Products!A:C, 3, FALSE)</f>
        <v>Electronics</v>
      </c>
      <c r="M617" t="str">
        <f>VLOOKUP(C617, Customers!A:E, 5, FALSE)</f>
        <v>SMB</v>
      </c>
      <c r="N617">
        <f>VLOOKUP(C617, Customers!A:E, 3, FALSE)</f>
        <v>65</v>
      </c>
      <c r="O617" s="93" t="str">
        <f>VLOOKUP(E617, Sales_Reps!A:C, 3, FALSE)</f>
        <v>East</v>
      </c>
      <c r="P617">
        <f>VLOOKUP(D617, Products!A:E, 4, FALSE)</f>
        <v>1665</v>
      </c>
      <c r="Q617">
        <f>IF(COUNTIF($A$2:A617, A617)=2, 1, 0)</f>
        <v>0</v>
      </c>
      <c r="R617">
        <f>IF(ISNA(MATCH(C617, Customers!$A:$A, 0)), 1, 0)</f>
        <v>0</v>
      </c>
      <c r="S617" s="94" t="b">
        <f>VLOOKUP(D617, Products!A:F, 6, FALSE)</f>
        <v>1</v>
      </c>
    </row>
    <row r="618" spans="1:19">
      <c r="A618" s="102" t="s">
        <v>1075</v>
      </c>
      <c r="B618" s="2">
        <v>45307</v>
      </c>
      <c r="C618" s="1" t="s">
        <v>109</v>
      </c>
      <c r="D618" s="1" t="s">
        <v>295</v>
      </c>
      <c r="E618" s="1" t="s">
        <v>238</v>
      </c>
      <c r="F618" s="83">
        <v>9</v>
      </c>
      <c r="G618" s="92">
        <v>2030</v>
      </c>
      <c r="H618" s="3">
        <v>23.4</v>
      </c>
      <c r="I618" s="3">
        <v>13994.82</v>
      </c>
      <c r="J618" s="1" t="s">
        <v>87</v>
      </c>
      <c r="K618" s="1" t="s">
        <v>112</v>
      </c>
      <c r="L618" t="str">
        <f>VLOOKUP(D618, Products!A:C, 3, FALSE)</f>
        <v>Home</v>
      </c>
      <c r="M618" t="str">
        <f>VLOOKUP(C618, Customers!A:E, 5, FALSE)</f>
        <v>Retail</v>
      </c>
      <c r="N618">
        <f>VLOOKUP(C618, Customers!A:E, 3, FALSE)</f>
        <v>36</v>
      </c>
      <c r="O618" s="93" t="str">
        <f>VLOOKUP(E618, Sales_Reps!A:C, 3, FALSE)</f>
        <v>East</v>
      </c>
      <c r="P618">
        <f>VLOOKUP(D618, Products!A:E, 4, FALSE)</f>
        <v>1143</v>
      </c>
      <c r="Q618">
        <f>IF(COUNTIF($A$2:A618, A618)=2, 1, 0)</f>
        <v>0</v>
      </c>
      <c r="R618">
        <f>IF(ISNA(MATCH(C618, Customers!$A:$A, 0)), 1, 0)</f>
        <v>0</v>
      </c>
      <c r="S618" s="94" t="b">
        <f>VLOOKUP(D618, Products!A:F, 6, FALSE)</f>
        <v>1</v>
      </c>
    </row>
    <row r="619" spans="1:19">
      <c r="A619" s="102" t="s">
        <v>1076</v>
      </c>
      <c r="B619" s="2">
        <v>45328</v>
      </c>
      <c r="C619" s="1" t="s">
        <v>194</v>
      </c>
      <c r="D619" s="1" t="s">
        <v>173</v>
      </c>
      <c r="E619" s="1" t="s">
        <v>116</v>
      </c>
      <c r="F619" s="83">
        <v>7</v>
      </c>
      <c r="G619" s="92">
        <v>2720</v>
      </c>
      <c r="H619" s="3">
        <v>11.2</v>
      </c>
      <c r="I619" s="3">
        <v>16907.52</v>
      </c>
      <c r="J619" s="1" t="s">
        <v>144</v>
      </c>
      <c r="K619" s="1" t="s">
        <v>88</v>
      </c>
      <c r="L619" t="str">
        <f>VLOOKUP(D619, Products!A:C, 3, FALSE)</f>
        <v>Apparel</v>
      </c>
      <c r="M619" t="str">
        <f>VLOOKUP(C619, Customers!A:E, 5, FALSE)</f>
        <v>SMB</v>
      </c>
      <c r="N619">
        <f>VLOOKUP(C619, Customers!A:E, 3, FALSE)</f>
        <v>44</v>
      </c>
      <c r="O619" s="93" t="str">
        <f>VLOOKUP(E619, Sales_Reps!A:C, 3, FALSE)</f>
        <v>West</v>
      </c>
      <c r="P619">
        <f>VLOOKUP(D619, Products!A:E, 4, FALSE)</f>
        <v>1962</v>
      </c>
      <c r="Q619">
        <f>IF(COUNTIF($A$2:A619, A619)=2, 1, 0)</f>
        <v>0</v>
      </c>
      <c r="R619">
        <f>IF(ISNA(MATCH(C619, Customers!$A:$A, 0)), 1, 0)</f>
        <v>0</v>
      </c>
      <c r="S619" s="94" t="b">
        <f>VLOOKUP(D619, Products!A:F, 6, FALSE)</f>
        <v>1</v>
      </c>
    </row>
    <row r="620" spans="1:19">
      <c r="A620" s="102" t="s">
        <v>1077</v>
      </c>
      <c r="B620" s="2">
        <v>45627</v>
      </c>
      <c r="C620" s="1" t="s">
        <v>729</v>
      </c>
      <c r="D620" s="1" t="s">
        <v>187</v>
      </c>
      <c r="E620" s="1" t="s">
        <v>107</v>
      </c>
      <c r="F620" s="83">
        <v>2</v>
      </c>
      <c r="G620" s="92">
        <v>3570</v>
      </c>
      <c r="H620" s="3">
        <v>6.1</v>
      </c>
      <c r="I620" s="3">
        <v>6704.46</v>
      </c>
      <c r="J620" s="1" t="s">
        <v>140</v>
      </c>
      <c r="K620" s="1" t="s">
        <v>112</v>
      </c>
      <c r="L620" t="str">
        <f>VLOOKUP(D620, Products!A:C, 3, FALSE)</f>
        <v>Electronics</v>
      </c>
      <c r="M620" t="str">
        <f>VLOOKUP(C620, Customers!A:E, 5, FALSE)</f>
        <v>Retail</v>
      </c>
      <c r="N620">
        <f>VLOOKUP(C620, Customers!A:E, 3, FALSE)</f>
        <v>56</v>
      </c>
      <c r="O620" s="93" t="str">
        <f>VLOOKUP(E620, Sales_Reps!A:C, 3, FALSE)</f>
        <v>North</v>
      </c>
      <c r="P620">
        <f>VLOOKUP(D620, Products!A:E, 4, FALSE)</f>
        <v>1665</v>
      </c>
      <c r="Q620">
        <f>IF(COUNTIF($A$2:A620, A620)=2, 1, 0)</f>
        <v>0</v>
      </c>
      <c r="R620">
        <f>IF(ISNA(MATCH(C620, Customers!$A:$A, 0)), 1, 0)</f>
        <v>0</v>
      </c>
      <c r="S620" s="94" t="b">
        <f>VLOOKUP(D620, Products!A:F, 6, FALSE)</f>
        <v>1</v>
      </c>
    </row>
    <row r="621" spans="1:19">
      <c r="A621" s="102" t="s">
        <v>1078</v>
      </c>
      <c r="B621" s="2">
        <v>45574</v>
      </c>
      <c r="C621" s="1" t="s">
        <v>816</v>
      </c>
      <c r="D621" s="1" t="s">
        <v>151</v>
      </c>
      <c r="E621" s="1" t="s">
        <v>215</v>
      </c>
      <c r="F621" s="83">
        <v>5</v>
      </c>
      <c r="G621" s="92">
        <v>2400</v>
      </c>
      <c r="H621" s="3">
        <v>16.100000000000001</v>
      </c>
      <c r="I621" s="3">
        <v>10068</v>
      </c>
      <c r="J621" s="1" t="s">
        <v>87</v>
      </c>
      <c r="K621" s="1" t="s">
        <v>88</v>
      </c>
      <c r="L621" t="str">
        <f>VLOOKUP(D621, Products!A:C, 3, FALSE)</f>
        <v>Sports</v>
      </c>
      <c r="M621" t="str">
        <f>VLOOKUP(C621, Customers!A:E, 5, FALSE)</f>
        <v>Retail</v>
      </c>
      <c r="N621">
        <f>VLOOKUP(C621, Customers!A:E, 3, FALSE)</f>
        <v>36</v>
      </c>
      <c r="O621" s="93" t="str">
        <f>VLOOKUP(E621, Sales_Reps!A:C, 3, FALSE)</f>
        <v>North</v>
      </c>
      <c r="P621">
        <f>VLOOKUP(D621, Products!A:E, 4, FALSE)</f>
        <v>974</v>
      </c>
      <c r="Q621">
        <f>IF(COUNTIF($A$2:A621, A621)=2, 1, 0)</f>
        <v>0</v>
      </c>
      <c r="R621">
        <f>IF(ISNA(MATCH(C621, Customers!$A:$A, 0)), 1, 0)</f>
        <v>0</v>
      </c>
      <c r="S621" s="94" t="b">
        <f>VLOOKUP(D621, Products!A:F, 6, FALSE)</f>
        <v>1</v>
      </c>
    </row>
    <row r="622" spans="1:19">
      <c r="A622" s="102" t="s">
        <v>1079</v>
      </c>
      <c r="B622" s="2">
        <v>45592</v>
      </c>
      <c r="C622" s="1" t="s">
        <v>1072</v>
      </c>
      <c r="D622" s="1" t="s">
        <v>131</v>
      </c>
      <c r="E622" s="1" t="s">
        <v>297</v>
      </c>
      <c r="F622" s="83">
        <v>4</v>
      </c>
      <c r="G622" s="92">
        <v>2270</v>
      </c>
      <c r="H622" s="3">
        <v>27.5</v>
      </c>
      <c r="I622" s="3">
        <v>6583</v>
      </c>
      <c r="J622" s="1" t="s">
        <v>93</v>
      </c>
      <c r="K622" s="1" t="s">
        <v>112</v>
      </c>
      <c r="L622" t="str">
        <f>VLOOKUP(D622, Products!A:C, 3, FALSE)</f>
        <v>Grocery</v>
      </c>
      <c r="M622" t="str">
        <f>VLOOKUP(C622, Customers!A:E, 5, FALSE)</f>
        <v>SMB</v>
      </c>
      <c r="N622">
        <f>VLOOKUP(C622, Customers!A:E, 3, FALSE)</f>
        <v>53</v>
      </c>
      <c r="O622" s="93" t="str">
        <f>VLOOKUP(E622, Sales_Reps!A:C, 3, FALSE)</f>
        <v>North</v>
      </c>
      <c r="P622">
        <f>VLOOKUP(D622, Products!A:E, 4, FALSE)</f>
        <v>1203</v>
      </c>
      <c r="Q622">
        <f>IF(COUNTIF($A$2:A622, A622)=2, 1, 0)</f>
        <v>0</v>
      </c>
      <c r="R622">
        <f>IF(ISNA(MATCH(C622, Customers!$A:$A, 0)), 1, 0)</f>
        <v>0</v>
      </c>
      <c r="S622" s="94" t="b">
        <f>VLOOKUP(D622, Products!A:F, 6, FALSE)</f>
        <v>1</v>
      </c>
    </row>
    <row r="623" spans="1:19">
      <c r="A623" s="102" t="s">
        <v>1080</v>
      </c>
      <c r="B623" s="2">
        <v>45509</v>
      </c>
      <c r="C623" s="1" t="s">
        <v>101</v>
      </c>
      <c r="D623" s="1" t="s">
        <v>127</v>
      </c>
      <c r="E623" s="1" t="s">
        <v>325</v>
      </c>
      <c r="F623" s="83">
        <v>1</v>
      </c>
      <c r="G623" s="92">
        <v>970</v>
      </c>
      <c r="H623" s="3">
        <v>12.7</v>
      </c>
      <c r="I623" s="3">
        <v>846.81</v>
      </c>
      <c r="J623" s="1" t="s">
        <v>87</v>
      </c>
      <c r="K623" s="1" t="s">
        <v>99</v>
      </c>
      <c r="L623" t="str">
        <f>VLOOKUP(D623, Products!A:C, 3, FALSE)</f>
        <v>Grocery</v>
      </c>
      <c r="M623" t="str">
        <f>VLOOKUP(C623, Customers!A:E, 5, FALSE)</f>
        <v>Corporate</v>
      </c>
      <c r="N623">
        <f>VLOOKUP(C623, Customers!A:E, 3, FALSE)</f>
        <v>46</v>
      </c>
      <c r="O623" s="93" t="str">
        <f>VLOOKUP(E623, Sales_Reps!A:C, 3, FALSE)</f>
        <v>South</v>
      </c>
      <c r="P623">
        <f>VLOOKUP(D623, Products!A:E, 4, FALSE)</f>
        <v>434</v>
      </c>
      <c r="Q623">
        <f>IF(COUNTIF($A$2:A623, A623)=2, 1, 0)</f>
        <v>0</v>
      </c>
      <c r="R623">
        <f>IF(ISNA(MATCH(C623, Customers!$A:$A, 0)), 1, 0)</f>
        <v>0</v>
      </c>
      <c r="S623" s="94" t="b">
        <f>VLOOKUP(D623, Products!A:F, 6, FALSE)</f>
        <v>1</v>
      </c>
    </row>
    <row r="624" spans="1:19">
      <c r="A624" s="102" t="s">
        <v>1081</v>
      </c>
      <c r="B624" s="2">
        <v>45307</v>
      </c>
      <c r="C624" s="1" t="s">
        <v>469</v>
      </c>
      <c r="D624" s="1" t="s">
        <v>515</v>
      </c>
      <c r="E624" s="1" t="s">
        <v>303</v>
      </c>
      <c r="F624" s="83">
        <v>5</v>
      </c>
      <c r="G624" s="92">
        <v>6940</v>
      </c>
      <c r="H624" s="3">
        <v>16.2</v>
      </c>
      <c r="I624" s="3">
        <v>29078.6</v>
      </c>
      <c r="J624" s="1" t="s">
        <v>87</v>
      </c>
      <c r="K624" s="1" t="s">
        <v>117</v>
      </c>
      <c r="L624" t="str">
        <f>VLOOKUP(D624, Products!A:C, 3, FALSE)</f>
        <v>Sports</v>
      </c>
      <c r="M624" t="str">
        <f>VLOOKUP(C624, Customers!A:E, 5, FALSE)</f>
        <v>SMB</v>
      </c>
      <c r="N624">
        <f>VLOOKUP(C624, Customers!A:E, 3, FALSE)</f>
        <v>43</v>
      </c>
      <c r="O624" s="93" t="str">
        <f>VLOOKUP(E624, Sales_Reps!A:C, 3, FALSE)</f>
        <v>East</v>
      </c>
      <c r="P624">
        <f>VLOOKUP(D624, Products!A:E, 4, FALSE)</f>
        <v>2827</v>
      </c>
      <c r="Q624">
        <f>IF(COUNTIF($A$2:A624, A624)=2, 1, 0)</f>
        <v>0</v>
      </c>
      <c r="R624">
        <f>IF(ISNA(MATCH(C624, Customers!$A:$A, 0)), 1, 0)</f>
        <v>0</v>
      </c>
      <c r="S624" s="94" t="b">
        <f>VLOOKUP(D624, Products!A:F, 6, FALSE)</f>
        <v>1</v>
      </c>
    </row>
    <row r="625" spans="1:19">
      <c r="A625" s="102" t="s">
        <v>1082</v>
      </c>
      <c r="B625" s="2">
        <v>45586</v>
      </c>
      <c r="C625" s="1" t="s">
        <v>199</v>
      </c>
      <c r="D625" s="1" t="s">
        <v>515</v>
      </c>
      <c r="E625" s="1" t="s">
        <v>204</v>
      </c>
      <c r="F625" s="83">
        <v>4</v>
      </c>
      <c r="G625" s="92">
        <v>6940</v>
      </c>
      <c r="H625" s="3">
        <v>15.1</v>
      </c>
      <c r="I625" s="3">
        <v>23568.240000000002</v>
      </c>
      <c r="J625" s="1" t="s">
        <v>87</v>
      </c>
      <c r="K625" s="1" t="s">
        <v>133</v>
      </c>
      <c r="L625" t="str">
        <f>VLOOKUP(D625, Products!A:C, 3, FALSE)</f>
        <v>Sports</v>
      </c>
      <c r="M625" t="str">
        <f>VLOOKUP(C625, Customers!A:E, 5, FALSE)</f>
        <v>Retail</v>
      </c>
      <c r="N625">
        <f>VLOOKUP(C625, Customers!A:E, 3, FALSE)</f>
        <v>53</v>
      </c>
      <c r="O625" s="93" t="str">
        <f>VLOOKUP(E625, Sales_Reps!A:C, 3, FALSE)</f>
        <v>South</v>
      </c>
      <c r="P625">
        <f>VLOOKUP(D625, Products!A:E, 4, FALSE)</f>
        <v>2827</v>
      </c>
      <c r="Q625">
        <f>IF(COUNTIF($A$2:A625, A625)=2, 1, 0)</f>
        <v>0</v>
      </c>
      <c r="R625">
        <f>IF(ISNA(MATCH(C625, Customers!$A:$A, 0)), 1, 0)</f>
        <v>0</v>
      </c>
      <c r="S625" s="94" t="b">
        <f>VLOOKUP(D625, Products!A:F, 6, FALSE)</f>
        <v>1</v>
      </c>
    </row>
    <row r="626" spans="1:19">
      <c r="A626" s="102" t="s">
        <v>1083</v>
      </c>
      <c r="B626" s="2">
        <v>45587</v>
      </c>
      <c r="C626" s="1" t="s">
        <v>340</v>
      </c>
      <c r="D626" s="1" t="s">
        <v>182</v>
      </c>
      <c r="E626" s="1" t="s">
        <v>103</v>
      </c>
      <c r="F626" s="83">
        <v>1</v>
      </c>
      <c r="G626" s="92">
        <v>1010</v>
      </c>
      <c r="H626" s="3">
        <v>1.7</v>
      </c>
      <c r="I626" s="3">
        <v>992.83</v>
      </c>
      <c r="J626" s="1" t="s">
        <v>87</v>
      </c>
      <c r="K626" s="1" t="s">
        <v>88</v>
      </c>
      <c r="L626" t="str">
        <f>VLOOKUP(D626, Products!A:C, 3, FALSE)</f>
        <v>Sports</v>
      </c>
      <c r="M626" t="str">
        <f>VLOOKUP(C626, Customers!A:E, 5, FALSE)</f>
        <v>Retail</v>
      </c>
      <c r="N626">
        <f>VLOOKUP(C626, Customers!A:E, 3, FALSE)</f>
        <v>25</v>
      </c>
      <c r="O626" s="93" t="str">
        <f>VLOOKUP(E626, Sales_Reps!A:C, 3, FALSE)</f>
        <v>North</v>
      </c>
      <c r="P626">
        <f>VLOOKUP(D626, Products!A:E, 4, FALSE)</f>
        <v>516</v>
      </c>
      <c r="Q626">
        <f>IF(COUNTIF($A$2:A626, A626)=2, 1, 0)</f>
        <v>0</v>
      </c>
      <c r="R626">
        <f>IF(ISNA(MATCH(C626, Customers!$A:$A, 0)), 1, 0)</f>
        <v>0</v>
      </c>
      <c r="S626" s="94" t="b">
        <f>VLOOKUP(D626, Products!A:F, 6, FALSE)</f>
        <v>1</v>
      </c>
    </row>
    <row r="627" spans="1:19">
      <c r="A627" s="102" t="s">
        <v>1084</v>
      </c>
      <c r="B627" s="2">
        <v>45609</v>
      </c>
      <c r="C627" s="1" t="s">
        <v>291</v>
      </c>
      <c r="D627" s="1" t="s">
        <v>248</v>
      </c>
      <c r="E627" s="1" t="s">
        <v>86</v>
      </c>
      <c r="F627" s="83">
        <v>6</v>
      </c>
      <c r="G627" s="92">
        <v>3870</v>
      </c>
      <c r="H627" s="3">
        <v>12.2</v>
      </c>
      <c r="I627" s="3">
        <v>20387.16</v>
      </c>
      <c r="J627" s="1" t="s">
        <v>87</v>
      </c>
      <c r="K627" s="1" t="s">
        <v>99</v>
      </c>
      <c r="L627" t="str">
        <f>VLOOKUP(D627, Products!A:C, 3, FALSE)</f>
        <v>Electronics</v>
      </c>
      <c r="M627" t="str">
        <f>VLOOKUP(C627, Customers!A:E, 5, FALSE)</f>
        <v>Retail</v>
      </c>
      <c r="N627">
        <f>VLOOKUP(C627, Customers!A:E, 3, FALSE)</f>
        <v>35</v>
      </c>
      <c r="O627" s="93" t="str">
        <f>VLOOKUP(E627, Sales_Reps!A:C, 3, FALSE)</f>
        <v>North</v>
      </c>
      <c r="P627">
        <f>VLOOKUP(D627, Products!A:E, 4, FALSE)</f>
        <v>1559</v>
      </c>
      <c r="Q627">
        <f>IF(COUNTIF($A$2:A627, A627)=2, 1, 0)</f>
        <v>0</v>
      </c>
      <c r="R627">
        <f>IF(ISNA(MATCH(C627, Customers!$A:$A, 0)), 1, 0)</f>
        <v>0</v>
      </c>
      <c r="S627" s="94" t="b">
        <f>VLOOKUP(D627, Products!A:F, 6, FALSE)</f>
        <v>1</v>
      </c>
    </row>
    <row r="628" spans="1:19">
      <c r="A628" s="102" t="s">
        <v>1085</v>
      </c>
      <c r="B628" s="2">
        <v>45316</v>
      </c>
      <c r="C628" s="1" t="s">
        <v>537</v>
      </c>
      <c r="D628" s="1" t="s">
        <v>191</v>
      </c>
      <c r="E628" s="1" t="s">
        <v>273</v>
      </c>
      <c r="F628" s="83">
        <v>9</v>
      </c>
      <c r="G628" s="92">
        <v>5100</v>
      </c>
      <c r="H628" s="3">
        <v>26.4</v>
      </c>
      <c r="I628" s="3">
        <v>33782.400000000001</v>
      </c>
      <c r="J628" s="1" t="s">
        <v>87</v>
      </c>
      <c r="K628" s="1" t="s">
        <v>133</v>
      </c>
      <c r="L628" t="str">
        <f>VLOOKUP(D628, Products!A:C, 3, FALSE)</f>
        <v>Beauty</v>
      </c>
      <c r="M628" t="str">
        <f>VLOOKUP(C628, Customers!A:E, 5, FALSE)</f>
        <v>SMB</v>
      </c>
      <c r="N628">
        <f>VLOOKUP(C628, Customers!A:E, 3, FALSE)</f>
        <v>48</v>
      </c>
      <c r="O628" s="93" t="str">
        <f>VLOOKUP(E628, Sales_Reps!A:C, 3, FALSE)</f>
        <v>South</v>
      </c>
      <c r="P628">
        <f>VLOOKUP(D628, Products!A:E, 4, FALSE)</f>
        <v>2237</v>
      </c>
      <c r="Q628">
        <f>IF(COUNTIF($A$2:A628, A628)=2, 1, 0)</f>
        <v>0</v>
      </c>
      <c r="R628">
        <f>IF(ISNA(MATCH(C628, Customers!$A:$A, 0)), 1, 0)</f>
        <v>0</v>
      </c>
      <c r="S628" s="94" t="b">
        <f>VLOOKUP(D628, Products!A:F, 6, FALSE)</f>
        <v>1</v>
      </c>
    </row>
    <row r="629" spans="1:19">
      <c r="A629" s="102" t="s">
        <v>1086</v>
      </c>
      <c r="B629" s="2">
        <v>45451</v>
      </c>
      <c r="C629" s="1" t="s">
        <v>948</v>
      </c>
      <c r="D629" s="1" t="s">
        <v>106</v>
      </c>
      <c r="E629" s="1" t="s">
        <v>107</v>
      </c>
      <c r="F629" s="83">
        <v>2</v>
      </c>
      <c r="G629" s="92">
        <v>3160</v>
      </c>
      <c r="H629" s="3">
        <v>13.4</v>
      </c>
      <c r="I629" s="3">
        <v>5473.12</v>
      </c>
      <c r="J629" s="1" t="s">
        <v>144</v>
      </c>
      <c r="K629" s="1" t="s">
        <v>88</v>
      </c>
      <c r="L629" t="str">
        <f>VLOOKUP(D629, Products!A:C, 3, FALSE)</f>
        <v>Apparel</v>
      </c>
      <c r="M629" t="str">
        <f>VLOOKUP(C629, Customers!A:E, 5, FALSE)</f>
        <v>Retail</v>
      </c>
      <c r="N629">
        <f>VLOOKUP(C629, Customers!A:E, 3, FALSE)</f>
        <v>65</v>
      </c>
      <c r="O629" s="93" t="str">
        <f>VLOOKUP(E629, Sales_Reps!A:C, 3, FALSE)</f>
        <v>North</v>
      </c>
      <c r="P629">
        <f>VLOOKUP(D629, Products!A:E, 4, FALSE)</f>
        <v>1886</v>
      </c>
      <c r="Q629">
        <f>IF(COUNTIF($A$2:A629, A629)=2, 1, 0)</f>
        <v>0</v>
      </c>
      <c r="R629">
        <f>IF(ISNA(MATCH(C629, Customers!$A:$A, 0)), 1, 0)</f>
        <v>0</v>
      </c>
      <c r="S629" s="94" t="b">
        <f>VLOOKUP(D629, Products!A:F, 6, FALSE)</f>
        <v>1</v>
      </c>
    </row>
    <row r="630" spans="1:19">
      <c r="A630" s="102" t="s">
        <v>1087</v>
      </c>
      <c r="B630" s="2">
        <v>45554</v>
      </c>
      <c r="C630" s="1" t="s">
        <v>1027</v>
      </c>
      <c r="D630" s="1" t="s">
        <v>338</v>
      </c>
      <c r="E630" s="1" t="s">
        <v>273</v>
      </c>
      <c r="F630" s="83">
        <v>8</v>
      </c>
      <c r="G630" s="92">
        <v>2210</v>
      </c>
      <c r="H630" s="3">
        <v>26</v>
      </c>
      <c r="I630" s="3">
        <v>13083.2</v>
      </c>
      <c r="J630" s="1" t="s">
        <v>87</v>
      </c>
      <c r="K630" s="1" t="s">
        <v>112</v>
      </c>
      <c r="L630" t="str">
        <f>VLOOKUP(D630, Products!A:C, 3, FALSE)</f>
        <v>Grocery</v>
      </c>
      <c r="M630" t="str">
        <f>VLOOKUP(C630, Customers!A:E, 5, FALSE)</f>
        <v>SMB</v>
      </c>
      <c r="N630">
        <f>VLOOKUP(C630, Customers!A:E, 3, FALSE)</f>
        <v>47</v>
      </c>
      <c r="O630" s="93" t="str">
        <f>VLOOKUP(E630, Sales_Reps!A:C, 3, FALSE)</f>
        <v>South</v>
      </c>
      <c r="P630">
        <f>VLOOKUP(D630, Products!A:E, 4, FALSE)</f>
        <v>1010</v>
      </c>
      <c r="Q630">
        <f>IF(COUNTIF($A$2:A630, A630)=2, 1, 0)</f>
        <v>0</v>
      </c>
      <c r="R630">
        <f>IF(ISNA(MATCH(C630, Customers!$A:$A, 0)), 1, 0)</f>
        <v>0</v>
      </c>
      <c r="S630" s="94" t="b">
        <f>VLOOKUP(D630, Products!A:F, 6, FALSE)</f>
        <v>1</v>
      </c>
    </row>
    <row r="631" spans="1:19">
      <c r="A631" s="102" t="s">
        <v>1088</v>
      </c>
      <c r="B631" s="2">
        <v>45567</v>
      </c>
      <c r="C631" s="1" t="s">
        <v>399</v>
      </c>
      <c r="D631" s="1" t="s">
        <v>659</v>
      </c>
      <c r="E631" s="1" t="s">
        <v>201</v>
      </c>
      <c r="F631" s="83">
        <v>5</v>
      </c>
      <c r="G631" s="92">
        <v>3560</v>
      </c>
      <c r="H631" s="3">
        <v>15</v>
      </c>
      <c r="I631" s="3">
        <v>15130</v>
      </c>
      <c r="J631" s="1" t="s">
        <v>87</v>
      </c>
      <c r="K631" s="1" t="s">
        <v>99</v>
      </c>
      <c r="L631" t="str">
        <f>VLOOKUP(D631, Products!A:C, 3, FALSE)</f>
        <v>Apparel</v>
      </c>
      <c r="M631" t="str">
        <f>VLOOKUP(C631, Customers!A:E, 5, FALSE)</f>
        <v>SMB</v>
      </c>
      <c r="N631">
        <f>VLOOKUP(C631, Customers!A:E, 3, FALSE)</f>
        <v>53</v>
      </c>
      <c r="O631" s="93" t="str">
        <f>VLOOKUP(E631, Sales_Reps!A:C, 3, FALSE)</f>
        <v>West</v>
      </c>
      <c r="P631">
        <f>VLOOKUP(D631, Products!A:E, 4, FALSE)</f>
        <v>2629</v>
      </c>
      <c r="Q631">
        <f>IF(COUNTIF($A$2:A631, A631)=2, 1, 0)</f>
        <v>0</v>
      </c>
      <c r="R631">
        <f>IF(ISNA(MATCH(C631, Customers!$A:$A, 0)), 1, 0)</f>
        <v>0</v>
      </c>
      <c r="S631" s="94" t="b">
        <f>VLOOKUP(D631, Products!A:F, 6, FALSE)</f>
        <v>1</v>
      </c>
    </row>
    <row r="632" spans="1:19">
      <c r="A632" s="102" t="s">
        <v>1089</v>
      </c>
      <c r="B632" s="2">
        <v>45633</v>
      </c>
      <c r="C632" s="1" t="s">
        <v>1000</v>
      </c>
      <c r="D632" s="1" t="s">
        <v>292</v>
      </c>
      <c r="E632" s="1" t="s">
        <v>132</v>
      </c>
      <c r="F632" s="83">
        <v>10</v>
      </c>
      <c r="G632" s="92">
        <v>620</v>
      </c>
      <c r="H632" s="3">
        <v>15.8</v>
      </c>
      <c r="I632" s="3">
        <v>5220.3999999999996</v>
      </c>
      <c r="J632" s="1" t="s">
        <v>144</v>
      </c>
      <c r="K632" s="1" t="s">
        <v>117</v>
      </c>
      <c r="L632" t="str">
        <f>VLOOKUP(D632, Products!A:C, 3, FALSE)</f>
        <v>Apparel</v>
      </c>
      <c r="M632" t="str">
        <f>VLOOKUP(C632, Customers!A:E, 5, FALSE)</f>
        <v>Retail</v>
      </c>
      <c r="N632">
        <f>VLOOKUP(C632, Customers!A:E, 3, FALSE)</f>
        <v>27</v>
      </c>
      <c r="O632" s="93" t="str">
        <f>VLOOKUP(E632, Sales_Reps!A:C, 3, FALSE)</f>
        <v>South</v>
      </c>
      <c r="P632">
        <f>VLOOKUP(D632, Products!A:E, 4, FALSE)</f>
        <v>396</v>
      </c>
      <c r="Q632">
        <f>IF(COUNTIF($A$2:A632, A632)=2, 1, 0)</f>
        <v>0</v>
      </c>
      <c r="R632">
        <f>IF(ISNA(MATCH(C632, Customers!$A:$A, 0)), 1, 0)</f>
        <v>0</v>
      </c>
      <c r="S632" s="94" t="b">
        <f>VLOOKUP(D632, Products!A:F, 6, FALSE)</f>
        <v>1</v>
      </c>
    </row>
    <row r="633" spans="1:19">
      <c r="A633" s="102" t="s">
        <v>1090</v>
      </c>
      <c r="B633" s="2">
        <v>45588</v>
      </c>
      <c r="C633" s="1" t="s">
        <v>557</v>
      </c>
      <c r="D633" s="1" t="s">
        <v>200</v>
      </c>
      <c r="E633" s="1" t="s">
        <v>297</v>
      </c>
      <c r="F633" s="83">
        <v>3</v>
      </c>
      <c r="G633" s="92">
        <v>2760</v>
      </c>
      <c r="H633" s="3">
        <v>1.9</v>
      </c>
      <c r="I633" s="3">
        <v>8122.68</v>
      </c>
      <c r="J633" s="1" t="s">
        <v>140</v>
      </c>
      <c r="K633" s="1" t="s">
        <v>112</v>
      </c>
      <c r="L633" t="str">
        <f>VLOOKUP(D633, Products!A:C, 3, FALSE)</f>
        <v>Grocery</v>
      </c>
      <c r="M633" t="str">
        <f>VLOOKUP(C633, Customers!A:E, 5, FALSE)</f>
        <v>Retail</v>
      </c>
      <c r="N633">
        <f>VLOOKUP(C633, Customers!A:E, 3, FALSE)</f>
        <v>65</v>
      </c>
      <c r="O633" s="93" t="str">
        <f>VLOOKUP(E633, Sales_Reps!A:C, 3, FALSE)</f>
        <v>North</v>
      </c>
      <c r="P633">
        <f>VLOOKUP(D633, Products!A:E, 4, FALSE)</f>
        <v>1435</v>
      </c>
      <c r="Q633">
        <f>IF(COUNTIF($A$2:A633, A633)=2, 1, 0)</f>
        <v>0</v>
      </c>
      <c r="R633">
        <f>IF(ISNA(MATCH(C633, Customers!$A:$A, 0)), 1, 0)</f>
        <v>0</v>
      </c>
      <c r="S633" s="94" t="b">
        <f>VLOOKUP(D633, Products!A:F, 6, FALSE)</f>
        <v>1</v>
      </c>
    </row>
    <row r="634" spans="1:19">
      <c r="A634" s="102" t="s">
        <v>1091</v>
      </c>
      <c r="B634" s="2">
        <v>45634</v>
      </c>
      <c r="C634" s="1" t="s">
        <v>219</v>
      </c>
      <c r="D634" s="1" t="s">
        <v>182</v>
      </c>
      <c r="E634" s="1" t="s">
        <v>92</v>
      </c>
      <c r="F634" s="83">
        <v>10</v>
      </c>
      <c r="G634" s="92">
        <v>1010</v>
      </c>
      <c r="H634" s="3">
        <v>28.9</v>
      </c>
      <c r="I634" s="3">
        <v>7181.1</v>
      </c>
      <c r="J634" s="1" t="s">
        <v>87</v>
      </c>
      <c r="K634" s="1" t="s">
        <v>99</v>
      </c>
      <c r="L634" t="str">
        <f>VLOOKUP(D634, Products!A:C, 3, FALSE)</f>
        <v>Sports</v>
      </c>
      <c r="M634" t="str">
        <f>VLOOKUP(C634, Customers!A:E, 5, FALSE)</f>
        <v>SMB</v>
      </c>
      <c r="N634">
        <f>VLOOKUP(C634, Customers!A:E, 3, FALSE)</f>
        <v>50</v>
      </c>
      <c r="O634" s="93" t="str">
        <f>VLOOKUP(E634, Sales_Reps!A:C, 3, FALSE)</f>
        <v>North</v>
      </c>
      <c r="P634">
        <f>VLOOKUP(D634, Products!A:E, 4, FALSE)</f>
        <v>516</v>
      </c>
      <c r="Q634">
        <f>IF(COUNTIF($A$2:A634, A634)=2, 1, 0)</f>
        <v>0</v>
      </c>
      <c r="R634">
        <f>IF(ISNA(MATCH(C634, Customers!$A:$A, 0)), 1, 0)</f>
        <v>0</v>
      </c>
      <c r="S634" s="94" t="b">
        <f>VLOOKUP(D634, Products!A:F, 6, FALSE)</f>
        <v>1</v>
      </c>
    </row>
    <row r="635" spans="1:19">
      <c r="A635" s="102" t="s">
        <v>1092</v>
      </c>
      <c r="B635" s="2">
        <v>45352</v>
      </c>
      <c r="C635" s="1" t="s">
        <v>206</v>
      </c>
      <c r="D635" s="1" t="s">
        <v>237</v>
      </c>
      <c r="E635" s="1" t="s">
        <v>297</v>
      </c>
      <c r="F635" s="83">
        <v>1</v>
      </c>
      <c r="G635" s="92">
        <v>3640</v>
      </c>
      <c r="H635" s="3">
        <v>9.6999999999999993</v>
      </c>
      <c r="I635" s="3">
        <v>3286.92</v>
      </c>
      <c r="J635" s="1" t="s">
        <v>87</v>
      </c>
      <c r="K635" s="1" t="s">
        <v>133</v>
      </c>
      <c r="L635" t="str">
        <f>VLOOKUP(D635, Products!A:C, 3, FALSE)</f>
        <v>Apparel</v>
      </c>
      <c r="M635" t="str">
        <f>VLOOKUP(C635, Customers!A:E, 5, FALSE)</f>
        <v>SMB</v>
      </c>
      <c r="N635">
        <f>VLOOKUP(C635, Customers!A:E, 3, FALSE)</f>
        <v>40</v>
      </c>
      <c r="O635" s="93" t="str">
        <f>VLOOKUP(E635, Sales_Reps!A:C, 3, FALSE)</f>
        <v>North</v>
      </c>
      <c r="P635">
        <f>VLOOKUP(D635, Products!A:E, 4, FALSE)</f>
        <v>2611</v>
      </c>
      <c r="Q635">
        <f>IF(COUNTIF($A$2:A635, A635)=2, 1, 0)</f>
        <v>0</v>
      </c>
      <c r="R635">
        <f>IF(ISNA(MATCH(C635, Customers!$A:$A, 0)), 1, 0)</f>
        <v>0</v>
      </c>
      <c r="S635" s="94" t="b">
        <f>VLOOKUP(D635, Products!A:F, 6, FALSE)</f>
        <v>1</v>
      </c>
    </row>
    <row r="636" spans="1:19">
      <c r="A636" s="102" t="s">
        <v>1093</v>
      </c>
      <c r="B636" s="2">
        <v>45489</v>
      </c>
      <c r="C636" s="1" t="s">
        <v>186</v>
      </c>
      <c r="D636" s="1" t="s">
        <v>91</v>
      </c>
      <c r="E636" s="1" t="s">
        <v>132</v>
      </c>
      <c r="F636" s="83">
        <v>1</v>
      </c>
      <c r="G636" s="92">
        <v>820</v>
      </c>
      <c r="H636" s="3">
        <v>15</v>
      </c>
      <c r="I636" s="3">
        <v>697</v>
      </c>
      <c r="J636" s="1" t="s">
        <v>87</v>
      </c>
      <c r="K636" s="1" t="s">
        <v>94</v>
      </c>
      <c r="L636" t="str">
        <f>VLOOKUP(D636, Products!A:C, 3, FALSE)</f>
        <v>Apparel</v>
      </c>
      <c r="M636" t="str">
        <f>VLOOKUP(C636, Customers!A:E, 5, FALSE)</f>
        <v>SMB</v>
      </c>
      <c r="N636">
        <f>VLOOKUP(C636, Customers!A:E, 3, FALSE)</f>
        <v>52</v>
      </c>
      <c r="O636" s="93" t="str">
        <f>VLOOKUP(E636, Sales_Reps!A:C, 3, FALSE)</f>
        <v>South</v>
      </c>
      <c r="P636">
        <f>VLOOKUP(D636, Products!A:E, 4, FALSE)</f>
        <v>391</v>
      </c>
      <c r="Q636">
        <f>IF(COUNTIF($A$2:A636, A636)=2, 1, 0)</f>
        <v>0</v>
      </c>
      <c r="R636">
        <f>IF(ISNA(MATCH(C636, Customers!$A:$A, 0)), 1, 0)</f>
        <v>0</v>
      </c>
      <c r="S636" s="94" t="b">
        <f>VLOOKUP(D636, Products!A:F, 6, FALSE)</f>
        <v>1</v>
      </c>
    </row>
    <row r="637" spans="1:19">
      <c r="A637" s="102" t="s">
        <v>1094</v>
      </c>
      <c r="B637" s="2">
        <v>45342</v>
      </c>
      <c r="C637" s="1" t="s">
        <v>163</v>
      </c>
      <c r="D637" s="1" t="s">
        <v>237</v>
      </c>
      <c r="E637" s="1" t="s">
        <v>273</v>
      </c>
      <c r="F637" s="83">
        <v>4</v>
      </c>
      <c r="G637" s="92">
        <v>3640</v>
      </c>
      <c r="H637" s="3">
        <v>17</v>
      </c>
      <c r="I637" s="3">
        <v>12084.8</v>
      </c>
      <c r="J637" s="1" t="s">
        <v>87</v>
      </c>
      <c r="K637" s="1" t="s">
        <v>94</v>
      </c>
      <c r="L637" t="str">
        <f>VLOOKUP(D637, Products!A:C, 3, FALSE)</f>
        <v>Apparel</v>
      </c>
      <c r="M637" t="str">
        <f>VLOOKUP(C637, Customers!A:E, 5, FALSE)</f>
        <v>Retail</v>
      </c>
      <c r="N637">
        <f>VLOOKUP(C637, Customers!A:E, 3, FALSE)</f>
        <v>49</v>
      </c>
      <c r="O637" s="93" t="str">
        <f>VLOOKUP(E637, Sales_Reps!A:C, 3, FALSE)</f>
        <v>South</v>
      </c>
      <c r="P637">
        <f>VLOOKUP(D637, Products!A:E, 4, FALSE)</f>
        <v>2611</v>
      </c>
      <c r="Q637">
        <f>IF(COUNTIF($A$2:A637, A637)=2, 1, 0)</f>
        <v>0</v>
      </c>
      <c r="R637">
        <f>IF(ISNA(MATCH(C637, Customers!$A:$A, 0)), 1, 0)</f>
        <v>0</v>
      </c>
      <c r="S637" s="94" t="b">
        <f>VLOOKUP(D637, Products!A:F, 6, FALSE)</f>
        <v>1</v>
      </c>
    </row>
    <row r="638" spans="1:19">
      <c r="A638" s="102" t="s">
        <v>1095</v>
      </c>
      <c r="B638" s="2">
        <v>45425</v>
      </c>
      <c r="C638" s="1" t="s">
        <v>1096</v>
      </c>
      <c r="D638" s="1" t="s">
        <v>367</v>
      </c>
      <c r="E638" s="1" t="s">
        <v>297</v>
      </c>
      <c r="F638" s="83">
        <v>7</v>
      </c>
      <c r="G638" s="92">
        <v>2380</v>
      </c>
      <c r="H638" s="3">
        <v>25.5</v>
      </c>
      <c r="I638" s="3">
        <v>12411.7</v>
      </c>
      <c r="J638" s="1" t="s">
        <v>87</v>
      </c>
      <c r="K638" s="1" t="s">
        <v>88</v>
      </c>
      <c r="L638" t="str">
        <f>VLOOKUP(D638, Products!A:C, 3, FALSE)</f>
        <v>Grocery</v>
      </c>
      <c r="M638" t="str">
        <f>VLOOKUP(C638, Customers!A:E, 5, FALSE)</f>
        <v>Corporate</v>
      </c>
      <c r="N638">
        <f>VLOOKUP(C638, Customers!A:E, 3, FALSE)</f>
        <v>42</v>
      </c>
      <c r="O638" s="93" t="str">
        <f>VLOOKUP(E638, Sales_Reps!A:C, 3, FALSE)</f>
        <v>North</v>
      </c>
      <c r="P638">
        <f>VLOOKUP(D638, Products!A:E, 4, FALSE)</f>
        <v>1182</v>
      </c>
      <c r="Q638">
        <f>IF(COUNTIF($A$2:A638, A638)=2, 1, 0)</f>
        <v>0</v>
      </c>
      <c r="R638">
        <f>IF(ISNA(MATCH(C638, Customers!$A:$A, 0)), 1, 0)</f>
        <v>0</v>
      </c>
      <c r="S638" s="94" t="b">
        <f>VLOOKUP(D638, Products!A:F, 6, FALSE)</f>
        <v>1</v>
      </c>
    </row>
    <row r="639" spans="1:19">
      <c r="A639" s="102" t="s">
        <v>1097</v>
      </c>
      <c r="B639" s="2">
        <v>45598</v>
      </c>
      <c r="C639" s="1" t="s">
        <v>807</v>
      </c>
      <c r="D639" s="1" t="s">
        <v>203</v>
      </c>
      <c r="E639" s="1" t="s">
        <v>107</v>
      </c>
      <c r="F639" s="83">
        <v>1</v>
      </c>
      <c r="G639" s="92">
        <v>660</v>
      </c>
      <c r="H639" s="3">
        <v>2.5</v>
      </c>
      <c r="I639" s="3">
        <v>643.5</v>
      </c>
      <c r="J639" s="1" t="s">
        <v>87</v>
      </c>
      <c r="K639" s="1" t="s">
        <v>88</v>
      </c>
      <c r="L639" t="str">
        <f>VLOOKUP(D639, Products!A:C, 3, FALSE)</f>
        <v>Home</v>
      </c>
      <c r="M639" t="str">
        <f>VLOOKUP(C639, Customers!A:E, 5, FALSE)</f>
        <v>Retail</v>
      </c>
      <c r="N639">
        <f>VLOOKUP(C639, Customers!A:E, 3, FALSE)</f>
        <v>36</v>
      </c>
      <c r="O639" s="93" t="str">
        <f>VLOOKUP(E639, Sales_Reps!A:C, 3, FALSE)</f>
        <v>North</v>
      </c>
      <c r="P639">
        <f>VLOOKUP(D639, Products!A:E, 4, FALSE)</f>
        <v>329</v>
      </c>
      <c r="Q639">
        <f>IF(COUNTIF($A$2:A639, A639)=2, 1, 0)</f>
        <v>0</v>
      </c>
      <c r="R639">
        <f>IF(ISNA(MATCH(C639, Customers!$A:$A, 0)), 1, 0)</f>
        <v>0</v>
      </c>
      <c r="S639" s="94" t="b">
        <f>VLOOKUP(D639, Products!A:F, 6, FALSE)</f>
        <v>1</v>
      </c>
    </row>
    <row r="640" spans="1:19">
      <c r="A640" s="102" t="s">
        <v>1098</v>
      </c>
      <c r="B640" s="2">
        <v>45353</v>
      </c>
      <c r="C640" s="1" t="s">
        <v>770</v>
      </c>
      <c r="D640" s="1" t="s">
        <v>248</v>
      </c>
      <c r="E640" s="1" t="s">
        <v>192</v>
      </c>
      <c r="F640" s="83">
        <v>7</v>
      </c>
      <c r="G640" s="92">
        <v>3870</v>
      </c>
      <c r="H640" s="3">
        <v>20.3</v>
      </c>
      <c r="I640" s="3">
        <v>21590.73</v>
      </c>
      <c r="J640" s="1" t="s">
        <v>93</v>
      </c>
      <c r="K640" s="1" t="s">
        <v>88</v>
      </c>
      <c r="L640" t="str">
        <f>VLOOKUP(D640, Products!A:C, 3, FALSE)</f>
        <v>Electronics</v>
      </c>
      <c r="M640" t="str">
        <f>VLOOKUP(C640, Customers!A:E, 5, FALSE)</f>
        <v>Retail</v>
      </c>
      <c r="N640">
        <f>VLOOKUP(C640, Customers!A:E, 3, FALSE)</f>
        <v>35</v>
      </c>
      <c r="O640" s="93" t="str">
        <f>VLOOKUP(E640, Sales_Reps!A:C, 3, FALSE)</f>
        <v>East</v>
      </c>
      <c r="P640">
        <f>VLOOKUP(D640, Products!A:E, 4, FALSE)</f>
        <v>1559</v>
      </c>
      <c r="Q640">
        <f>IF(COUNTIF($A$2:A640, A640)=2, 1, 0)</f>
        <v>0</v>
      </c>
      <c r="R640">
        <f>IF(ISNA(MATCH(C640, Customers!$A:$A, 0)), 1, 0)</f>
        <v>0</v>
      </c>
      <c r="S640" s="94" t="b">
        <f>VLOOKUP(D640, Products!A:F, 6, FALSE)</f>
        <v>1</v>
      </c>
    </row>
    <row r="641" spans="1:19">
      <c r="A641" s="102" t="s">
        <v>1099</v>
      </c>
      <c r="B641" s="2">
        <v>45542</v>
      </c>
      <c r="C641" s="1" t="s">
        <v>254</v>
      </c>
      <c r="D641" s="1" t="s">
        <v>110</v>
      </c>
      <c r="E641" s="1" t="s">
        <v>346</v>
      </c>
      <c r="F641" s="83">
        <v>10</v>
      </c>
      <c r="G641" s="92">
        <v>370</v>
      </c>
      <c r="H641" s="3">
        <v>1.3</v>
      </c>
      <c r="I641" s="3">
        <v>3651.9</v>
      </c>
      <c r="J641" s="1" t="s">
        <v>144</v>
      </c>
      <c r="K641" s="1" t="s">
        <v>94</v>
      </c>
      <c r="L641" t="str">
        <f>VLOOKUP(D641, Products!A:C, 3, FALSE)</f>
        <v>Home</v>
      </c>
      <c r="M641" t="str">
        <f>VLOOKUP(C641, Customers!A:E, 5, FALSE)</f>
        <v>Retail</v>
      </c>
      <c r="N641">
        <f>VLOOKUP(C641, Customers!A:E, 3, FALSE)</f>
        <v>24</v>
      </c>
      <c r="O641" s="93" t="str">
        <f>VLOOKUP(E641, Sales_Reps!A:C, 3, FALSE)</f>
        <v>South</v>
      </c>
      <c r="P641">
        <f>VLOOKUP(D641, Products!A:E, 4, FALSE)</f>
        <v>288</v>
      </c>
      <c r="Q641">
        <f>IF(COUNTIF($A$2:A641, A641)=2, 1, 0)</f>
        <v>0</v>
      </c>
      <c r="R641">
        <f>IF(ISNA(MATCH(C641, Customers!$A:$A, 0)), 1, 0)</f>
        <v>0</v>
      </c>
      <c r="S641" s="94" t="b">
        <f>VLOOKUP(D641, Products!A:F, 6, FALSE)</f>
        <v>1</v>
      </c>
    </row>
    <row r="642" spans="1:19">
      <c r="A642" s="102" t="s">
        <v>1100</v>
      </c>
      <c r="B642" s="2">
        <v>45365</v>
      </c>
      <c r="C642" s="1" t="s">
        <v>206</v>
      </c>
      <c r="D642" s="1" t="s">
        <v>85</v>
      </c>
      <c r="E642" s="1" t="s">
        <v>303</v>
      </c>
      <c r="F642" s="83">
        <v>1</v>
      </c>
      <c r="G642" s="92">
        <v>3620</v>
      </c>
      <c r="H642" s="3">
        <v>1.4</v>
      </c>
      <c r="I642" s="3">
        <v>3569.32</v>
      </c>
      <c r="J642" s="1" t="s">
        <v>87</v>
      </c>
      <c r="K642" s="1" t="s">
        <v>133</v>
      </c>
      <c r="L642" t="str">
        <f>VLOOKUP(D642, Products!A:C, 3, FALSE)</f>
        <v>Apparel</v>
      </c>
      <c r="M642" t="str">
        <f>VLOOKUP(C642, Customers!A:E, 5, FALSE)</f>
        <v>SMB</v>
      </c>
      <c r="N642">
        <f>VLOOKUP(C642, Customers!A:E, 3, FALSE)</f>
        <v>40</v>
      </c>
      <c r="O642" s="93" t="str">
        <f>VLOOKUP(E642, Sales_Reps!A:C, 3, FALSE)</f>
        <v>East</v>
      </c>
      <c r="P642">
        <f>VLOOKUP(D642, Products!A:E, 4, FALSE)</f>
        <v>2509</v>
      </c>
      <c r="Q642">
        <f>IF(COUNTIF($A$2:A642, A642)=2, 1, 0)</f>
        <v>0</v>
      </c>
      <c r="R642">
        <f>IF(ISNA(MATCH(C642, Customers!$A:$A, 0)), 1, 0)</f>
        <v>0</v>
      </c>
      <c r="S642" s="94" t="b">
        <f>VLOOKUP(D642, Products!A:F, 6, FALSE)</f>
        <v>1</v>
      </c>
    </row>
    <row r="643" spans="1:19">
      <c r="A643" s="102" t="s">
        <v>1101</v>
      </c>
      <c r="B643" s="2">
        <v>45574</v>
      </c>
      <c r="C643" s="1" t="s">
        <v>429</v>
      </c>
      <c r="D643" s="1" t="s">
        <v>279</v>
      </c>
      <c r="E643" s="1" t="s">
        <v>92</v>
      </c>
      <c r="F643" s="83">
        <v>10</v>
      </c>
      <c r="G643" s="92">
        <v>2660</v>
      </c>
      <c r="H643" s="3">
        <v>20.2</v>
      </c>
      <c r="I643" s="3">
        <v>21226.799999999999</v>
      </c>
      <c r="J643" s="1" t="s">
        <v>87</v>
      </c>
      <c r="K643" s="1" t="s">
        <v>117</v>
      </c>
      <c r="L643" t="str">
        <f>VLOOKUP(D643, Products!A:C, 3, FALSE)</f>
        <v>Electronics</v>
      </c>
      <c r="M643" t="str">
        <f>VLOOKUP(C643, Customers!A:E, 5, FALSE)</f>
        <v>Retail</v>
      </c>
      <c r="N643">
        <f>VLOOKUP(C643, Customers!A:E, 3, FALSE)</f>
        <v>55</v>
      </c>
      <c r="O643" s="93" t="str">
        <f>VLOOKUP(E643, Sales_Reps!A:C, 3, FALSE)</f>
        <v>North</v>
      </c>
      <c r="P643">
        <f>VLOOKUP(D643, Products!A:E, 4, FALSE)</f>
        <v>1259</v>
      </c>
      <c r="Q643">
        <f>IF(COUNTIF($A$2:A643, A643)=2, 1, 0)</f>
        <v>0</v>
      </c>
      <c r="R643">
        <f>IF(ISNA(MATCH(C643, Customers!$A:$A, 0)), 1, 0)</f>
        <v>0</v>
      </c>
      <c r="S643" s="94" t="b">
        <f>VLOOKUP(D643, Products!A:F, 6, FALSE)</f>
        <v>0</v>
      </c>
    </row>
    <row r="644" spans="1:19">
      <c r="A644" s="102" t="s">
        <v>1102</v>
      </c>
      <c r="B644" s="2">
        <v>45614</v>
      </c>
      <c r="C644" s="1" t="s">
        <v>266</v>
      </c>
      <c r="D644" s="1" t="s">
        <v>161</v>
      </c>
      <c r="E644" s="1" t="s">
        <v>188</v>
      </c>
      <c r="F644" s="83">
        <v>10</v>
      </c>
      <c r="G644" s="92">
        <v>3450</v>
      </c>
      <c r="H644" s="3">
        <v>25.1</v>
      </c>
      <c r="I644" s="3">
        <v>25840.5</v>
      </c>
      <c r="J644" s="1" t="s">
        <v>87</v>
      </c>
      <c r="K644" s="1" t="s">
        <v>99</v>
      </c>
      <c r="L644" t="str">
        <f>VLOOKUP(D644, Products!A:C, 3, FALSE)</f>
        <v>Sports</v>
      </c>
      <c r="M644" t="str">
        <f>VLOOKUP(C644, Customers!A:E, 5, FALSE)</f>
        <v>Corporate</v>
      </c>
      <c r="N644">
        <f>VLOOKUP(C644, Customers!A:E, 3, FALSE)</f>
        <v>55</v>
      </c>
      <c r="O644" s="93" t="str">
        <f>VLOOKUP(E644, Sales_Reps!A:C, 3, FALSE)</f>
        <v>South</v>
      </c>
      <c r="P644">
        <f>VLOOKUP(D644, Products!A:E, 4, FALSE)</f>
        <v>2467</v>
      </c>
      <c r="Q644">
        <f>IF(COUNTIF($A$2:A644, A644)=2, 1, 0)</f>
        <v>0</v>
      </c>
      <c r="R644">
        <f>IF(ISNA(MATCH(C644, Customers!$A:$A, 0)), 1, 0)</f>
        <v>0</v>
      </c>
      <c r="S644" s="94" t="b">
        <f>VLOOKUP(D644, Products!A:F, 6, FALSE)</f>
        <v>1</v>
      </c>
    </row>
    <row r="645" spans="1:19">
      <c r="A645" s="102" t="s">
        <v>1103</v>
      </c>
      <c r="B645" s="2">
        <v>45629</v>
      </c>
      <c r="C645" s="1" t="s">
        <v>1104</v>
      </c>
      <c r="D645" s="1" t="s">
        <v>351</v>
      </c>
      <c r="E645" s="1" t="s">
        <v>252</v>
      </c>
      <c r="F645" s="83">
        <v>3</v>
      </c>
      <c r="G645" s="92">
        <v>4060</v>
      </c>
      <c r="H645" s="3">
        <v>2.5</v>
      </c>
      <c r="I645" s="3">
        <v>11875.5</v>
      </c>
      <c r="J645" s="1" t="s">
        <v>144</v>
      </c>
      <c r="K645" s="1" t="s">
        <v>117</v>
      </c>
      <c r="L645" t="str">
        <f>VLOOKUP(D645, Products!A:C, 3, FALSE)</f>
        <v>Grocery</v>
      </c>
      <c r="M645" t="str">
        <f>VLOOKUP(C645, Customers!A:E, 5, FALSE)</f>
        <v>Corporate</v>
      </c>
      <c r="N645">
        <f>VLOOKUP(C645, Customers!A:E, 3, FALSE)</f>
        <v>31</v>
      </c>
      <c r="O645" s="93" t="str">
        <f>VLOOKUP(E645, Sales_Reps!A:C, 3, FALSE)</f>
        <v>South</v>
      </c>
      <c r="P645">
        <f>VLOOKUP(D645, Products!A:E, 4, FALSE)</f>
        <v>2911</v>
      </c>
      <c r="Q645">
        <f>IF(COUNTIF($A$2:A645, A645)=2, 1, 0)</f>
        <v>0</v>
      </c>
      <c r="R645">
        <f>IF(ISNA(MATCH(C645, Customers!$A:$A, 0)), 1, 0)</f>
        <v>0</v>
      </c>
      <c r="S645" s="94" t="b">
        <f>VLOOKUP(D645, Products!A:F, 6, FALSE)</f>
        <v>1</v>
      </c>
    </row>
    <row r="646" spans="1:19">
      <c r="A646" s="102" t="s">
        <v>1105</v>
      </c>
      <c r="B646" s="2">
        <v>45294</v>
      </c>
      <c r="C646" s="1" t="s">
        <v>178</v>
      </c>
      <c r="D646" s="1" t="s">
        <v>115</v>
      </c>
      <c r="E646" s="1" t="s">
        <v>158</v>
      </c>
      <c r="F646" s="83">
        <v>3</v>
      </c>
      <c r="G646" s="92">
        <v>960</v>
      </c>
      <c r="H646" s="3">
        <v>6.6</v>
      </c>
      <c r="I646" s="3">
        <v>2689.92</v>
      </c>
      <c r="J646" s="1" t="s">
        <v>140</v>
      </c>
      <c r="K646" s="1" t="s">
        <v>94</v>
      </c>
      <c r="L646" t="str">
        <f>VLOOKUP(D646, Products!A:C, 3, FALSE)</f>
        <v>Sports</v>
      </c>
      <c r="M646" t="str">
        <f>VLOOKUP(C646, Customers!A:E, 5, FALSE)</f>
        <v>Corporate</v>
      </c>
      <c r="N646">
        <f>VLOOKUP(C646, Customers!A:E, 3, FALSE)</f>
        <v>55</v>
      </c>
      <c r="O646" s="93" t="str">
        <f>VLOOKUP(E646, Sales_Reps!A:C, 3, FALSE)</f>
        <v>East</v>
      </c>
      <c r="P646">
        <f>VLOOKUP(D646, Products!A:E, 4, FALSE)</f>
        <v>705</v>
      </c>
      <c r="Q646">
        <f>IF(COUNTIF($A$2:A646, A646)=2, 1, 0)</f>
        <v>0</v>
      </c>
      <c r="R646">
        <f>IF(ISNA(MATCH(C646, Customers!$A:$A, 0)), 1, 0)</f>
        <v>0</v>
      </c>
      <c r="S646" s="94" t="b">
        <f>VLOOKUP(D646, Products!A:F, 6, FALSE)</f>
        <v>1</v>
      </c>
    </row>
    <row r="647" spans="1:19">
      <c r="A647" s="102" t="s">
        <v>1106</v>
      </c>
      <c r="B647" s="2">
        <v>45418</v>
      </c>
      <c r="C647" s="1" t="s">
        <v>561</v>
      </c>
      <c r="D647" s="1" t="s">
        <v>279</v>
      </c>
      <c r="E647" s="1" t="s">
        <v>107</v>
      </c>
      <c r="F647" s="83">
        <v>4</v>
      </c>
      <c r="G647" s="92">
        <v>2660</v>
      </c>
      <c r="H647" s="3">
        <v>16.899999999999999</v>
      </c>
      <c r="I647" s="3">
        <v>8841.84</v>
      </c>
      <c r="J647" s="1" t="s">
        <v>87</v>
      </c>
      <c r="K647" s="1" t="s">
        <v>133</v>
      </c>
      <c r="L647" t="str">
        <f>VLOOKUP(D647, Products!A:C, 3, FALSE)</f>
        <v>Electronics</v>
      </c>
      <c r="M647" t="str">
        <f>VLOOKUP(C647, Customers!A:E, 5, FALSE)</f>
        <v>SMB</v>
      </c>
      <c r="N647">
        <f>VLOOKUP(C647, Customers!A:E, 3, FALSE)</f>
        <v>43</v>
      </c>
      <c r="O647" s="93" t="str">
        <f>VLOOKUP(E647, Sales_Reps!A:C, 3, FALSE)</f>
        <v>North</v>
      </c>
      <c r="P647">
        <f>VLOOKUP(D647, Products!A:E, 4, FALSE)</f>
        <v>1259</v>
      </c>
      <c r="Q647">
        <f>IF(COUNTIF($A$2:A647, A647)=2, 1, 0)</f>
        <v>0</v>
      </c>
      <c r="R647">
        <f>IF(ISNA(MATCH(C647, Customers!$A:$A, 0)), 1, 0)</f>
        <v>0</v>
      </c>
      <c r="S647" s="94" t="b">
        <f>VLOOKUP(D647, Products!A:F, 6, FALSE)</f>
        <v>0</v>
      </c>
    </row>
    <row r="648" spans="1:19">
      <c r="A648" s="102" t="s">
        <v>1107</v>
      </c>
      <c r="B648" s="2">
        <v>45369</v>
      </c>
      <c r="C648" s="1" t="s">
        <v>501</v>
      </c>
      <c r="D648" s="1" t="s">
        <v>131</v>
      </c>
      <c r="E648" s="1" t="s">
        <v>303</v>
      </c>
      <c r="F648" s="83">
        <v>6</v>
      </c>
      <c r="G648" s="92">
        <v>2270</v>
      </c>
      <c r="H648" s="3">
        <v>16.7</v>
      </c>
      <c r="I648" s="3">
        <v>11345.46</v>
      </c>
      <c r="J648" s="1" t="s">
        <v>87</v>
      </c>
      <c r="K648" s="1" t="s">
        <v>133</v>
      </c>
      <c r="L648" t="str">
        <f>VLOOKUP(D648, Products!A:C, 3, FALSE)</f>
        <v>Grocery</v>
      </c>
      <c r="M648" t="str">
        <f>VLOOKUP(C648, Customers!A:E, 5, FALSE)</f>
        <v>SMB</v>
      </c>
      <c r="N648">
        <f>VLOOKUP(C648, Customers!A:E, 3, FALSE)</f>
        <v>65</v>
      </c>
      <c r="O648" s="93" t="str">
        <f>VLOOKUP(E648, Sales_Reps!A:C, 3, FALSE)</f>
        <v>East</v>
      </c>
      <c r="P648">
        <f>VLOOKUP(D648, Products!A:E, 4, FALSE)</f>
        <v>1203</v>
      </c>
      <c r="Q648">
        <f>IF(COUNTIF($A$2:A648, A648)=2, 1, 0)</f>
        <v>0</v>
      </c>
      <c r="R648">
        <f>IF(ISNA(MATCH(C648, Customers!$A:$A, 0)), 1, 0)</f>
        <v>0</v>
      </c>
      <c r="S648" s="94" t="b">
        <f>VLOOKUP(D648, Products!A:F, 6, FALSE)</f>
        <v>1</v>
      </c>
    </row>
    <row r="649" spans="1:19">
      <c r="A649" s="102" t="s">
        <v>1108</v>
      </c>
      <c r="B649" s="2">
        <v>45549</v>
      </c>
      <c r="C649" s="1" t="s">
        <v>394</v>
      </c>
      <c r="D649" s="1" t="s">
        <v>234</v>
      </c>
      <c r="E649" s="1" t="s">
        <v>111</v>
      </c>
      <c r="F649" s="83">
        <v>5</v>
      </c>
      <c r="G649" s="92">
        <v>3780</v>
      </c>
      <c r="H649" s="3">
        <v>21.5</v>
      </c>
      <c r="I649" s="3">
        <v>14836.5</v>
      </c>
      <c r="J649" s="1" t="s">
        <v>87</v>
      </c>
      <c r="K649" s="1" t="s">
        <v>117</v>
      </c>
      <c r="L649" t="str">
        <f>VLOOKUP(D649, Products!A:C, 3, FALSE)</f>
        <v>Grocery</v>
      </c>
      <c r="M649" t="str">
        <f>VLOOKUP(C649, Customers!A:E, 5, FALSE)</f>
        <v>SMB</v>
      </c>
      <c r="N649">
        <f>VLOOKUP(C649, Customers!A:E, 3, FALSE)</f>
        <v>28</v>
      </c>
      <c r="O649" s="93" t="str">
        <f>VLOOKUP(E649, Sales_Reps!A:C, 3, FALSE)</f>
        <v>West</v>
      </c>
      <c r="P649">
        <f>VLOOKUP(D649, Products!A:E, 4, FALSE)</f>
        <v>2436</v>
      </c>
      <c r="Q649">
        <f>IF(COUNTIF($A$2:A649, A649)=2, 1, 0)</f>
        <v>0</v>
      </c>
      <c r="R649">
        <f>IF(ISNA(MATCH(C649, Customers!$A:$A, 0)), 1, 0)</f>
        <v>0</v>
      </c>
      <c r="S649" s="94" t="b">
        <f>VLOOKUP(D649, Products!A:F, 6, FALSE)</f>
        <v>1</v>
      </c>
    </row>
    <row r="650" spans="1:19">
      <c r="A650" s="102" t="s">
        <v>1109</v>
      </c>
      <c r="B650" s="2">
        <v>45505</v>
      </c>
      <c r="C650" s="1" t="s">
        <v>910</v>
      </c>
      <c r="D650" s="1" t="s">
        <v>203</v>
      </c>
      <c r="E650" s="1" t="s">
        <v>121</v>
      </c>
      <c r="F650" s="83">
        <v>10</v>
      </c>
      <c r="G650" s="92">
        <v>660</v>
      </c>
      <c r="H650" s="3">
        <v>18.8</v>
      </c>
      <c r="I650" s="3">
        <v>5359.2</v>
      </c>
      <c r="J650" s="1" t="s">
        <v>87</v>
      </c>
      <c r="K650" s="1" t="s">
        <v>99</v>
      </c>
      <c r="L650" t="str">
        <f>VLOOKUP(D650, Products!A:C, 3, FALSE)</f>
        <v>Home</v>
      </c>
      <c r="M650" t="str">
        <f>VLOOKUP(C650, Customers!A:E, 5, FALSE)</f>
        <v>Retail</v>
      </c>
      <c r="N650">
        <f>VLOOKUP(C650, Customers!A:E, 3, FALSE)</f>
        <v>55</v>
      </c>
      <c r="O650" s="93" t="str">
        <f>VLOOKUP(E650, Sales_Reps!A:C, 3, FALSE)</f>
        <v>East</v>
      </c>
      <c r="P650">
        <f>VLOOKUP(D650, Products!A:E, 4, FALSE)</f>
        <v>329</v>
      </c>
      <c r="Q650">
        <f>IF(COUNTIF($A$2:A650, A650)=2, 1, 0)</f>
        <v>0</v>
      </c>
      <c r="R650">
        <f>IF(ISNA(MATCH(C650, Customers!$A:$A, 0)), 1, 0)</f>
        <v>0</v>
      </c>
      <c r="S650" s="94" t="b">
        <f>VLOOKUP(D650, Products!A:F, 6, FALSE)</f>
        <v>1</v>
      </c>
    </row>
    <row r="651" spans="1:19">
      <c r="A651" s="102" t="s">
        <v>1110</v>
      </c>
      <c r="B651" s="2">
        <v>45413</v>
      </c>
      <c r="C651" s="1" t="s">
        <v>608</v>
      </c>
      <c r="D651" s="1" t="s">
        <v>226</v>
      </c>
      <c r="E651" s="1" t="s">
        <v>116</v>
      </c>
      <c r="F651" s="83">
        <v>10</v>
      </c>
      <c r="G651" s="92">
        <v>3730</v>
      </c>
      <c r="H651" s="3">
        <v>15.1</v>
      </c>
      <c r="I651" s="3">
        <v>31667.7</v>
      </c>
      <c r="J651" s="1" t="s">
        <v>87</v>
      </c>
      <c r="K651" s="1" t="s">
        <v>88</v>
      </c>
      <c r="L651" t="str">
        <f>VLOOKUP(D651, Products!A:C, 3, FALSE)</f>
        <v>Home</v>
      </c>
      <c r="M651" t="str">
        <f>VLOOKUP(C651, Customers!A:E, 5, FALSE)</f>
        <v>Corporate</v>
      </c>
      <c r="N651">
        <f>VLOOKUP(C651, Customers!A:E, 3, FALSE)</f>
        <v>40</v>
      </c>
      <c r="O651" s="93" t="str">
        <f>VLOOKUP(E651, Sales_Reps!A:C, 3, FALSE)</f>
        <v>West</v>
      </c>
      <c r="P651">
        <f>VLOOKUP(D651, Products!A:E, 4, FALSE)</f>
        <v>2135</v>
      </c>
      <c r="Q651">
        <f>IF(COUNTIF($A$2:A651, A651)=2, 1, 0)</f>
        <v>0</v>
      </c>
      <c r="R651">
        <f>IF(ISNA(MATCH(C651, Customers!$A:$A, 0)), 1, 0)</f>
        <v>0</v>
      </c>
      <c r="S651" s="94" t="b">
        <f>VLOOKUP(D651, Products!A:F, 6, FALSE)</f>
        <v>1</v>
      </c>
    </row>
    <row r="652" spans="1:19">
      <c r="A652" s="102" t="s">
        <v>1111</v>
      </c>
      <c r="B652" s="2">
        <v>45559</v>
      </c>
      <c r="C652" s="1" t="s">
        <v>137</v>
      </c>
      <c r="D652" s="1" t="s">
        <v>351</v>
      </c>
      <c r="E652" s="1" t="s">
        <v>158</v>
      </c>
      <c r="F652" s="83">
        <v>6</v>
      </c>
      <c r="G652" s="92">
        <v>4060</v>
      </c>
      <c r="H652" s="3">
        <v>20.100000000000001</v>
      </c>
      <c r="I652" s="3">
        <v>19463.64</v>
      </c>
      <c r="J652" s="1" t="s">
        <v>93</v>
      </c>
      <c r="K652" s="1" t="s">
        <v>1112</v>
      </c>
      <c r="L652" t="str">
        <f>VLOOKUP(D652, Products!A:C, 3, FALSE)</f>
        <v>Grocery</v>
      </c>
      <c r="M652" t="str">
        <f>VLOOKUP(C652, Customers!A:E, 5, FALSE)</f>
        <v>SMB</v>
      </c>
      <c r="N652">
        <f>VLOOKUP(C652, Customers!A:E, 3, FALSE)</f>
        <v>27</v>
      </c>
      <c r="O652" s="93" t="str">
        <f>VLOOKUP(E652, Sales_Reps!A:C, 3, FALSE)</f>
        <v>East</v>
      </c>
      <c r="P652">
        <f>VLOOKUP(D652, Products!A:E, 4, FALSE)</f>
        <v>2911</v>
      </c>
      <c r="Q652">
        <f>IF(COUNTIF($A$2:A652, A652)=2, 1, 0)</f>
        <v>0</v>
      </c>
      <c r="R652">
        <f>IF(ISNA(MATCH(C652, Customers!$A:$A, 0)), 1, 0)</f>
        <v>0</v>
      </c>
      <c r="S652" s="94" t="b">
        <f>VLOOKUP(D652, Products!A:F, 6, FALSE)</f>
        <v>1</v>
      </c>
    </row>
    <row r="653" spans="1:19">
      <c r="A653" s="102" t="s">
        <v>1113</v>
      </c>
      <c r="B653" s="2">
        <v>45525</v>
      </c>
      <c r="C653" s="1" t="s">
        <v>983</v>
      </c>
      <c r="D653" s="1" t="s">
        <v>131</v>
      </c>
      <c r="E653" s="1" t="s">
        <v>148</v>
      </c>
      <c r="F653" s="83">
        <v>2</v>
      </c>
      <c r="G653" s="92">
        <v>2270</v>
      </c>
      <c r="H653" s="3">
        <v>17.7</v>
      </c>
      <c r="I653" s="3">
        <v>3736.42</v>
      </c>
      <c r="J653" s="1" t="s">
        <v>87</v>
      </c>
      <c r="K653" s="1" t="s">
        <v>117</v>
      </c>
      <c r="L653" t="str">
        <f>VLOOKUP(D653, Products!A:C, 3, FALSE)</f>
        <v>Grocery</v>
      </c>
      <c r="M653" t="str">
        <f>VLOOKUP(C653, Customers!A:E, 5, FALSE)</f>
        <v>SMB</v>
      </c>
      <c r="N653">
        <f>VLOOKUP(C653, Customers!A:E, 3, FALSE)</f>
        <v>36</v>
      </c>
      <c r="O653" s="93" t="str">
        <f>VLOOKUP(E653, Sales_Reps!A:C, 3, FALSE)</f>
        <v>North</v>
      </c>
      <c r="P653">
        <f>VLOOKUP(D653, Products!A:E, 4, FALSE)</f>
        <v>1203</v>
      </c>
      <c r="Q653">
        <f>IF(COUNTIF($A$2:A653, A653)=2, 1, 0)</f>
        <v>0</v>
      </c>
      <c r="R653">
        <f>IF(ISNA(MATCH(C653, Customers!$A:$A, 0)), 1, 0)</f>
        <v>0</v>
      </c>
      <c r="S653" s="94" t="b">
        <f>VLOOKUP(D653, Products!A:F, 6, FALSE)</f>
        <v>1</v>
      </c>
    </row>
    <row r="654" spans="1:19">
      <c r="A654" s="102" t="s">
        <v>1114</v>
      </c>
      <c r="B654" s="2">
        <v>45610</v>
      </c>
      <c r="C654" s="1" t="s">
        <v>537</v>
      </c>
      <c r="D654" s="1" t="s">
        <v>187</v>
      </c>
      <c r="E654" s="1" t="s">
        <v>128</v>
      </c>
      <c r="F654" s="83">
        <v>9</v>
      </c>
      <c r="G654" s="92">
        <v>3570</v>
      </c>
      <c r="H654" s="3">
        <v>29.9</v>
      </c>
      <c r="I654" s="3">
        <v>22523.13</v>
      </c>
      <c r="J654" s="1" t="s">
        <v>87</v>
      </c>
      <c r="K654" s="1" t="s">
        <v>133</v>
      </c>
      <c r="L654" t="str">
        <f>VLOOKUP(D654, Products!A:C, 3, FALSE)</f>
        <v>Electronics</v>
      </c>
      <c r="M654" t="str">
        <f>VLOOKUP(C654, Customers!A:E, 5, FALSE)</f>
        <v>SMB</v>
      </c>
      <c r="N654">
        <f>VLOOKUP(C654, Customers!A:E, 3, FALSE)</f>
        <v>48</v>
      </c>
      <c r="O654" s="93" t="str">
        <f>VLOOKUP(E654, Sales_Reps!A:C, 3, FALSE)</f>
        <v>West</v>
      </c>
      <c r="P654">
        <f>VLOOKUP(D654, Products!A:E, 4, FALSE)</f>
        <v>1665</v>
      </c>
      <c r="Q654">
        <f>IF(COUNTIF($A$2:A654, A654)=2, 1, 0)</f>
        <v>0</v>
      </c>
      <c r="R654">
        <f>IF(ISNA(MATCH(C654, Customers!$A:$A, 0)), 1, 0)</f>
        <v>0</v>
      </c>
      <c r="S654" s="94" t="b">
        <f>VLOOKUP(D654, Products!A:F, 6, FALSE)</f>
        <v>1</v>
      </c>
    </row>
    <row r="655" spans="1:19">
      <c r="A655" s="102" t="s">
        <v>1115</v>
      </c>
      <c r="B655" s="2">
        <v>45521</v>
      </c>
      <c r="C655" s="1" t="s">
        <v>828</v>
      </c>
      <c r="D655" s="1" t="s">
        <v>338</v>
      </c>
      <c r="E655" s="1" t="s">
        <v>139</v>
      </c>
      <c r="F655" s="83">
        <v>7</v>
      </c>
      <c r="G655" s="92">
        <v>2210</v>
      </c>
      <c r="H655" s="3">
        <v>25</v>
      </c>
      <c r="I655" s="3">
        <v>11602.5</v>
      </c>
      <c r="J655" s="1" t="s">
        <v>87</v>
      </c>
      <c r="K655" s="1" t="s">
        <v>133</v>
      </c>
      <c r="L655" t="str">
        <f>VLOOKUP(D655, Products!A:C, 3, FALSE)</f>
        <v>Grocery</v>
      </c>
      <c r="M655" t="str">
        <f>VLOOKUP(C655, Customers!A:E, 5, FALSE)</f>
        <v>Retail</v>
      </c>
      <c r="N655">
        <f>VLOOKUP(C655, Customers!A:E, 3, FALSE)</f>
        <v>52</v>
      </c>
      <c r="O655" s="93" t="str">
        <f>VLOOKUP(E655, Sales_Reps!A:C, 3, FALSE)</f>
        <v>North</v>
      </c>
      <c r="P655">
        <f>VLOOKUP(D655, Products!A:E, 4, FALSE)</f>
        <v>1010</v>
      </c>
      <c r="Q655">
        <f>IF(COUNTIF($A$2:A655, A655)=2, 1, 0)</f>
        <v>0</v>
      </c>
      <c r="R655">
        <f>IF(ISNA(MATCH(C655, Customers!$A:$A, 0)), 1, 0)</f>
        <v>0</v>
      </c>
      <c r="S655" s="94" t="b">
        <f>VLOOKUP(D655, Products!A:F, 6, FALSE)</f>
        <v>1</v>
      </c>
    </row>
    <row r="656" spans="1:19">
      <c r="A656" s="102" t="s">
        <v>1116</v>
      </c>
      <c r="B656" s="2">
        <v>45381</v>
      </c>
      <c r="C656" s="1" t="s">
        <v>905</v>
      </c>
      <c r="D656" s="1" t="s">
        <v>115</v>
      </c>
      <c r="E656" s="1" t="s">
        <v>201</v>
      </c>
      <c r="F656" s="83">
        <v>2</v>
      </c>
      <c r="G656" s="92">
        <v>960</v>
      </c>
      <c r="H656" s="3">
        <v>8.1999999999999993</v>
      </c>
      <c r="I656" s="3">
        <v>1762.56</v>
      </c>
      <c r="J656" s="1" t="s">
        <v>140</v>
      </c>
      <c r="K656" s="1" t="s">
        <v>112</v>
      </c>
      <c r="L656" t="str">
        <f>VLOOKUP(D656, Products!A:C, 3, FALSE)</f>
        <v>Sports</v>
      </c>
      <c r="M656" t="str">
        <f>VLOOKUP(C656, Customers!A:E, 5, FALSE)</f>
        <v>SMB</v>
      </c>
      <c r="N656">
        <f>VLOOKUP(C656, Customers!A:E, 3, FALSE)</f>
        <v>43</v>
      </c>
      <c r="O656" s="93" t="str">
        <f>VLOOKUP(E656, Sales_Reps!A:C, 3, FALSE)</f>
        <v>West</v>
      </c>
      <c r="P656">
        <f>VLOOKUP(D656, Products!A:E, 4, FALSE)</f>
        <v>705</v>
      </c>
      <c r="Q656">
        <f>IF(COUNTIF($A$2:A656, A656)=2, 1, 0)</f>
        <v>0</v>
      </c>
      <c r="R656">
        <f>IF(ISNA(MATCH(C656, Customers!$A:$A, 0)), 1, 0)</f>
        <v>0</v>
      </c>
      <c r="S656" s="94" t="b">
        <f>VLOOKUP(D656, Products!A:F, 6, FALSE)</f>
        <v>1</v>
      </c>
    </row>
    <row r="657" spans="1:19">
      <c r="A657" s="102" t="s">
        <v>1117</v>
      </c>
      <c r="B657" s="2">
        <v>45401</v>
      </c>
      <c r="C657" s="1" t="s">
        <v>628</v>
      </c>
      <c r="D657" s="1" t="s">
        <v>461</v>
      </c>
      <c r="E657" s="1" t="s">
        <v>201</v>
      </c>
      <c r="F657" s="83">
        <v>9</v>
      </c>
      <c r="G657" s="92">
        <v>3780</v>
      </c>
      <c r="H657" s="3">
        <v>28.4</v>
      </c>
      <c r="I657" s="3">
        <v>24358.32</v>
      </c>
      <c r="J657" s="1" t="s">
        <v>93</v>
      </c>
      <c r="K657" s="1" t="s">
        <v>133</v>
      </c>
      <c r="L657" t="str">
        <f>VLOOKUP(D657, Products!A:C, 3, FALSE)</f>
        <v>Sports</v>
      </c>
      <c r="M657" t="str">
        <f>VLOOKUP(C657, Customers!A:E, 5, FALSE)</f>
        <v>Corporate</v>
      </c>
      <c r="N657">
        <f>VLOOKUP(C657, Customers!A:E, 3, FALSE)</f>
        <v>22</v>
      </c>
      <c r="O657" s="93" t="str">
        <f>VLOOKUP(E657, Sales_Reps!A:C, 3, FALSE)</f>
        <v>West</v>
      </c>
      <c r="P657">
        <f>VLOOKUP(D657, Products!A:E, 4, FALSE)</f>
        <v>1860</v>
      </c>
      <c r="Q657">
        <f>IF(COUNTIF($A$2:A657, A657)=2, 1, 0)</f>
        <v>0</v>
      </c>
      <c r="R657">
        <f>IF(ISNA(MATCH(C657, Customers!$A:$A, 0)), 1, 0)</f>
        <v>0</v>
      </c>
      <c r="S657" s="94" t="b">
        <f>VLOOKUP(D657, Products!A:F, 6, FALSE)</f>
        <v>1</v>
      </c>
    </row>
    <row r="658" spans="1:19">
      <c r="A658" s="102" t="s">
        <v>1118</v>
      </c>
      <c r="B658" s="2">
        <v>45581</v>
      </c>
      <c r="C658" s="1" t="s">
        <v>886</v>
      </c>
      <c r="D658" s="1" t="s">
        <v>191</v>
      </c>
      <c r="E658" s="1" t="s">
        <v>98</v>
      </c>
      <c r="F658" s="83">
        <v>2</v>
      </c>
      <c r="G658" s="92">
        <v>5100</v>
      </c>
      <c r="H658" s="3">
        <v>8.6</v>
      </c>
      <c r="I658" s="3">
        <v>9322.7999999999993</v>
      </c>
      <c r="J658" s="1" t="s">
        <v>87</v>
      </c>
      <c r="K658" s="1" t="s">
        <v>94</v>
      </c>
      <c r="L658" t="str">
        <f>VLOOKUP(D658, Products!A:C, 3, FALSE)</f>
        <v>Beauty</v>
      </c>
      <c r="M658" t="str">
        <f>VLOOKUP(C658, Customers!A:E, 5, FALSE)</f>
        <v>Corporate</v>
      </c>
      <c r="N658">
        <f>VLOOKUP(C658, Customers!A:E, 3, FALSE)</f>
        <v>44</v>
      </c>
      <c r="O658" s="93" t="str">
        <f>VLOOKUP(E658, Sales_Reps!A:C, 3, FALSE)</f>
        <v>South</v>
      </c>
      <c r="P658">
        <f>VLOOKUP(D658, Products!A:E, 4, FALSE)</f>
        <v>2237</v>
      </c>
      <c r="Q658">
        <f>IF(COUNTIF($A$2:A658, A658)=2, 1, 0)</f>
        <v>0</v>
      </c>
      <c r="R658">
        <f>IF(ISNA(MATCH(C658, Customers!$A:$A, 0)), 1, 0)</f>
        <v>0</v>
      </c>
      <c r="S658" s="94" t="b">
        <f>VLOOKUP(D658, Products!A:F, 6, FALSE)</f>
        <v>1</v>
      </c>
    </row>
    <row r="659" spans="1:19">
      <c r="A659" s="102" t="s">
        <v>1119</v>
      </c>
      <c r="B659" s="2">
        <v>45414</v>
      </c>
      <c r="C659" s="1" t="s">
        <v>510</v>
      </c>
      <c r="D659" s="1" t="s">
        <v>167</v>
      </c>
      <c r="E659" s="1" t="s">
        <v>158</v>
      </c>
      <c r="F659" s="83">
        <v>4</v>
      </c>
      <c r="G659" s="92">
        <v>2480</v>
      </c>
      <c r="H659" s="3">
        <v>16.600000000000001</v>
      </c>
      <c r="I659" s="3">
        <v>8273.2800000000007</v>
      </c>
      <c r="J659" s="1" t="s">
        <v>87</v>
      </c>
      <c r="K659" s="1" t="s">
        <v>117</v>
      </c>
      <c r="L659" t="str">
        <f>VLOOKUP(D659, Products!A:C, 3, FALSE)</f>
        <v>Apparel</v>
      </c>
      <c r="M659" t="str">
        <f>VLOOKUP(C659, Customers!A:E, 5, FALSE)</f>
        <v>SMB</v>
      </c>
      <c r="N659">
        <f>VLOOKUP(C659, Customers!A:E, 3, FALSE)</f>
        <v>26</v>
      </c>
      <c r="O659" s="93" t="str">
        <f>VLOOKUP(E659, Sales_Reps!A:C, 3, FALSE)</f>
        <v>East</v>
      </c>
      <c r="P659">
        <f>VLOOKUP(D659, Products!A:E, 4, FALSE)</f>
        <v>1173</v>
      </c>
      <c r="Q659">
        <f>IF(COUNTIF($A$2:A659, A659)=2, 1, 0)</f>
        <v>0</v>
      </c>
      <c r="R659">
        <f>IF(ISNA(MATCH(C659, Customers!$A:$A, 0)), 1, 0)</f>
        <v>0</v>
      </c>
      <c r="S659" s="94" t="b">
        <f>VLOOKUP(D659, Products!A:F, 6, FALSE)</f>
        <v>1</v>
      </c>
    </row>
    <row r="660" spans="1:19">
      <c r="A660" s="102" t="s">
        <v>1120</v>
      </c>
      <c r="B660" s="2">
        <v>45443</v>
      </c>
      <c r="C660" s="1" t="s">
        <v>1121</v>
      </c>
      <c r="D660" s="1" t="s">
        <v>164</v>
      </c>
      <c r="E660" s="1" t="s">
        <v>303</v>
      </c>
      <c r="F660" s="83">
        <v>10</v>
      </c>
      <c r="G660" s="92">
        <v>1080</v>
      </c>
      <c r="H660" s="3">
        <v>14.5</v>
      </c>
      <c r="I660" s="3">
        <v>9234</v>
      </c>
      <c r="J660" s="1" t="s">
        <v>87</v>
      </c>
      <c r="K660" s="1" t="s">
        <v>112</v>
      </c>
      <c r="L660" t="str">
        <f>VLOOKUP(D660, Products!A:C, 3, FALSE)</f>
        <v>Home</v>
      </c>
      <c r="M660" t="str">
        <f>VLOOKUP(C660, Customers!A:E, 5, FALSE)</f>
        <v>Corporate</v>
      </c>
      <c r="N660">
        <f>VLOOKUP(C660, Customers!A:E, 3, FALSE)</f>
        <v>46</v>
      </c>
      <c r="O660" s="93" t="str">
        <f>VLOOKUP(E660, Sales_Reps!A:C, 3, FALSE)</f>
        <v>East</v>
      </c>
      <c r="P660">
        <f>VLOOKUP(D660, Products!A:E, 4, FALSE)</f>
        <v>519</v>
      </c>
      <c r="Q660">
        <f>IF(COUNTIF($A$2:A660, A660)=2, 1, 0)</f>
        <v>0</v>
      </c>
      <c r="R660">
        <f>IF(ISNA(MATCH(C660, Customers!$A:$A, 0)), 1, 0)</f>
        <v>0</v>
      </c>
      <c r="S660" s="94" t="b">
        <f>VLOOKUP(D660, Products!A:F, 6, FALSE)</f>
        <v>1</v>
      </c>
    </row>
    <row r="661" spans="1:19">
      <c r="A661" s="102" t="s">
        <v>1122</v>
      </c>
      <c r="B661" s="2">
        <v>45377</v>
      </c>
      <c r="C661" s="1" t="s">
        <v>626</v>
      </c>
      <c r="D661" s="1" t="s">
        <v>138</v>
      </c>
      <c r="E661" s="1" t="s">
        <v>229</v>
      </c>
      <c r="F661" s="83">
        <v>7</v>
      </c>
      <c r="G661" s="92">
        <v>2600</v>
      </c>
      <c r="H661" s="3">
        <v>21</v>
      </c>
      <c r="I661" s="3">
        <v>14378</v>
      </c>
      <c r="J661" s="1" t="s">
        <v>87</v>
      </c>
      <c r="K661" s="1" t="s">
        <v>99</v>
      </c>
      <c r="L661" t="str">
        <f>VLOOKUP(D661, Products!A:C, 3, FALSE)</f>
        <v>Electronics</v>
      </c>
      <c r="M661" t="str">
        <f>VLOOKUP(C661, Customers!A:E, 5, FALSE)</f>
        <v>Retail</v>
      </c>
      <c r="N661">
        <f>VLOOKUP(C661, Customers!A:E, 3, FALSE)</f>
        <v>40</v>
      </c>
      <c r="O661" s="93" t="str">
        <f>VLOOKUP(E661, Sales_Reps!A:C, 3, FALSE)</f>
        <v>West</v>
      </c>
      <c r="P661">
        <f>VLOOKUP(D661, Products!A:E, 4, FALSE)</f>
        <v>1052</v>
      </c>
      <c r="Q661">
        <f>IF(COUNTIF($A$2:A661, A661)=2, 1, 0)</f>
        <v>0</v>
      </c>
      <c r="R661">
        <f>IF(ISNA(MATCH(C661, Customers!$A:$A, 0)), 1, 0)</f>
        <v>0</v>
      </c>
      <c r="S661" s="94" t="b">
        <f>VLOOKUP(D661, Products!A:F, 6, FALSE)</f>
        <v>1</v>
      </c>
    </row>
    <row r="662" spans="1:19">
      <c r="A662" s="102" t="s">
        <v>1123</v>
      </c>
      <c r="B662" s="2">
        <v>45622</v>
      </c>
      <c r="C662" s="1" t="s">
        <v>105</v>
      </c>
      <c r="D662" s="1" t="s">
        <v>138</v>
      </c>
      <c r="E662" s="1" t="s">
        <v>188</v>
      </c>
      <c r="F662" s="83">
        <v>7</v>
      </c>
      <c r="G662" s="92">
        <v>2600</v>
      </c>
      <c r="H662" s="3">
        <v>6.7</v>
      </c>
      <c r="I662" s="3">
        <v>16980.599999999999</v>
      </c>
      <c r="J662" s="1" t="s">
        <v>93</v>
      </c>
      <c r="K662" s="1" t="s">
        <v>94</v>
      </c>
      <c r="L662" t="str">
        <f>VLOOKUP(D662, Products!A:C, 3, FALSE)</f>
        <v>Electronics</v>
      </c>
      <c r="M662" t="str">
        <f>VLOOKUP(C662, Customers!A:E, 5, FALSE)</f>
        <v>Retail</v>
      </c>
      <c r="N662">
        <f>VLOOKUP(C662, Customers!A:E, 3, FALSE)</f>
        <v>36</v>
      </c>
      <c r="O662" s="93" t="str">
        <f>VLOOKUP(E662, Sales_Reps!A:C, 3, FALSE)</f>
        <v>South</v>
      </c>
      <c r="P662">
        <f>VLOOKUP(D662, Products!A:E, 4, FALSE)</f>
        <v>1052</v>
      </c>
      <c r="Q662">
        <f>IF(COUNTIF($A$2:A662, A662)=2, 1, 0)</f>
        <v>0</v>
      </c>
      <c r="R662">
        <f>IF(ISNA(MATCH(C662, Customers!$A:$A, 0)), 1, 0)</f>
        <v>0</v>
      </c>
      <c r="S662" s="94" t="b">
        <f>VLOOKUP(D662, Products!A:F, 6, FALSE)</f>
        <v>1</v>
      </c>
    </row>
    <row r="663" spans="1:19">
      <c r="A663" s="102" t="s">
        <v>1124</v>
      </c>
      <c r="B663" s="2">
        <v>45403</v>
      </c>
      <c r="C663" s="1" t="s">
        <v>219</v>
      </c>
      <c r="D663" s="1" t="s">
        <v>91</v>
      </c>
      <c r="E663" s="1" t="s">
        <v>154</v>
      </c>
      <c r="F663" s="83">
        <v>8</v>
      </c>
      <c r="G663" s="92">
        <v>820</v>
      </c>
      <c r="H663" s="3">
        <v>17.8</v>
      </c>
      <c r="I663" s="3">
        <v>5392.32</v>
      </c>
      <c r="J663" s="1" t="s">
        <v>93</v>
      </c>
      <c r="K663" s="1" t="s">
        <v>99</v>
      </c>
      <c r="L663" t="str">
        <f>VLOOKUP(D663, Products!A:C, 3, FALSE)</f>
        <v>Apparel</v>
      </c>
      <c r="M663" t="str">
        <f>VLOOKUP(C663, Customers!A:E, 5, FALSE)</f>
        <v>SMB</v>
      </c>
      <c r="N663">
        <f>VLOOKUP(C663, Customers!A:E, 3, FALSE)</f>
        <v>50</v>
      </c>
      <c r="O663" s="93" t="str">
        <f>VLOOKUP(E663, Sales_Reps!A:C, 3, FALSE)</f>
        <v>East</v>
      </c>
      <c r="P663">
        <f>VLOOKUP(D663, Products!A:E, 4, FALSE)</f>
        <v>391</v>
      </c>
      <c r="Q663">
        <f>IF(COUNTIF($A$2:A663, A663)=2, 1, 0)</f>
        <v>0</v>
      </c>
      <c r="R663">
        <f>IF(ISNA(MATCH(C663, Customers!$A:$A, 0)), 1, 0)</f>
        <v>0</v>
      </c>
      <c r="S663" s="94" t="b">
        <f>VLOOKUP(D663, Products!A:F, 6, FALSE)</f>
        <v>1</v>
      </c>
    </row>
    <row r="664" spans="1:19">
      <c r="A664" s="102" t="s">
        <v>1125</v>
      </c>
      <c r="B664" s="2">
        <v>45532</v>
      </c>
      <c r="C664" s="1" t="s">
        <v>518</v>
      </c>
      <c r="D664" s="1" t="s">
        <v>115</v>
      </c>
      <c r="E664" s="1" t="s">
        <v>204</v>
      </c>
      <c r="F664" s="83">
        <v>3</v>
      </c>
      <c r="G664" s="92">
        <v>960</v>
      </c>
      <c r="H664" s="3">
        <v>17.8</v>
      </c>
      <c r="I664" s="3">
        <v>2367.36</v>
      </c>
      <c r="J664" s="1" t="s">
        <v>87</v>
      </c>
      <c r="K664" s="1" t="s">
        <v>88</v>
      </c>
      <c r="L664" t="str">
        <f>VLOOKUP(D664, Products!A:C, 3, FALSE)</f>
        <v>Sports</v>
      </c>
      <c r="M664" t="str">
        <f>VLOOKUP(C664, Customers!A:E, 5, FALSE)</f>
        <v>Retail</v>
      </c>
      <c r="N664">
        <f>VLOOKUP(C664, Customers!A:E, 3, FALSE)</f>
        <v>49</v>
      </c>
      <c r="O664" s="93" t="str">
        <f>VLOOKUP(E664, Sales_Reps!A:C, 3, FALSE)</f>
        <v>South</v>
      </c>
      <c r="P664">
        <f>VLOOKUP(D664, Products!A:E, 4, FALSE)</f>
        <v>705</v>
      </c>
      <c r="Q664">
        <f>IF(COUNTIF($A$2:A664, A664)=2, 1, 0)</f>
        <v>0</v>
      </c>
      <c r="R664">
        <f>IF(ISNA(MATCH(C664, Customers!$A:$A, 0)), 1, 0)</f>
        <v>0</v>
      </c>
      <c r="S664" s="94" t="b">
        <f>VLOOKUP(D664, Products!A:F, 6, FALSE)</f>
        <v>1</v>
      </c>
    </row>
    <row r="665" spans="1:19">
      <c r="A665" s="102" t="s">
        <v>1126</v>
      </c>
      <c r="B665" s="2">
        <v>45301</v>
      </c>
      <c r="C665" s="1" t="s">
        <v>266</v>
      </c>
      <c r="D665" s="1" t="s">
        <v>259</v>
      </c>
      <c r="E665" s="1" t="s">
        <v>154</v>
      </c>
      <c r="F665" s="83">
        <v>2</v>
      </c>
      <c r="G665" s="92">
        <v>1540</v>
      </c>
      <c r="H665" s="3">
        <v>1.8</v>
      </c>
      <c r="I665" s="3">
        <v>3024.56</v>
      </c>
      <c r="J665" s="1" t="s">
        <v>140</v>
      </c>
      <c r="K665" s="1" t="s">
        <v>99</v>
      </c>
      <c r="L665" t="str">
        <f>VLOOKUP(D665, Products!A:C, 3, FALSE)</f>
        <v>Beauty</v>
      </c>
      <c r="M665" t="str">
        <f>VLOOKUP(C665, Customers!A:E, 5, FALSE)</f>
        <v>Corporate</v>
      </c>
      <c r="N665">
        <f>VLOOKUP(C665, Customers!A:E, 3, FALSE)</f>
        <v>55</v>
      </c>
      <c r="O665" s="93" t="str">
        <f>VLOOKUP(E665, Sales_Reps!A:C, 3, FALSE)</f>
        <v>East</v>
      </c>
      <c r="P665">
        <f>VLOOKUP(D665, Products!A:E, 4, FALSE)</f>
        <v>647</v>
      </c>
      <c r="Q665">
        <f>IF(COUNTIF($A$2:A665, A665)=2, 1, 0)</f>
        <v>0</v>
      </c>
      <c r="R665">
        <f>IF(ISNA(MATCH(C665, Customers!$A:$A, 0)), 1, 0)</f>
        <v>0</v>
      </c>
      <c r="S665" s="94" t="b">
        <f>VLOOKUP(D665, Products!A:F, 6, FALSE)</f>
        <v>0</v>
      </c>
    </row>
    <row r="666" spans="1:19">
      <c r="A666" s="102" t="s">
        <v>1127</v>
      </c>
      <c r="B666" s="2">
        <v>45622</v>
      </c>
      <c r="C666" s="1" t="s">
        <v>1006</v>
      </c>
      <c r="D666" s="1" t="s">
        <v>515</v>
      </c>
      <c r="E666" s="1" t="s">
        <v>170</v>
      </c>
      <c r="F666" s="83">
        <v>5</v>
      </c>
      <c r="G666" s="92">
        <v>6940</v>
      </c>
      <c r="H666" s="3">
        <v>2.9</v>
      </c>
      <c r="I666" s="3">
        <v>33693.699999999997</v>
      </c>
      <c r="J666" s="1" t="s">
        <v>87</v>
      </c>
      <c r="K666" s="1" t="s">
        <v>117</v>
      </c>
      <c r="L666" t="str">
        <f>VLOOKUP(D666, Products!A:C, 3, FALSE)</f>
        <v>Sports</v>
      </c>
      <c r="M666" t="str">
        <f>VLOOKUP(C666, Customers!A:E, 5, FALSE)</f>
        <v>SMB</v>
      </c>
      <c r="N666">
        <f>VLOOKUP(C666, Customers!A:E, 3, FALSE)</f>
        <v>44</v>
      </c>
      <c r="O666" s="93" t="str">
        <f>VLOOKUP(E666, Sales_Reps!A:C, 3, FALSE)</f>
        <v>West</v>
      </c>
      <c r="P666">
        <f>VLOOKUP(D666, Products!A:E, 4, FALSE)</f>
        <v>2827</v>
      </c>
      <c r="Q666">
        <f>IF(COUNTIF($A$2:A666, A666)=2, 1, 0)</f>
        <v>0</v>
      </c>
      <c r="R666">
        <f>IF(ISNA(MATCH(C666, Customers!$A:$A, 0)), 1, 0)</f>
        <v>0</v>
      </c>
      <c r="S666" s="94" t="b">
        <f>VLOOKUP(D666, Products!A:F, 6, FALSE)</f>
        <v>1</v>
      </c>
    </row>
    <row r="667" spans="1:19">
      <c r="A667" s="102" t="s">
        <v>1128</v>
      </c>
      <c r="B667" s="2">
        <v>45531</v>
      </c>
      <c r="C667" s="1" t="s">
        <v>378</v>
      </c>
      <c r="D667" s="1" t="s">
        <v>259</v>
      </c>
      <c r="E667" s="1" t="s">
        <v>252</v>
      </c>
      <c r="F667" s="83">
        <v>5</v>
      </c>
      <c r="G667" s="92">
        <v>1540</v>
      </c>
      <c r="H667" s="3">
        <v>28.8</v>
      </c>
      <c r="I667" s="3">
        <v>5482.4</v>
      </c>
      <c r="J667" s="1" t="s">
        <v>87</v>
      </c>
      <c r="K667" s="1" t="s">
        <v>94</v>
      </c>
      <c r="L667" t="str">
        <f>VLOOKUP(D667, Products!A:C, 3, FALSE)</f>
        <v>Beauty</v>
      </c>
      <c r="M667" t="str">
        <f>VLOOKUP(C667, Customers!A:E, 5, FALSE)</f>
        <v>SMB</v>
      </c>
      <c r="N667">
        <f>VLOOKUP(C667, Customers!A:E, 3, FALSE)</f>
        <v>53</v>
      </c>
      <c r="O667" s="93" t="str">
        <f>VLOOKUP(E667, Sales_Reps!A:C, 3, FALSE)</f>
        <v>South</v>
      </c>
      <c r="P667">
        <f>VLOOKUP(D667, Products!A:E, 4, FALSE)</f>
        <v>647</v>
      </c>
      <c r="Q667">
        <f>IF(COUNTIF($A$2:A667, A667)=2, 1, 0)</f>
        <v>0</v>
      </c>
      <c r="R667">
        <f>IF(ISNA(MATCH(C667, Customers!$A:$A, 0)), 1, 0)</f>
        <v>0</v>
      </c>
      <c r="S667" s="94" t="b">
        <f>VLOOKUP(D667, Products!A:F, 6, FALSE)</f>
        <v>0</v>
      </c>
    </row>
    <row r="668" spans="1:19">
      <c r="A668" s="102" t="s">
        <v>1129</v>
      </c>
      <c r="B668" s="2">
        <v>45326</v>
      </c>
      <c r="C668" s="1" t="s">
        <v>705</v>
      </c>
      <c r="D668" s="1" t="s">
        <v>226</v>
      </c>
      <c r="E668" s="1" t="s">
        <v>325</v>
      </c>
      <c r="F668" s="83">
        <v>8</v>
      </c>
      <c r="G668" s="92">
        <v>3730</v>
      </c>
      <c r="H668" s="3">
        <v>21.1</v>
      </c>
      <c r="I668" s="3">
        <v>23543.759999999998</v>
      </c>
      <c r="J668" s="1" t="s">
        <v>87</v>
      </c>
      <c r="K668" s="1" t="s">
        <v>99</v>
      </c>
      <c r="L668" t="str">
        <f>VLOOKUP(D668, Products!A:C, 3, FALSE)</f>
        <v>Home</v>
      </c>
      <c r="M668" t="str">
        <f>VLOOKUP(C668, Customers!A:E, 5, FALSE)</f>
        <v>Retail</v>
      </c>
      <c r="N668">
        <f>VLOOKUP(C668, Customers!A:E, 3, FALSE)</f>
        <v>53</v>
      </c>
      <c r="O668" s="93" t="str">
        <f>VLOOKUP(E668, Sales_Reps!A:C, 3, FALSE)</f>
        <v>South</v>
      </c>
      <c r="P668">
        <f>VLOOKUP(D668, Products!A:E, 4, FALSE)</f>
        <v>2135</v>
      </c>
      <c r="Q668">
        <f>IF(COUNTIF($A$2:A668, A668)=2, 1, 0)</f>
        <v>0</v>
      </c>
      <c r="R668">
        <f>IF(ISNA(MATCH(C668, Customers!$A:$A, 0)), 1, 0)</f>
        <v>0</v>
      </c>
      <c r="S668" s="94" t="b">
        <f>VLOOKUP(D668, Products!A:F, 6, FALSE)</f>
        <v>1</v>
      </c>
    </row>
    <row r="669" spans="1:19">
      <c r="A669" s="102" t="s">
        <v>1130</v>
      </c>
      <c r="B669" s="2">
        <v>45635</v>
      </c>
      <c r="C669" s="1" t="s">
        <v>247</v>
      </c>
      <c r="D669" s="1" t="s">
        <v>200</v>
      </c>
      <c r="E669" s="1" t="s">
        <v>154</v>
      </c>
      <c r="F669" s="83">
        <v>7</v>
      </c>
      <c r="G669" s="92">
        <v>2760</v>
      </c>
      <c r="H669" s="3">
        <v>1.2</v>
      </c>
      <c r="I669" s="3">
        <v>19088.16</v>
      </c>
      <c r="J669" s="1" t="s">
        <v>140</v>
      </c>
      <c r="K669" s="1" t="s">
        <v>117</v>
      </c>
      <c r="L669" t="str">
        <f>VLOOKUP(D669, Products!A:C, 3, FALSE)</f>
        <v>Grocery</v>
      </c>
      <c r="M669" t="str">
        <f>VLOOKUP(C669, Customers!A:E, 5, FALSE)</f>
        <v>Retail</v>
      </c>
      <c r="N669">
        <f>VLOOKUP(C669, Customers!A:E, 3, FALSE)</f>
        <v>34</v>
      </c>
      <c r="O669" s="93" t="str">
        <f>VLOOKUP(E669, Sales_Reps!A:C, 3, FALSE)</f>
        <v>East</v>
      </c>
      <c r="P669">
        <f>VLOOKUP(D669, Products!A:E, 4, FALSE)</f>
        <v>1435</v>
      </c>
      <c r="Q669">
        <f>IF(COUNTIF($A$2:A669, A669)=2, 1, 0)</f>
        <v>0</v>
      </c>
      <c r="R669">
        <f>IF(ISNA(MATCH(C669, Customers!$A:$A, 0)), 1, 0)</f>
        <v>0</v>
      </c>
      <c r="S669" s="94" t="b">
        <f>VLOOKUP(D669, Products!A:F, 6, FALSE)</f>
        <v>1</v>
      </c>
    </row>
    <row r="670" spans="1:19">
      <c r="A670" s="102" t="s">
        <v>1131</v>
      </c>
      <c r="B670" s="2">
        <v>45431</v>
      </c>
      <c r="C670" s="1" t="s">
        <v>362</v>
      </c>
      <c r="D670" s="1" t="s">
        <v>408</v>
      </c>
      <c r="E670" s="1" t="s">
        <v>192</v>
      </c>
      <c r="F670" s="83">
        <v>3</v>
      </c>
      <c r="G670" s="92">
        <v>3970</v>
      </c>
      <c r="H670" s="3">
        <v>18.3</v>
      </c>
      <c r="I670" s="3">
        <v>9730.4699999999993</v>
      </c>
      <c r="J670" s="1" t="s">
        <v>87</v>
      </c>
      <c r="K670" s="1" t="s">
        <v>94</v>
      </c>
      <c r="L670" t="str">
        <f>VLOOKUP(D670, Products!A:C, 3, FALSE)</f>
        <v>Electronics</v>
      </c>
      <c r="M670" t="str">
        <f>VLOOKUP(C670, Customers!A:E, 5, FALSE)</f>
        <v>Corporate</v>
      </c>
      <c r="N670">
        <f>VLOOKUP(C670, Customers!A:E, 3, FALSE)</f>
        <v>51</v>
      </c>
      <c r="O670" s="93" t="str">
        <f>VLOOKUP(E670, Sales_Reps!A:C, 3, FALSE)</f>
        <v>East</v>
      </c>
      <c r="P670">
        <f>VLOOKUP(D670, Products!A:E, 4, FALSE)</f>
        <v>2865</v>
      </c>
      <c r="Q670">
        <f>IF(COUNTIF($A$2:A670, A670)=2, 1, 0)</f>
        <v>0</v>
      </c>
      <c r="R670">
        <f>IF(ISNA(MATCH(C670, Customers!$A:$A, 0)), 1, 0)</f>
        <v>0</v>
      </c>
      <c r="S670" s="94" t="b">
        <f>VLOOKUP(D670, Products!A:F, 6, FALSE)</f>
        <v>1</v>
      </c>
    </row>
    <row r="671" spans="1:19">
      <c r="A671" s="102" t="s">
        <v>1132</v>
      </c>
      <c r="B671" s="2">
        <v>45393</v>
      </c>
      <c r="C671" s="1" t="s">
        <v>394</v>
      </c>
      <c r="D671" s="1" t="s">
        <v>234</v>
      </c>
      <c r="E671" s="1" t="s">
        <v>154</v>
      </c>
      <c r="F671" s="83">
        <v>4</v>
      </c>
      <c r="G671" s="92">
        <v>3780</v>
      </c>
      <c r="H671" s="3">
        <v>24.6</v>
      </c>
      <c r="I671" s="3">
        <v>11400.48</v>
      </c>
      <c r="J671" s="1" t="s">
        <v>87</v>
      </c>
      <c r="K671" s="1" t="s">
        <v>117</v>
      </c>
      <c r="L671" t="str">
        <f>VLOOKUP(D671, Products!A:C, 3, FALSE)</f>
        <v>Grocery</v>
      </c>
      <c r="M671" t="str">
        <f>VLOOKUP(C671, Customers!A:E, 5, FALSE)</f>
        <v>SMB</v>
      </c>
      <c r="N671">
        <f>VLOOKUP(C671, Customers!A:E, 3, FALSE)</f>
        <v>28</v>
      </c>
      <c r="O671" s="93" t="str">
        <f>VLOOKUP(E671, Sales_Reps!A:C, 3, FALSE)</f>
        <v>East</v>
      </c>
      <c r="P671">
        <f>VLOOKUP(D671, Products!A:E, 4, FALSE)</f>
        <v>2436</v>
      </c>
      <c r="Q671">
        <f>IF(COUNTIF($A$2:A671, A671)=2, 1, 0)</f>
        <v>0</v>
      </c>
      <c r="R671">
        <f>IF(ISNA(MATCH(C671, Customers!$A:$A, 0)), 1, 0)</f>
        <v>0</v>
      </c>
      <c r="S671" s="94" t="b">
        <f>VLOOKUP(D671, Products!A:F, 6, FALSE)</f>
        <v>1</v>
      </c>
    </row>
    <row r="672" spans="1:19">
      <c r="A672" s="102" t="s">
        <v>1133</v>
      </c>
      <c r="B672" s="2">
        <v>45295</v>
      </c>
      <c r="C672" s="1" t="s">
        <v>835</v>
      </c>
      <c r="D672" s="1" t="s">
        <v>173</v>
      </c>
      <c r="E672" s="1" t="s">
        <v>107</v>
      </c>
      <c r="F672" s="83">
        <v>10</v>
      </c>
      <c r="G672" s="92">
        <v>2720</v>
      </c>
      <c r="H672" s="3">
        <v>12.8</v>
      </c>
      <c r="I672" s="3">
        <v>23718.400000000001</v>
      </c>
      <c r="J672" s="1" t="s">
        <v>87</v>
      </c>
      <c r="K672" s="1" t="s">
        <v>117</v>
      </c>
      <c r="L672" t="str">
        <f>VLOOKUP(D672, Products!A:C, 3, FALSE)</f>
        <v>Apparel</v>
      </c>
      <c r="M672" t="str">
        <f>VLOOKUP(C672, Customers!A:E, 5, FALSE)</f>
        <v>Retail</v>
      </c>
      <c r="N672">
        <f>VLOOKUP(C672, Customers!A:E, 3, FALSE)</f>
        <v>52</v>
      </c>
      <c r="O672" s="93" t="str">
        <f>VLOOKUP(E672, Sales_Reps!A:C, 3, FALSE)</f>
        <v>North</v>
      </c>
      <c r="P672">
        <f>VLOOKUP(D672, Products!A:E, 4, FALSE)</f>
        <v>1962</v>
      </c>
      <c r="Q672">
        <f>IF(COUNTIF($A$2:A672, A672)=2, 1, 0)</f>
        <v>0</v>
      </c>
      <c r="R672">
        <f>IF(ISNA(MATCH(C672, Customers!$A:$A, 0)), 1, 0)</f>
        <v>0</v>
      </c>
      <c r="S672" s="94" t="b">
        <f>VLOOKUP(D672, Products!A:F, 6, FALSE)</f>
        <v>1</v>
      </c>
    </row>
    <row r="673" spans="1:19">
      <c r="A673" s="102" t="s">
        <v>1134</v>
      </c>
      <c r="B673" s="2">
        <v>45371</v>
      </c>
      <c r="C673" s="1" t="s">
        <v>336</v>
      </c>
      <c r="D673" s="1" t="s">
        <v>408</v>
      </c>
      <c r="E673" s="1" t="s">
        <v>238</v>
      </c>
      <c r="F673" s="83">
        <v>5</v>
      </c>
      <c r="G673" s="92">
        <v>3970</v>
      </c>
      <c r="H673" s="3">
        <v>5.9</v>
      </c>
      <c r="I673" s="3">
        <v>18678.849999999999</v>
      </c>
      <c r="J673" s="1" t="s">
        <v>87</v>
      </c>
      <c r="K673" s="1" t="s">
        <v>112</v>
      </c>
      <c r="L673" t="str">
        <f>VLOOKUP(D673, Products!A:C, 3, FALSE)</f>
        <v>Electronics</v>
      </c>
      <c r="M673" t="str">
        <f>VLOOKUP(C673, Customers!A:E, 5, FALSE)</f>
        <v>Retail</v>
      </c>
      <c r="N673">
        <f>VLOOKUP(C673, Customers!A:E, 3, FALSE)</f>
        <v>49</v>
      </c>
      <c r="O673" s="93" t="str">
        <f>VLOOKUP(E673, Sales_Reps!A:C, 3, FALSE)</f>
        <v>East</v>
      </c>
      <c r="P673">
        <f>VLOOKUP(D673, Products!A:E, 4, FALSE)</f>
        <v>2865</v>
      </c>
      <c r="Q673">
        <f>IF(COUNTIF($A$2:A673, A673)=2, 1, 0)</f>
        <v>0</v>
      </c>
      <c r="R673">
        <f>IF(ISNA(MATCH(C673, Customers!$A:$A, 0)), 1, 0)</f>
        <v>0</v>
      </c>
      <c r="S673" s="94" t="b">
        <f>VLOOKUP(D673, Products!A:F, 6, FALSE)</f>
        <v>1</v>
      </c>
    </row>
    <row r="674" spans="1:19">
      <c r="A674" s="102" t="s">
        <v>1135</v>
      </c>
      <c r="B674" s="2">
        <v>45601</v>
      </c>
      <c r="C674" s="1" t="s">
        <v>142</v>
      </c>
      <c r="D674" s="1" t="s">
        <v>91</v>
      </c>
      <c r="E674" s="1" t="s">
        <v>273</v>
      </c>
      <c r="F674" s="83">
        <v>3</v>
      </c>
      <c r="G674" s="92">
        <v>820</v>
      </c>
      <c r="H674" s="3">
        <v>19.399999999999999</v>
      </c>
      <c r="I674" s="3">
        <v>1982.76</v>
      </c>
      <c r="J674" s="1" t="s">
        <v>87</v>
      </c>
      <c r="K674" s="1" t="s">
        <v>88</v>
      </c>
      <c r="L674" t="str">
        <f>VLOOKUP(D674, Products!A:C, 3, FALSE)</f>
        <v>Apparel</v>
      </c>
      <c r="M674" t="str">
        <f>VLOOKUP(C674, Customers!A:E, 5, FALSE)</f>
        <v>SMB</v>
      </c>
      <c r="N674">
        <f>VLOOKUP(C674, Customers!A:E, 3, FALSE)</f>
        <v>39</v>
      </c>
      <c r="O674" s="93" t="str">
        <f>VLOOKUP(E674, Sales_Reps!A:C, 3, FALSE)</f>
        <v>South</v>
      </c>
      <c r="P674">
        <f>VLOOKUP(D674, Products!A:E, 4, FALSE)</f>
        <v>391</v>
      </c>
      <c r="Q674">
        <f>IF(COUNTIF($A$2:A674, A674)=2, 1, 0)</f>
        <v>0</v>
      </c>
      <c r="R674">
        <f>IF(ISNA(MATCH(C674, Customers!$A:$A, 0)), 1, 0)</f>
        <v>0</v>
      </c>
      <c r="S674" s="94" t="b">
        <f>VLOOKUP(D674, Products!A:F, 6, FALSE)</f>
        <v>1</v>
      </c>
    </row>
    <row r="675" spans="1:19">
      <c r="A675" s="102" t="s">
        <v>1136</v>
      </c>
      <c r="B675" s="2">
        <v>45471</v>
      </c>
      <c r="C675" s="1" t="s">
        <v>555</v>
      </c>
      <c r="D675" s="1" t="s">
        <v>292</v>
      </c>
      <c r="E675" s="1" t="s">
        <v>132</v>
      </c>
      <c r="F675" s="83">
        <v>7</v>
      </c>
      <c r="G675" s="92">
        <v>620</v>
      </c>
      <c r="H675" s="3">
        <v>9.9</v>
      </c>
      <c r="I675" s="3">
        <v>3910.34</v>
      </c>
      <c r="J675" s="1" t="s">
        <v>87</v>
      </c>
      <c r="K675" s="1" t="s">
        <v>112</v>
      </c>
      <c r="L675" t="str">
        <f>VLOOKUP(D675, Products!A:C, 3, FALSE)</f>
        <v>Apparel</v>
      </c>
      <c r="M675" t="str">
        <f>VLOOKUP(C675, Customers!A:E, 5, FALSE)</f>
        <v>Retail</v>
      </c>
      <c r="N675">
        <f>VLOOKUP(C675, Customers!A:E, 3, FALSE)</f>
        <v>37</v>
      </c>
      <c r="O675" s="93" t="str">
        <f>VLOOKUP(E675, Sales_Reps!A:C, 3, FALSE)</f>
        <v>South</v>
      </c>
      <c r="P675">
        <f>VLOOKUP(D675, Products!A:E, 4, FALSE)</f>
        <v>396</v>
      </c>
      <c r="Q675">
        <f>IF(COUNTIF($A$2:A675, A675)=2, 1, 0)</f>
        <v>0</v>
      </c>
      <c r="R675">
        <f>IF(ISNA(MATCH(C675, Customers!$A:$A, 0)), 1, 0)</f>
        <v>0</v>
      </c>
      <c r="S675" s="94" t="b">
        <f>VLOOKUP(D675, Products!A:F, 6, FALSE)</f>
        <v>1</v>
      </c>
    </row>
    <row r="676" spans="1:19">
      <c r="A676" s="102" t="s">
        <v>1137</v>
      </c>
      <c r="B676" s="2">
        <v>45318</v>
      </c>
      <c r="C676" s="1" t="s">
        <v>669</v>
      </c>
      <c r="D676" s="1" t="s">
        <v>386</v>
      </c>
      <c r="E676" s="1" t="s">
        <v>343</v>
      </c>
      <c r="F676" s="83">
        <v>8</v>
      </c>
      <c r="G676" s="92">
        <v>2290</v>
      </c>
      <c r="H676" s="3">
        <v>18.3</v>
      </c>
      <c r="I676" s="3">
        <v>14967.44</v>
      </c>
      <c r="J676" s="1" t="s">
        <v>87</v>
      </c>
      <c r="K676" s="1" t="s">
        <v>133</v>
      </c>
      <c r="L676" t="str">
        <f>VLOOKUP(D676, Products!A:C, 3, FALSE)</f>
        <v>Beauty</v>
      </c>
      <c r="M676" t="str">
        <f>VLOOKUP(C676, Customers!A:E, 5, FALSE)</f>
        <v>Retail</v>
      </c>
      <c r="N676">
        <f>VLOOKUP(C676, Customers!A:E, 3, FALSE)</f>
        <v>31</v>
      </c>
      <c r="O676" s="93" t="str">
        <f>VLOOKUP(E676, Sales_Reps!A:C, 3, FALSE)</f>
        <v>West</v>
      </c>
      <c r="P676">
        <f>VLOOKUP(D676, Products!A:E, 4, FALSE)</f>
        <v>1219</v>
      </c>
      <c r="Q676">
        <f>IF(COUNTIF($A$2:A676, A676)=2, 1, 0)</f>
        <v>0</v>
      </c>
      <c r="R676">
        <f>IF(ISNA(MATCH(C676, Customers!$A:$A, 0)), 1, 0)</f>
        <v>0</v>
      </c>
      <c r="S676" s="94" t="b">
        <f>VLOOKUP(D676, Products!A:F, 6, FALSE)</f>
        <v>1</v>
      </c>
    </row>
    <row r="677" spans="1:19">
      <c r="A677" s="102" t="s">
        <v>1138</v>
      </c>
      <c r="B677" s="2">
        <v>45364</v>
      </c>
      <c r="C677" s="1" t="s">
        <v>567</v>
      </c>
      <c r="D677" s="1" t="s">
        <v>127</v>
      </c>
      <c r="E677" s="1" t="s">
        <v>111</v>
      </c>
      <c r="F677" s="83">
        <v>3</v>
      </c>
      <c r="G677" s="92">
        <v>970</v>
      </c>
      <c r="H677" s="3">
        <v>18.399999999999999</v>
      </c>
      <c r="I677" s="3">
        <v>2374.56</v>
      </c>
      <c r="J677" s="1" t="s">
        <v>87</v>
      </c>
      <c r="K677" s="1" t="s">
        <v>117</v>
      </c>
      <c r="L677" t="str">
        <f>VLOOKUP(D677, Products!A:C, 3, FALSE)</f>
        <v>Grocery</v>
      </c>
      <c r="M677" t="str">
        <f>VLOOKUP(C677, Customers!A:E, 5, FALSE)</f>
        <v>Corporate</v>
      </c>
      <c r="N677">
        <f>VLOOKUP(C677, Customers!A:E, 3, FALSE)</f>
        <v>41</v>
      </c>
      <c r="O677" s="93" t="str">
        <f>VLOOKUP(E677, Sales_Reps!A:C, 3, FALSE)</f>
        <v>West</v>
      </c>
      <c r="P677">
        <f>VLOOKUP(D677, Products!A:E, 4, FALSE)</f>
        <v>434</v>
      </c>
      <c r="Q677">
        <f>IF(COUNTIF($A$2:A677, A677)=2, 1, 0)</f>
        <v>0</v>
      </c>
      <c r="R677">
        <f>IF(ISNA(MATCH(C677, Customers!$A:$A, 0)), 1, 0)</f>
        <v>0</v>
      </c>
      <c r="S677" s="94" t="b">
        <f>VLOOKUP(D677, Products!A:F, 6, FALSE)</f>
        <v>1</v>
      </c>
    </row>
    <row r="678" spans="1:19">
      <c r="A678" s="102" t="s">
        <v>1139</v>
      </c>
      <c r="B678" s="2">
        <v>45419</v>
      </c>
      <c r="C678" s="1" t="s">
        <v>968</v>
      </c>
      <c r="D678" s="1" t="s">
        <v>110</v>
      </c>
      <c r="E678" s="1" t="s">
        <v>98</v>
      </c>
      <c r="F678" s="83">
        <v>2</v>
      </c>
      <c r="G678" s="92">
        <v>370</v>
      </c>
      <c r="H678" s="3">
        <v>8.9</v>
      </c>
      <c r="I678" s="3">
        <v>674.14</v>
      </c>
      <c r="J678" s="1" t="s">
        <v>87</v>
      </c>
      <c r="K678" s="1" t="s">
        <v>99</v>
      </c>
      <c r="L678" t="str">
        <f>VLOOKUP(D678, Products!A:C, 3, FALSE)</f>
        <v>Home</v>
      </c>
      <c r="M678" t="str">
        <f>VLOOKUP(C678, Customers!A:E, 5, FALSE)</f>
        <v>Retail</v>
      </c>
      <c r="N678">
        <f>VLOOKUP(C678, Customers!A:E, 3, FALSE)</f>
        <v>47</v>
      </c>
      <c r="O678" s="93" t="str">
        <f>VLOOKUP(E678, Sales_Reps!A:C, 3, FALSE)</f>
        <v>South</v>
      </c>
      <c r="P678">
        <f>VLOOKUP(D678, Products!A:E, 4, FALSE)</f>
        <v>288</v>
      </c>
      <c r="Q678">
        <f>IF(COUNTIF($A$2:A678, A678)=2, 1, 0)</f>
        <v>0</v>
      </c>
      <c r="R678">
        <f>IF(ISNA(MATCH(C678, Customers!$A:$A, 0)), 1, 0)</f>
        <v>0</v>
      </c>
      <c r="S678" s="94" t="b">
        <f>VLOOKUP(D678, Products!A:F, 6, FALSE)</f>
        <v>1</v>
      </c>
    </row>
    <row r="679" spans="1:19">
      <c r="A679" s="102" t="s">
        <v>1140</v>
      </c>
      <c r="B679" s="2">
        <v>45632</v>
      </c>
      <c r="C679" s="1" t="s">
        <v>725</v>
      </c>
      <c r="D679" s="1" t="s">
        <v>120</v>
      </c>
      <c r="E679" s="1" t="s">
        <v>86</v>
      </c>
      <c r="F679" s="83">
        <v>1</v>
      </c>
      <c r="G679" s="92">
        <v>1430</v>
      </c>
      <c r="H679" s="3">
        <v>5.9</v>
      </c>
      <c r="I679" s="3">
        <v>1345.63</v>
      </c>
      <c r="J679" s="1" t="s">
        <v>140</v>
      </c>
      <c r="K679" s="1" t="s">
        <v>99</v>
      </c>
      <c r="L679" t="str">
        <f>VLOOKUP(D679, Products!A:C, 3, FALSE)</f>
        <v>Electronics</v>
      </c>
      <c r="M679" t="str">
        <f>VLOOKUP(C679, Customers!A:E, 5, FALSE)</f>
        <v>SMB</v>
      </c>
      <c r="N679">
        <f>VLOOKUP(C679, Customers!A:E, 3, FALSE)</f>
        <v>26</v>
      </c>
      <c r="O679" s="93" t="str">
        <f>VLOOKUP(E679, Sales_Reps!A:C, 3, FALSE)</f>
        <v>North</v>
      </c>
      <c r="P679">
        <f>VLOOKUP(D679, Products!A:E, 4, FALSE)</f>
        <v>861</v>
      </c>
      <c r="Q679">
        <f>IF(COUNTIF($A$2:A679, A679)=2, 1, 0)</f>
        <v>0</v>
      </c>
      <c r="R679">
        <f>IF(ISNA(MATCH(C679, Customers!$A:$A, 0)), 1, 0)</f>
        <v>0</v>
      </c>
      <c r="S679" s="94" t="b">
        <f>VLOOKUP(D679, Products!A:F, 6, FALSE)</f>
        <v>1</v>
      </c>
    </row>
    <row r="680" spans="1:19">
      <c r="A680" s="102" t="s">
        <v>1141</v>
      </c>
      <c r="B680" s="2">
        <v>45494</v>
      </c>
      <c r="C680" s="1" t="s">
        <v>837</v>
      </c>
      <c r="D680" s="1" t="s">
        <v>151</v>
      </c>
      <c r="E680" s="1" t="s">
        <v>170</v>
      </c>
      <c r="F680" s="83">
        <v>2</v>
      </c>
      <c r="G680" s="92">
        <v>2400</v>
      </c>
      <c r="H680" s="3">
        <v>29.1</v>
      </c>
      <c r="I680" s="3">
        <v>3403.2</v>
      </c>
      <c r="J680" s="1" t="s">
        <v>87</v>
      </c>
      <c r="K680" s="1" t="s">
        <v>117</v>
      </c>
      <c r="L680" t="str">
        <f>VLOOKUP(D680, Products!A:C, 3, FALSE)</f>
        <v>Sports</v>
      </c>
      <c r="M680" t="str">
        <f>VLOOKUP(C680, Customers!A:E, 5, FALSE)</f>
        <v>Retail</v>
      </c>
      <c r="N680">
        <f>VLOOKUP(C680, Customers!A:E, 3, FALSE)</f>
        <v>37</v>
      </c>
      <c r="O680" s="93" t="str">
        <f>VLOOKUP(E680, Sales_Reps!A:C, 3, FALSE)</f>
        <v>West</v>
      </c>
      <c r="P680">
        <f>VLOOKUP(D680, Products!A:E, 4, FALSE)</f>
        <v>974</v>
      </c>
      <c r="Q680">
        <f>IF(COUNTIF($A$2:A680, A680)=2, 1, 0)</f>
        <v>0</v>
      </c>
      <c r="R680">
        <f>IF(ISNA(MATCH(C680, Customers!$A:$A, 0)), 1, 0)</f>
        <v>0</v>
      </c>
      <c r="S680" s="94" t="b">
        <f>VLOOKUP(D680, Products!A:F, 6, FALSE)</f>
        <v>1</v>
      </c>
    </row>
    <row r="681" spans="1:19">
      <c r="A681" s="102" t="s">
        <v>1142</v>
      </c>
      <c r="B681" s="2">
        <v>45337</v>
      </c>
      <c r="C681" s="1" t="s">
        <v>399</v>
      </c>
      <c r="D681" s="1" t="s">
        <v>120</v>
      </c>
      <c r="E681" s="1" t="s">
        <v>273</v>
      </c>
      <c r="F681" s="83">
        <v>9</v>
      </c>
      <c r="G681" s="92">
        <v>1430</v>
      </c>
      <c r="H681" s="3">
        <v>6</v>
      </c>
      <c r="I681" s="3">
        <v>12097.8</v>
      </c>
      <c r="J681" s="1" t="s">
        <v>87</v>
      </c>
      <c r="K681" s="1" t="s">
        <v>99</v>
      </c>
      <c r="L681" t="str">
        <f>VLOOKUP(D681, Products!A:C, 3, FALSE)</f>
        <v>Electronics</v>
      </c>
      <c r="M681" t="str">
        <f>VLOOKUP(C681, Customers!A:E, 5, FALSE)</f>
        <v>SMB</v>
      </c>
      <c r="N681">
        <f>VLOOKUP(C681, Customers!A:E, 3, FALSE)</f>
        <v>53</v>
      </c>
      <c r="O681" s="93" t="str">
        <f>VLOOKUP(E681, Sales_Reps!A:C, 3, FALSE)</f>
        <v>South</v>
      </c>
      <c r="P681">
        <f>VLOOKUP(D681, Products!A:E, 4, FALSE)</f>
        <v>861</v>
      </c>
      <c r="Q681">
        <f>IF(COUNTIF($A$2:A681, A681)=2, 1, 0)</f>
        <v>0</v>
      </c>
      <c r="R681">
        <f>IF(ISNA(MATCH(C681, Customers!$A:$A, 0)), 1, 0)</f>
        <v>0</v>
      </c>
      <c r="S681" s="94" t="b">
        <f>VLOOKUP(D681, Products!A:F, 6, FALSE)</f>
        <v>1</v>
      </c>
    </row>
    <row r="682" spans="1:19">
      <c r="A682" s="102" t="s">
        <v>1143</v>
      </c>
      <c r="B682" s="2">
        <v>45510</v>
      </c>
      <c r="C682" s="1" t="s">
        <v>595</v>
      </c>
      <c r="D682" s="1" t="s">
        <v>173</v>
      </c>
      <c r="E682" s="1" t="s">
        <v>86</v>
      </c>
      <c r="F682" s="83">
        <v>8</v>
      </c>
      <c r="G682" s="92">
        <v>2720</v>
      </c>
      <c r="H682" s="3">
        <v>25.7</v>
      </c>
      <c r="I682" s="3">
        <v>16167.68</v>
      </c>
      <c r="J682" s="1" t="s">
        <v>87</v>
      </c>
      <c r="K682" s="1" t="s">
        <v>99</v>
      </c>
      <c r="L682" t="str">
        <f>VLOOKUP(D682, Products!A:C, 3, FALSE)</f>
        <v>Apparel</v>
      </c>
      <c r="M682" t="str">
        <f>VLOOKUP(C682, Customers!A:E, 5, FALSE)</f>
        <v>SMB</v>
      </c>
      <c r="N682">
        <f>VLOOKUP(C682, Customers!A:E, 3, FALSE)</f>
        <v>48</v>
      </c>
      <c r="O682" s="93" t="str">
        <f>VLOOKUP(E682, Sales_Reps!A:C, 3, FALSE)</f>
        <v>North</v>
      </c>
      <c r="P682">
        <f>VLOOKUP(D682, Products!A:E, 4, FALSE)</f>
        <v>1962</v>
      </c>
      <c r="Q682">
        <f>IF(COUNTIF($A$2:A682, A682)=2, 1, 0)</f>
        <v>0</v>
      </c>
      <c r="R682">
        <f>IF(ISNA(MATCH(C682, Customers!$A:$A, 0)), 1, 0)</f>
        <v>0</v>
      </c>
      <c r="S682" s="94" t="b">
        <f>VLOOKUP(D682, Products!A:F, 6, FALSE)</f>
        <v>1</v>
      </c>
    </row>
    <row r="683" spans="1:19">
      <c r="A683" s="102" t="s">
        <v>1144</v>
      </c>
      <c r="B683" s="2">
        <v>45572</v>
      </c>
      <c r="C683" s="1" t="s">
        <v>717</v>
      </c>
      <c r="D683" s="1" t="s">
        <v>515</v>
      </c>
      <c r="E683" s="1" t="s">
        <v>343</v>
      </c>
      <c r="F683" s="83">
        <v>6</v>
      </c>
      <c r="G683" s="92">
        <v>6940</v>
      </c>
      <c r="H683" s="3">
        <v>25.7</v>
      </c>
      <c r="I683" s="3">
        <v>30938.52</v>
      </c>
      <c r="J683" s="1" t="s">
        <v>87</v>
      </c>
      <c r="K683" s="1" t="s">
        <v>94</v>
      </c>
      <c r="L683" t="str">
        <f>VLOOKUP(D683, Products!A:C, 3, FALSE)</f>
        <v>Sports</v>
      </c>
      <c r="M683" t="str">
        <f>VLOOKUP(C683, Customers!A:E, 5, FALSE)</f>
        <v>Retail</v>
      </c>
      <c r="N683">
        <f>VLOOKUP(C683, Customers!A:E, 3, FALSE)</f>
        <v>24</v>
      </c>
      <c r="O683" s="93" t="str">
        <f>VLOOKUP(E683, Sales_Reps!A:C, 3, FALSE)</f>
        <v>West</v>
      </c>
      <c r="P683">
        <f>VLOOKUP(D683, Products!A:E, 4, FALSE)</f>
        <v>2827</v>
      </c>
      <c r="Q683">
        <f>IF(COUNTIF($A$2:A683, A683)=2, 1, 0)</f>
        <v>0</v>
      </c>
      <c r="R683">
        <f>IF(ISNA(MATCH(C683, Customers!$A:$A, 0)), 1, 0)</f>
        <v>0</v>
      </c>
      <c r="S683" s="94" t="b">
        <f>VLOOKUP(D683, Products!A:F, 6, FALSE)</f>
        <v>1</v>
      </c>
    </row>
    <row r="684" spans="1:19">
      <c r="A684" s="102" t="s">
        <v>1145</v>
      </c>
      <c r="B684" s="2">
        <v>45472</v>
      </c>
      <c r="C684" s="1" t="s">
        <v>768</v>
      </c>
      <c r="D684" s="1" t="s">
        <v>85</v>
      </c>
      <c r="E684" s="1" t="s">
        <v>86</v>
      </c>
      <c r="F684" s="83">
        <v>3</v>
      </c>
      <c r="G684" s="92">
        <v>3620</v>
      </c>
      <c r="H684" s="3">
        <v>29.7</v>
      </c>
      <c r="I684" s="3">
        <v>7634.58</v>
      </c>
      <c r="J684" s="1" t="s">
        <v>87</v>
      </c>
      <c r="K684" s="1" t="s">
        <v>88</v>
      </c>
      <c r="L684" t="str">
        <f>VLOOKUP(D684, Products!A:C, 3, FALSE)</f>
        <v>Apparel</v>
      </c>
      <c r="M684" t="str">
        <f>VLOOKUP(C684, Customers!A:E, 5, FALSE)</f>
        <v>Corporate</v>
      </c>
      <c r="N684">
        <f>VLOOKUP(C684, Customers!A:E, 3, FALSE)</f>
        <v>42</v>
      </c>
      <c r="O684" s="93" t="str">
        <f>VLOOKUP(E684, Sales_Reps!A:C, 3, FALSE)</f>
        <v>North</v>
      </c>
      <c r="P684">
        <f>VLOOKUP(D684, Products!A:E, 4, FALSE)</f>
        <v>2509</v>
      </c>
      <c r="Q684">
        <f>IF(COUNTIF($A$2:A684, A684)=2, 1, 0)</f>
        <v>0</v>
      </c>
      <c r="R684">
        <f>IF(ISNA(MATCH(C684, Customers!$A:$A, 0)), 1, 0)</f>
        <v>0</v>
      </c>
      <c r="S684" s="94" t="b">
        <f>VLOOKUP(D684, Products!A:F, 6, FALSE)</f>
        <v>1</v>
      </c>
    </row>
    <row r="685" spans="1:19">
      <c r="A685" s="102" t="s">
        <v>1146</v>
      </c>
      <c r="B685" s="2">
        <v>45615</v>
      </c>
      <c r="C685" s="1" t="s">
        <v>378</v>
      </c>
      <c r="D685" s="1" t="s">
        <v>135</v>
      </c>
      <c r="E685" s="1" t="s">
        <v>111</v>
      </c>
      <c r="F685" s="83">
        <v>8</v>
      </c>
      <c r="G685" s="92">
        <v>2640</v>
      </c>
      <c r="H685" s="3">
        <v>24.4</v>
      </c>
      <c r="I685" s="3">
        <v>15966.72</v>
      </c>
      <c r="J685" s="1" t="s">
        <v>87</v>
      </c>
      <c r="K685" s="1" t="s">
        <v>94</v>
      </c>
      <c r="L685" t="str">
        <f>VLOOKUP(D685, Products!A:C, 3, FALSE)</f>
        <v>Electronics</v>
      </c>
      <c r="M685" t="str">
        <f>VLOOKUP(C685, Customers!A:E, 5, FALSE)</f>
        <v>SMB</v>
      </c>
      <c r="N685">
        <f>VLOOKUP(C685, Customers!A:E, 3, FALSE)</f>
        <v>53</v>
      </c>
      <c r="O685" s="93" t="str">
        <f>VLOOKUP(E685, Sales_Reps!A:C, 3, FALSE)</f>
        <v>West</v>
      </c>
      <c r="P685">
        <f>VLOOKUP(D685, Products!A:E, 4, FALSE)</f>
        <v>1149</v>
      </c>
      <c r="Q685">
        <f>IF(COUNTIF($A$2:A685, A685)=2, 1, 0)</f>
        <v>0</v>
      </c>
      <c r="R685">
        <f>IF(ISNA(MATCH(C685, Customers!$A:$A, 0)), 1, 0)</f>
        <v>0</v>
      </c>
      <c r="S685" s="94" t="b">
        <f>VLOOKUP(D685, Products!A:F, 6, FALSE)</f>
        <v>1</v>
      </c>
    </row>
    <row r="686" spans="1:19">
      <c r="A686" s="102" t="s">
        <v>1147</v>
      </c>
      <c r="B686" s="2">
        <v>45349</v>
      </c>
      <c r="C686" s="1" t="s">
        <v>729</v>
      </c>
      <c r="D686" s="1" t="s">
        <v>124</v>
      </c>
      <c r="E686" s="1" t="s">
        <v>103</v>
      </c>
      <c r="F686" s="83">
        <v>3</v>
      </c>
      <c r="G686" s="92">
        <v>5490</v>
      </c>
      <c r="H686" s="3">
        <v>13.5</v>
      </c>
      <c r="I686" s="3">
        <v>14246.55</v>
      </c>
      <c r="J686" s="1" t="s">
        <v>87</v>
      </c>
      <c r="K686" s="1" t="s">
        <v>112</v>
      </c>
      <c r="L686" t="str">
        <f>VLOOKUP(D686, Products!A:C, 3, FALSE)</f>
        <v>Home</v>
      </c>
      <c r="M686" t="str">
        <f>VLOOKUP(C686, Customers!A:E, 5, FALSE)</f>
        <v>Retail</v>
      </c>
      <c r="N686">
        <f>VLOOKUP(C686, Customers!A:E, 3, FALSE)</f>
        <v>56</v>
      </c>
      <c r="O686" s="93" t="str">
        <f>VLOOKUP(E686, Sales_Reps!A:C, 3, FALSE)</f>
        <v>North</v>
      </c>
      <c r="P686">
        <f>VLOOKUP(D686, Products!A:E, 4, FALSE)</f>
        <v>2549</v>
      </c>
      <c r="Q686">
        <f>IF(COUNTIF($A$2:A686, A686)=2, 1, 0)</f>
        <v>0</v>
      </c>
      <c r="R686">
        <f>IF(ISNA(MATCH(C686, Customers!$A:$A, 0)), 1, 0)</f>
        <v>0</v>
      </c>
      <c r="S686" s="94" t="b">
        <f>VLOOKUP(D686, Products!A:F, 6, FALSE)</f>
        <v>1</v>
      </c>
    </row>
    <row r="687" spans="1:19">
      <c r="A687" s="102" t="s">
        <v>1148</v>
      </c>
      <c r="B687" s="2">
        <v>45413</v>
      </c>
      <c r="C687" s="1" t="s">
        <v>142</v>
      </c>
      <c r="D687" s="1" t="s">
        <v>443</v>
      </c>
      <c r="E687" s="1" t="s">
        <v>238</v>
      </c>
      <c r="F687" s="83">
        <v>3</v>
      </c>
      <c r="G687" s="92">
        <v>5080</v>
      </c>
      <c r="H687" s="3">
        <v>9.3000000000000007</v>
      </c>
      <c r="I687" s="3">
        <v>13822.68</v>
      </c>
      <c r="J687" s="1" t="s">
        <v>87</v>
      </c>
      <c r="K687" s="1" t="s">
        <v>88</v>
      </c>
      <c r="L687" t="str">
        <f>VLOOKUP(D687, Products!A:C, 3, FALSE)</f>
        <v>Home</v>
      </c>
      <c r="M687" t="str">
        <f>VLOOKUP(C687, Customers!A:E, 5, FALSE)</f>
        <v>SMB</v>
      </c>
      <c r="N687">
        <f>VLOOKUP(C687, Customers!A:E, 3, FALSE)</f>
        <v>39</v>
      </c>
      <c r="O687" s="93" t="str">
        <f>VLOOKUP(E687, Sales_Reps!A:C, 3, FALSE)</f>
        <v>East</v>
      </c>
      <c r="P687">
        <f>VLOOKUP(D687, Products!A:E, 4, FALSE)</f>
        <v>2459</v>
      </c>
      <c r="Q687">
        <f>IF(COUNTIF($A$2:A687, A687)=2, 1, 0)</f>
        <v>0</v>
      </c>
      <c r="R687">
        <f>IF(ISNA(MATCH(C687, Customers!$A:$A, 0)), 1, 0)</f>
        <v>0</v>
      </c>
      <c r="S687" s="94" t="b">
        <f>VLOOKUP(D687, Products!A:F, 6, FALSE)</f>
        <v>1</v>
      </c>
    </row>
    <row r="688" spans="1:19">
      <c r="A688" s="102" t="s">
        <v>1149</v>
      </c>
      <c r="B688" s="2">
        <v>45515</v>
      </c>
      <c r="C688" s="1" t="s">
        <v>394</v>
      </c>
      <c r="D688" s="1" t="s">
        <v>386</v>
      </c>
      <c r="E688" s="1" t="s">
        <v>170</v>
      </c>
      <c r="F688" s="83">
        <v>4</v>
      </c>
      <c r="G688" s="92">
        <v>2290</v>
      </c>
      <c r="H688" s="3">
        <v>24.4</v>
      </c>
      <c r="I688" s="3">
        <v>6924.96</v>
      </c>
      <c r="J688" s="1" t="s">
        <v>87</v>
      </c>
      <c r="K688" s="1" t="s">
        <v>117</v>
      </c>
      <c r="L688" t="str">
        <f>VLOOKUP(D688, Products!A:C, 3, FALSE)</f>
        <v>Beauty</v>
      </c>
      <c r="M688" t="str">
        <f>VLOOKUP(C688, Customers!A:E, 5, FALSE)</f>
        <v>SMB</v>
      </c>
      <c r="N688">
        <f>VLOOKUP(C688, Customers!A:E, 3, FALSE)</f>
        <v>28</v>
      </c>
      <c r="O688" s="93" t="str">
        <f>VLOOKUP(E688, Sales_Reps!A:C, 3, FALSE)</f>
        <v>West</v>
      </c>
      <c r="P688">
        <f>VLOOKUP(D688, Products!A:E, 4, FALSE)</f>
        <v>1219</v>
      </c>
      <c r="Q688">
        <f>IF(COUNTIF($A$2:A688, A688)=2, 1, 0)</f>
        <v>0</v>
      </c>
      <c r="R688">
        <f>IF(ISNA(MATCH(C688, Customers!$A:$A, 0)), 1, 0)</f>
        <v>0</v>
      </c>
      <c r="S688" s="94" t="b">
        <f>VLOOKUP(D688, Products!A:F, 6, FALSE)</f>
        <v>1</v>
      </c>
    </row>
    <row r="689" spans="1:19">
      <c r="A689" s="102" t="s">
        <v>1150</v>
      </c>
      <c r="B689" s="2">
        <v>45463</v>
      </c>
      <c r="C689" s="1" t="s">
        <v>413</v>
      </c>
      <c r="D689" s="1" t="s">
        <v>295</v>
      </c>
      <c r="E689" s="1" t="s">
        <v>273</v>
      </c>
      <c r="F689" s="83">
        <v>10</v>
      </c>
      <c r="G689" s="92">
        <v>2030</v>
      </c>
      <c r="H689" s="3">
        <v>13.6</v>
      </c>
      <c r="I689" s="3">
        <v>17539.2</v>
      </c>
      <c r="J689" s="1" t="s">
        <v>93</v>
      </c>
      <c r="K689" s="1" t="s">
        <v>88</v>
      </c>
      <c r="L689" t="str">
        <f>VLOOKUP(D689, Products!A:C, 3, FALSE)</f>
        <v>Home</v>
      </c>
      <c r="M689" t="str">
        <f>VLOOKUP(C689, Customers!A:E, 5, FALSE)</f>
        <v>Retail</v>
      </c>
      <c r="N689">
        <f>VLOOKUP(C689, Customers!A:E, 3, FALSE)</f>
        <v>22</v>
      </c>
      <c r="O689" s="93" t="str">
        <f>VLOOKUP(E689, Sales_Reps!A:C, 3, FALSE)</f>
        <v>South</v>
      </c>
      <c r="P689">
        <f>VLOOKUP(D689, Products!A:E, 4, FALSE)</f>
        <v>1143</v>
      </c>
      <c r="Q689">
        <f>IF(COUNTIF($A$2:A689, A689)=2, 1, 0)</f>
        <v>0</v>
      </c>
      <c r="R689">
        <f>IF(ISNA(MATCH(C689, Customers!$A:$A, 0)), 1, 0)</f>
        <v>0</v>
      </c>
      <c r="S689" s="94" t="b">
        <f>VLOOKUP(D689, Products!A:F, 6, FALSE)</f>
        <v>1</v>
      </c>
    </row>
    <row r="690" spans="1:19">
      <c r="A690" s="102" t="s">
        <v>1151</v>
      </c>
      <c r="B690" s="2">
        <v>45607</v>
      </c>
      <c r="C690" s="1" t="s">
        <v>565</v>
      </c>
      <c r="D690" s="1" t="s">
        <v>120</v>
      </c>
      <c r="E690" s="1" t="s">
        <v>325</v>
      </c>
      <c r="F690" s="83">
        <v>10</v>
      </c>
      <c r="G690" s="92">
        <v>1430</v>
      </c>
      <c r="H690" s="3">
        <v>16.100000000000001</v>
      </c>
      <c r="I690" s="3">
        <v>11997.7</v>
      </c>
      <c r="J690" s="1" t="s">
        <v>140</v>
      </c>
      <c r="K690" s="1" t="s">
        <v>112</v>
      </c>
      <c r="L690" t="str">
        <f>VLOOKUP(D690, Products!A:C, 3, FALSE)</f>
        <v>Electronics</v>
      </c>
      <c r="M690" t="str">
        <f>VLOOKUP(C690, Customers!A:E, 5, FALSE)</f>
        <v>SMB</v>
      </c>
      <c r="N690">
        <f>VLOOKUP(C690, Customers!A:E, 3, FALSE)</f>
        <v>61</v>
      </c>
      <c r="O690" s="93" t="str">
        <f>VLOOKUP(E690, Sales_Reps!A:C, 3, FALSE)</f>
        <v>South</v>
      </c>
      <c r="P690">
        <f>VLOOKUP(D690, Products!A:E, 4, FALSE)</f>
        <v>861</v>
      </c>
      <c r="Q690">
        <f>IF(COUNTIF($A$2:A690, A690)=2, 1, 0)</f>
        <v>0</v>
      </c>
      <c r="R690">
        <f>IF(ISNA(MATCH(C690, Customers!$A:$A, 0)), 1, 0)</f>
        <v>0</v>
      </c>
      <c r="S690" s="94" t="b">
        <f>VLOOKUP(D690, Products!A:F, 6, FALSE)</f>
        <v>1</v>
      </c>
    </row>
    <row r="691" spans="1:19">
      <c r="A691" s="102" t="s">
        <v>1152</v>
      </c>
      <c r="B691" s="2">
        <v>45357</v>
      </c>
      <c r="C691" s="1" t="s">
        <v>1062</v>
      </c>
      <c r="D691" s="1" t="s">
        <v>234</v>
      </c>
      <c r="E691" s="1" t="s">
        <v>204</v>
      </c>
      <c r="F691" s="83">
        <v>1</v>
      </c>
      <c r="G691" s="92">
        <v>3780</v>
      </c>
      <c r="H691" s="3">
        <v>22.7</v>
      </c>
      <c r="I691" s="3">
        <v>2921.94</v>
      </c>
      <c r="J691" s="1" t="s">
        <v>87</v>
      </c>
      <c r="K691" s="1" t="s">
        <v>112</v>
      </c>
      <c r="L691" t="str">
        <f>VLOOKUP(D691, Products!A:C, 3, FALSE)</f>
        <v>Grocery</v>
      </c>
      <c r="M691" t="str">
        <f>VLOOKUP(C691, Customers!A:E, 5, FALSE)</f>
        <v>SMB</v>
      </c>
      <c r="N691">
        <f>VLOOKUP(C691, Customers!A:E, 3, FALSE)</f>
        <v>54</v>
      </c>
      <c r="O691" s="93" t="str">
        <f>VLOOKUP(E691, Sales_Reps!A:C, 3, FALSE)</f>
        <v>South</v>
      </c>
      <c r="P691">
        <f>VLOOKUP(D691, Products!A:E, 4, FALSE)</f>
        <v>2436</v>
      </c>
      <c r="Q691">
        <f>IF(COUNTIF($A$2:A691, A691)=2, 1, 0)</f>
        <v>0</v>
      </c>
      <c r="R691">
        <f>IF(ISNA(MATCH(C691, Customers!$A:$A, 0)), 1, 0)</f>
        <v>0</v>
      </c>
      <c r="S691" s="94" t="b">
        <f>VLOOKUP(D691, Products!A:F, 6, FALSE)</f>
        <v>1</v>
      </c>
    </row>
    <row r="692" spans="1:19">
      <c r="A692" s="102" t="s">
        <v>1153</v>
      </c>
      <c r="B692" s="2">
        <v>45443</v>
      </c>
      <c r="C692" s="1" t="s">
        <v>392</v>
      </c>
      <c r="D692" s="1" t="s">
        <v>106</v>
      </c>
      <c r="E692" s="1" t="s">
        <v>158</v>
      </c>
      <c r="F692" s="83">
        <v>10</v>
      </c>
      <c r="G692" s="92">
        <v>3160</v>
      </c>
      <c r="H692" s="3">
        <v>13.4</v>
      </c>
      <c r="I692" s="3">
        <v>27365.599999999999</v>
      </c>
      <c r="J692" s="1" t="s">
        <v>87</v>
      </c>
      <c r="K692" s="1" t="s">
        <v>112</v>
      </c>
      <c r="L692" t="str">
        <f>VLOOKUP(D692, Products!A:C, 3, FALSE)</f>
        <v>Apparel</v>
      </c>
      <c r="M692" t="str">
        <f>VLOOKUP(C692, Customers!A:E, 5, FALSE)</f>
        <v>Retail</v>
      </c>
      <c r="N692">
        <f>VLOOKUP(C692, Customers!A:E, 3, FALSE)</f>
        <v>50</v>
      </c>
      <c r="O692" s="93" t="str">
        <f>VLOOKUP(E692, Sales_Reps!A:C, 3, FALSE)</f>
        <v>East</v>
      </c>
      <c r="P692">
        <f>VLOOKUP(D692, Products!A:E, 4, FALSE)</f>
        <v>1886</v>
      </c>
      <c r="Q692">
        <f>IF(COUNTIF($A$2:A692, A692)=2, 1, 0)</f>
        <v>0</v>
      </c>
      <c r="R692">
        <f>IF(ISNA(MATCH(C692, Customers!$A:$A, 0)), 1, 0)</f>
        <v>0</v>
      </c>
      <c r="S692" s="94" t="b">
        <f>VLOOKUP(D692, Products!A:F, 6, FALSE)</f>
        <v>1</v>
      </c>
    </row>
    <row r="693" spans="1:19">
      <c r="A693" s="102" t="s">
        <v>1154</v>
      </c>
      <c r="B693" s="2">
        <v>45422</v>
      </c>
      <c r="C693" s="1" t="s">
        <v>442</v>
      </c>
      <c r="D693" s="1" t="s">
        <v>120</v>
      </c>
      <c r="E693" s="1" t="s">
        <v>148</v>
      </c>
      <c r="F693" s="83">
        <v>2</v>
      </c>
      <c r="G693" s="92">
        <v>1430</v>
      </c>
      <c r="H693" s="3">
        <v>7.4</v>
      </c>
      <c r="I693" s="3">
        <v>2648.36</v>
      </c>
      <c r="J693" s="1" t="s">
        <v>87</v>
      </c>
      <c r="K693" s="1" t="s">
        <v>88</v>
      </c>
      <c r="L693" t="str">
        <f>VLOOKUP(D693, Products!A:C, 3, FALSE)</f>
        <v>Electronics</v>
      </c>
      <c r="M693" t="str">
        <f>VLOOKUP(C693, Customers!A:E, 5, FALSE)</f>
        <v>Retail</v>
      </c>
      <c r="N693">
        <f>VLOOKUP(C693, Customers!A:E, 3, FALSE)</f>
        <v>65</v>
      </c>
      <c r="O693" s="93" t="str">
        <f>VLOOKUP(E693, Sales_Reps!A:C, 3, FALSE)</f>
        <v>North</v>
      </c>
      <c r="P693">
        <f>VLOOKUP(D693, Products!A:E, 4, FALSE)</f>
        <v>861</v>
      </c>
      <c r="Q693">
        <f>IF(COUNTIF($A$2:A693, A693)=2, 1, 0)</f>
        <v>0</v>
      </c>
      <c r="R693">
        <f>IF(ISNA(MATCH(C693, Customers!$A:$A, 0)), 1, 0)</f>
        <v>0</v>
      </c>
      <c r="S693" s="94" t="b">
        <f>VLOOKUP(D693, Products!A:F, 6, FALSE)</f>
        <v>1</v>
      </c>
    </row>
    <row r="694" spans="1:19">
      <c r="A694" s="102" t="s">
        <v>1155</v>
      </c>
      <c r="B694" s="2">
        <v>45640</v>
      </c>
      <c r="C694" s="1" t="s">
        <v>231</v>
      </c>
      <c r="D694" s="1" t="s">
        <v>106</v>
      </c>
      <c r="E694" s="1" t="s">
        <v>103</v>
      </c>
      <c r="F694" s="83">
        <v>5</v>
      </c>
      <c r="G694" s="92">
        <v>3160</v>
      </c>
      <c r="H694" s="3">
        <v>3.6</v>
      </c>
      <c r="I694" s="3">
        <v>15231.2</v>
      </c>
      <c r="J694" s="1" t="s">
        <v>93</v>
      </c>
      <c r="K694" s="1" t="s">
        <v>117</v>
      </c>
      <c r="L694" t="str">
        <f>VLOOKUP(D694, Products!A:C, 3, FALSE)</f>
        <v>Apparel</v>
      </c>
      <c r="M694" t="str">
        <f>VLOOKUP(C694, Customers!A:E, 5, FALSE)</f>
        <v>SMB</v>
      </c>
      <c r="N694">
        <f>VLOOKUP(C694, Customers!A:E, 3, FALSE)</f>
        <v>64</v>
      </c>
      <c r="O694" s="93" t="str">
        <f>VLOOKUP(E694, Sales_Reps!A:C, 3, FALSE)</f>
        <v>North</v>
      </c>
      <c r="P694">
        <f>VLOOKUP(D694, Products!A:E, 4, FALSE)</f>
        <v>1886</v>
      </c>
      <c r="Q694">
        <f>IF(COUNTIF($A$2:A694, A694)=2, 1, 0)</f>
        <v>0</v>
      </c>
      <c r="R694">
        <f>IF(ISNA(MATCH(C694, Customers!$A:$A, 0)), 1, 0)</f>
        <v>0</v>
      </c>
      <c r="S694" s="94" t="b">
        <f>VLOOKUP(D694, Products!A:F, 6, FALSE)</f>
        <v>1</v>
      </c>
    </row>
    <row r="695" spans="1:19">
      <c r="A695" s="102" t="s">
        <v>1156</v>
      </c>
      <c r="B695" s="2">
        <v>45521</v>
      </c>
      <c r="C695" s="1" t="s">
        <v>807</v>
      </c>
      <c r="D695" s="1" t="s">
        <v>386</v>
      </c>
      <c r="E695" s="1" t="s">
        <v>139</v>
      </c>
      <c r="F695" s="83">
        <v>2</v>
      </c>
      <c r="G695" s="92">
        <v>2290</v>
      </c>
      <c r="H695" s="3">
        <v>28.2</v>
      </c>
      <c r="I695" s="3">
        <v>3288.44</v>
      </c>
      <c r="J695" s="1" t="s">
        <v>87</v>
      </c>
      <c r="K695" s="1" t="s">
        <v>88</v>
      </c>
      <c r="L695" t="str">
        <f>VLOOKUP(D695, Products!A:C, 3, FALSE)</f>
        <v>Beauty</v>
      </c>
      <c r="M695" t="str">
        <f>VLOOKUP(C695, Customers!A:E, 5, FALSE)</f>
        <v>Retail</v>
      </c>
      <c r="N695">
        <f>VLOOKUP(C695, Customers!A:E, 3, FALSE)</f>
        <v>36</v>
      </c>
      <c r="O695" s="93" t="str">
        <f>VLOOKUP(E695, Sales_Reps!A:C, 3, FALSE)</f>
        <v>North</v>
      </c>
      <c r="P695">
        <f>VLOOKUP(D695, Products!A:E, 4, FALSE)</f>
        <v>1219</v>
      </c>
      <c r="Q695">
        <f>IF(COUNTIF($A$2:A695, A695)=2, 1, 0)</f>
        <v>0</v>
      </c>
      <c r="R695">
        <f>IF(ISNA(MATCH(C695, Customers!$A:$A, 0)), 1, 0)</f>
        <v>0</v>
      </c>
      <c r="S695" s="94" t="b">
        <f>VLOOKUP(D695, Products!A:F, 6, FALSE)</f>
        <v>1</v>
      </c>
    </row>
    <row r="696" spans="1:19">
      <c r="A696" s="102" t="s">
        <v>1157</v>
      </c>
      <c r="B696" s="2">
        <v>45366</v>
      </c>
      <c r="C696" s="1" t="s">
        <v>738</v>
      </c>
      <c r="D696" s="1" t="s">
        <v>452</v>
      </c>
      <c r="E696" s="1" t="s">
        <v>188</v>
      </c>
      <c r="F696" s="83">
        <v>5</v>
      </c>
      <c r="G696" s="92">
        <v>3450</v>
      </c>
      <c r="H696" s="3">
        <v>18.100000000000001</v>
      </c>
      <c r="I696" s="3">
        <v>14127.75</v>
      </c>
      <c r="J696" s="1" t="s">
        <v>140</v>
      </c>
      <c r="K696" s="1" t="s">
        <v>88</v>
      </c>
      <c r="L696" t="str">
        <f>VLOOKUP(D696, Products!A:C, 3, FALSE)</f>
        <v>Apparel</v>
      </c>
      <c r="M696" t="str">
        <f>VLOOKUP(C696, Customers!A:E, 5, FALSE)</f>
        <v>Retail</v>
      </c>
      <c r="N696">
        <f>VLOOKUP(C696, Customers!A:E, 3, FALSE)</f>
        <v>36</v>
      </c>
      <c r="O696" s="93" t="str">
        <f>VLOOKUP(E696, Sales_Reps!A:C, 3, FALSE)</f>
        <v>South</v>
      </c>
      <c r="P696">
        <f>VLOOKUP(D696, Products!A:E, 4, FALSE)</f>
        <v>1748</v>
      </c>
      <c r="Q696">
        <f>IF(COUNTIF($A$2:A696, A696)=2, 1, 0)</f>
        <v>0</v>
      </c>
      <c r="R696">
        <f>IF(ISNA(MATCH(C696, Customers!$A:$A, 0)), 1, 0)</f>
        <v>0</v>
      </c>
      <c r="S696" s="94" t="b">
        <f>VLOOKUP(D696, Products!A:F, 6, FALSE)</f>
        <v>1</v>
      </c>
    </row>
    <row r="697" spans="1:19">
      <c r="A697" s="102" t="s">
        <v>1158</v>
      </c>
      <c r="B697" s="2">
        <v>45439</v>
      </c>
      <c r="C697" s="1" t="s">
        <v>217</v>
      </c>
      <c r="D697" s="1" t="s">
        <v>659</v>
      </c>
      <c r="E697" s="1" t="s">
        <v>215</v>
      </c>
      <c r="F697" s="83">
        <v>1</v>
      </c>
      <c r="G697" s="92">
        <v>3560</v>
      </c>
      <c r="H697" s="3">
        <v>18.7</v>
      </c>
      <c r="I697" s="3">
        <v>2894.28</v>
      </c>
      <c r="J697" s="1" t="s">
        <v>87</v>
      </c>
      <c r="K697" s="1" t="s">
        <v>94</v>
      </c>
      <c r="L697" t="str">
        <f>VLOOKUP(D697, Products!A:C, 3, FALSE)</f>
        <v>Apparel</v>
      </c>
      <c r="M697" t="str">
        <f>VLOOKUP(C697, Customers!A:E, 5, FALSE)</f>
        <v>Retail</v>
      </c>
      <c r="N697">
        <f>VLOOKUP(C697, Customers!A:E, 3, FALSE)</f>
        <v>51</v>
      </c>
      <c r="O697" s="93" t="str">
        <f>VLOOKUP(E697, Sales_Reps!A:C, 3, FALSE)</f>
        <v>North</v>
      </c>
      <c r="P697">
        <f>VLOOKUP(D697, Products!A:E, 4, FALSE)</f>
        <v>2629</v>
      </c>
      <c r="Q697">
        <f>IF(COUNTIF($A$2:A697, A697)=2, 1, 0)</f>
        <v>0</v>
      </c>
      <c r="R697">
        <f>IF(ISNA(MATCH(C697, Customers!$A:$A, 0)), 1, 0)</f>
        <v>0</v>
      </c>
      <c r="S697" s="94" t="b">
        <f>VLOOKUP(D697, Products!A:F, 6, FALSE)</f>
        <v>1</v>
      </c>
    </row>
    <row r="698" spans="1:19">
      <c r="A698" s="102" t="s">
        <v>1159</v>
      </c>
      <c r="B698" s="2">
        <v>45426</v>
      </c>
      <c r="C698" s="1" t="s">
        <v>305</v>
      </c>
      <c r="D698" s="1" t="s">
        <v>151</v>
      </c>
      <c r="E698" s="1" t="s">
        <v>204</v>
      </c>
      <c r="F698" s="83">
        <v>9</v>
      </c>
      <c r="G698" s="92">
        <v>2400</v>
      </c>
      <c r="H698" s="3">
        <v>18.5</v>
      </c>
      <c r="I698" s="3">
        <v>17604</v>
      </c>
      <c r="J698" s="1" t="s">
        <v>87</v>
      </c>
      <c r="K698" s="1" t="s">
        <v>133</v>
      </c>
      <c r="L698" t="str">
        <f>VLOOKUP(D698, Products!A:C, 3, FALSE)</f>
        <v>Sports</v>
      </c>
      <c r="M698" t="str">
        <f>VLOOKUP(C698, Customers!A:E, 5, FALSE)</f>
        <v>Corporate</v>
      </c>
      <c r="N698">
        <f>VLOOKUP(C698, Customers!A:E, 3, FALSE)</f>
        <v>46</v>
      </c>
      <c r="O698" s="93" t="str">
        <f>VLOOKUP(E698, Sales_Reps!A:C, 3, FALSE)</f>
        <v>South</v>
      </c>
      <c r="P698">
        <f>VLOOKUP(D698, Products!A:E, 4, FALSE)</f>
        <v>974</v>
      </c>
      <c r="Q698">
        <f>IF(COUNTIF($A$2:A698, A698)=2, 1, 0)</f>
        <v>0</v>
      </c>
      <c r="R698">
        <f>IF(ISNA(MATCH(C698, Customers!$A:$A, 0)), 1, 0)</f>
        <v>0</v>
      </c>
      <c r="S698" s="94" t="b">
        <f>VLOOKUP(D698, Products!A:F, 6, FALSE)</f>
        <v>1</v>
      </c>
    </row>
    <row r="699" spans="1:19">
      <c r="A699" s="102" t="s">
        <v>1160</v>
      </c>
      <c r="B699" s="2">
        <v>45415</v>
      </c>
      <c r="C699" s="1" t="s">
        <v>353</v>
      </c>
      <c r="D699" s="1" t="s">
        <v>248</v>
      </c>
      <c r="E699" s="1" t="s">
        <v>154</v>
      </c>
      <c r="F699" s="83">
        <v>9</v>
      </c>
      <c r="G699" s="92">
        <v>3870</v>
      </c>
      <c r="H699" s="3">
        <v>6.9</v>
      </c>
      <c r="I699" s="3">
        <v>32426.73</v>
      </c>
      <c r="J699" s="1" t="s">
        <v>144</v>
      </c>
      <c r="K699" s="1" t="s">
        <v>94</v>
      </c>
      <c r="L699" t="str">
        <f>VLOOKUP(D699, Products!A:C, 3, FALSE)</f>
        <v>Electronics</v>
      </c>
      <c r="M699" t="str">
        <f>VLOOKUP(C699, Customers!A:E, 5, FALSE)</f>
        <v>Retail</v>
      </c>
      <c r="N699">
        <f>VLOOKUP(C699, Customers!A:E, 3, FALSE)</f>
        <v>60</v>
      </c>
      <c r="O699" s="93" t="str">
        <f>VLOOKUP(E699, Sales_Reps!A:C, 3, FALSE)</f>
        <v>East</v>
      </c>
      <c r="P699">
        <f>VLOOKUP(D699, Products!A:E, 4, FALSE)</f>
        <v>1559</v>
      </c>
      <c r="Q699">
        <f>IF(COUNTIF($A$2:A699, A699)=2, 1, 0)</f>
        <v>0</v>
      </c>
      <c r="R699">
        <f>IF(ISNA(MATCH(C699, Customers!$A:$A, 0)), 1, 0)</f>
        <v>0</v>
      </c>
      <c r="S699" s="94" t="b">
        <f>VLOOKUP(D699, Products!A:F, 6, FALSE)</f>
        <v>1</v>
      </c>
    </row>
    <row r="700" spans="1:19">
      <c r="A700" s="102" t="s">
        <v>1161</v>
      </c>
      <c r="B700" s="2">
        <v>45620</v>
      </c>
      <c r="C700" s="1" t="s">
        <v>705</v>
      </c>
      <c r="D700" s="1" t="s">
        <v>102</v>
      </c>
      <c r="E700" s="1" t="s">
        <v>285</v>
      </c>
      <c r="F700" s="83">
        <v>5</v>
      </c>
      <c r="G700" s="92">
        <v>3660</v>
      </c>
      <c r="H700" s="3">
        <v>11.7</v>
      </c>
      <c r="I700" s="3">
        <v>16158.9</v>
      </c>
      <c r="J700" s="1" t="s">
        <v>87</v>
      </c>
      <c r="K700" s="1" t="s">
        <v>99</v>
      </c>
      <c r="L700" t="str">
        <f>VLOOKUP(D700, Products!A:C, 3, FALSE)</f>
        <v>Grocery</v>
      </c>
      <c r="M700" t="str">
        <f>VLOOKUP(C700, Customers!A:E, 5, FALSE)</f>
        <v>Retail</v>
      </c>
      <c r="N700">
        <f>VLOOKUP(C700, Customers!A:E, 3, FALSE)</f>
        <v>53</v>
      </c>
      <c r="O700" s="93" t="str">
        <f>VLOOKUP(E700, Sales_Reps!A:C, 3, FALSE)</f>
        <v>East</v>
      </c>
      <c r="P700">
        <f>VLOOKUP(D700, Products!A:E, 4, FALSE)</f>
        <v>2214</v>
      </c>
      <c r="Q700">
        <f>IF(COUNTIF($A$2:A700, A700)=2, 1, 0)</f>
        <v>0</v>
      </c>
      <c r="R700">
        <f>IF(ISNA(MATCH(C700, Customers!$A:$A, 0)), 1, 0)</f>
        <v>0</v>
      </c>
      <c r="S700" s="94" t="b">
        <f>VLOOKUP(D700, Products!A:F, 6, FALSE)</f>
        <v>0</v>
      </c>
    </row>
    <row r="701" spans="1:19">
      <c r="A701" s="102" t="s">
        <v>1162</v>
      </c>
      <c r="B701" s="2">
        <v>45346</v>
      </c>
      <c r="C701" s="1" t="s">
        <v>405</v>
      </c>
      <c r="D701" s="1" t="s">
        <v>164</v>
      </c>
      <c r="E701" s="1" t="s">
        <v>170</v>
      </c>
      <c r="F701" s="83">
        <v>4</v>
      </c>
      <c r="G701" s="92">
        <v>1080</v>
      </c>
      <c r="H701" s="3">
        <v>17.5</v>
      </c>
      <c r="I701" s="3">
        <v>3564</v>
      </c>
      <c r="J701" s="1" t="s">
        <v>87</v>
      </c>
      <c r="K701" s="1" t="s">
        <v>94</v>
      </c>
      <c r="L701" t="str">
        <f>VLOOKUP(D701, Products!A:C, 3, FALSE)</f>
        <v>Home</v>
      </c>
      <c r="M701" t="str">
        <f>VLOOKUP(C701, Customers!A:E, 5, FALSE)</f>
        <v>Corporate</v>
      </c>
      <c r="N701">
        <f>VLOOKUP(C701, Customers!A:E, 3, FALSE)</f>
        <v>24</v>
      </c>
      <c r="O701" s="93" t="str">
        <f>VLOOKUP(E701, Sales_Reps!A:C, 3, FALSE)</f>
        <v>West</v>
      </c>
      <c r="P701">
        <f>VLOOKUP(D701, Products!A:E, 4, FALSE)</f>
        <v>519</v>
      </c>
      <c r="Q701">
        <f>IF(COUNTIF($A$2:A701, A701)=2, 1, 0)</f>
        <v>0</v>
      </c>
      <c r="R701">
        <f>IF(ISNA(MATCH(C701, Customers!$A:$A, 0)), 1, 0)</f>
        <v>0</v>
      </c>
      <c r="S701" s="94" t="b">
        <f>VLOOKUP(D701, Products!A:F, 6, FALSE)</f>
        <v>1</v>
      </c>
    </row>
    <row r="702" spans="1:19">
      <c r="A702" s="102" t="s">
        <v>1163</v>
      </c>
      <c r="B702" s="2">
        <v>45297</v>
      </c>
      <c r="C702" s="1" t="s">
        <v>835</v>
      </c>
      <c r="D702" s="1" t="s">
        <v>461</v>
      </c>
      <c r="E702" s="1" t="s">
        <v>103</v>
      </c>
      <c r="F702" s="83">
        <v>6</v>
      </c>
      <c r="G702" s="92">
        <v>3780</v>
      </c>
      <c r="H702" s="3">
        <v>27.8</v>
      </c>
      <c r="I702" s="3">
        <v>16374.96</v>
      </c>
      <c r="J702" s="1" t="s">
        <v>87</v>
      </c>
      <c r="K702" s="1" t="s">
        <v>117</v>
      </c>
      <c r="L702" t="str">
        <f>VLOOKUP(D702, Products!A:C, 3, FALSE)</f>
        <v>Sports</v>
      </c>
      <c r="M702" t="str">
        <f>VLOOKUP(C702, Customers!A:E, 5, FALSE)</f>
        <v>Retail</v>
      </c>
      <c r="N702">
        <f>VLOOKUP(C702, Customers!A:E, 3, FALSE)</f>
        <v>52</v>
      </c>
      <c r="O702" s="93" t="str">
        <f>VLOOKUP(E702, Sales_Reps!A:C, 3, FALSE)</f>
        <v>North</v>
      </c>
      <c r="P702">
        <f>VLOOKUP(D702, Products!A:E, 4, FALSE)</f>
        <v>1860</v>
      </c>
      <c r="Q702">
        <f>IF(COUNTIF($A$2:A702, A702)=2, 1, 0)</f>
        <v>0</v>
      </c>
      <c r="R702">
        <f>IF(ISNA(MATCH(C702, Customers!$A:$A, 0)), 1, 0)</f>
        <v>0</v>
      </c>
      <c r="S702" s="94" t="b">
        <f>VLOOKUP(D702, Products!A:F, 6, FALSE)</f>
        <v>1</v>
      </c>
    </row>
    <row r="703" spans="1:19">
      <c r="A703" s="102" t="s">
        <v>1164</v>
      </c>
      <c r="B703" s="2">
        <v>45521</v>
      </c>
      <c r="C703" s="1" t="s">
        <v>1062</v>
      </c>
      <c r="D703" s="1" t="s">
        <v>167</v>
      </c>
      <c r="E703" s="1" t="s">
        <v>285</v>
      </c>
      <c r="F703" s="83">
        <v>8</v>
      </c>
      <c r="G703" s="92">
        <v>2480</v>
      </c>
      <c r="H703" s="3">
        <v>15.7</v>
      </c>
      <c r="I703" s="3">
        <v>16725.12</v>
      </c>
      <c r="J703" s="1" t="s">
        <v>93</v>
      </c>
      <c r="K703" s="1" t="s">
        <v>112</v>
      </c>
      <c r="L703" t="str">
        <f>VLOOKUP(D703, Products!A:C, 3, FALSE)</f>
        <v>Apparel</v>
      </c>
      <c r="M703" t="str">
        <f>VLOOKUP(C703, Customers!A:E, 5, FALSE)</f>
        <v>SMB</v>
      </c>
      <c r="N703">
        <f>VLOOKUP(C703, Customers!A:E, 3, FALSE)</f>
        <v>54</v>
      </c>
      <c r="O703" s="93" t="str">
        <f>VLOOKUP(E703, Sales_Reps!A:C, 3, FALSE)</f>
        <v>East</v>
      </c>
      <c r="P703">
        <f>VLOOKUP(D703, Products!A:E, 4, FALSE)</f>
        <v>1173</v>
      </c>
      <c r="Q703">
        <f>IF(COUNTIF($A$2:A703, A703)=2, 1, 0)</f>
        <v>0</v>
      </c>
      <c r="R703">
        <f>IF(ISNA(MATCH(C703, Customers!$A:$A, 0)), 1, 0)</f>
        <v>0</v>
      </c>
      <c r="S703" s="94" t="b">
        <f>VLOOKUP(D703, Products!A:F, 6, FALSE)</f>
        <v>1</v>
      </c>
    </row>
    <row r="704" spans="1:19">
      <c r="A704" s="102" t="s">
        <v>1165</v>
      </c>
      <c r="B704" s="2">
        <v>45409</v>
      </c>
      <c r="C704" s="1" t="s">
        <v>390</v>
      </c>
      <c r="D704" s="1" t="s">
        <v>182</v>
      </c>
      <c r="E704" s="1" t="s">
        <v>98</v>
      </c>
      <c r="F704" s="83">
        <v>10</v>
      </c>
      <c r="G704" s="92">
        <v>1010</v>
      </c>
      <c r="H704" s="3">
        <v>0.1</v>
      </c>
      <c r="I704" s="3">
        <v>10089.9</v>
      </c>
      <c r="J704" s="1" t="s">
        <v>93</v>
      </c>
      <c r="K704" s="1" t="s">
        <v>88</v>
      </c>
      <c r="L704" t="str">
        <f>VLOOKUP(D704, Products!A:C, 3, FALSE)</f>
        <v>Sports</v>
      </c>
      <c r="M704" t="str">
        <f>VLOOKUP(C704, Customers!A:E, 5, FALSE)</f>
        <v>SMB</v>
      </c>
      <c r="N704">
        <f>VLOOKUP(C704, Customers!A:E, 3, FALSE)</f>
        <v>54</v>
      </c>
      <c r="O704" s="93" t="str">
        <f>VLOOKUP(E704, Sales_Reps!A:C, 3, FALSE)</f>
        <v>South</v>
      </c>
      <c r="P704">
        <f>VLOOKUP(D704, Products!A:E, 4, FALSE)</f>
        <v>516</v>
      </c>
      <c r="Q704">
        <f>IF(COUNTIF($A$2:A704, A704)=2, 1, 0)</f>
        <v>0</v>
      </c>
      <c r="R704">
        <f>IF(ISNA(MATCH(C704, Customers!$A:$A, 0)), 1, 0)</f>
        <v>0</v>
      </c>
      <c r="S704" s="94" t="b">
        <f>VLOOKUP(D704, Products!A:F, 6, FALSE)</f>
        <v>1</v>
      </c>
    </row>
    <row r="705" spans="1:19">
      <c r="A705" s="102" t="s">
        <v>1166</v>
      </c>
      <c r="B705" s="2">
        <v>45406</v>
      </c>
      <c r="C705" s="1" t="s">
        <v>150</v>
      </c>
      <c r="D705" s="1" t="s">
        <v>97</v>
      </c>
      <c r="E705" s="1" t="s">
        <v>188</v>
      </c>
      <c r="F705" s="83">
        <v>3</v>
      </c>
      <c r="G705" s="92">
        <v>470</v>
      </c>
      <c r="H705" s="3">
        <v>1.1000000000000001</v>
      </c>
      <c r="I705" s="3">
        <v>1394.49</v>
      </c>
      <c r="J705" s="1" t="s">
        <v>87</v>
      </c>
      <c r="K705" s="1" t="s">
        <v>88</v>
      </c>
      <c r="L705" t="str">
        <f>VLOOKUP(D705, Products!A:C, 3, FALSE)</f>
        <v>Sports</v>
      </c>
      <c r="M705" t="str">
        <f>VLOOKUP(C705, Customers!A:E, 5, FALSE)</f>
        <v>Retail</v>
      </c>
      <c r="N705">
        <f>VLOOKUP(C705, Customers!A:E, 3, FALSE)</f>
        <v>63</v>
      </c>
      <c r="O705" s="93" t="str">
        <f>VLOOKUP(E705, Sales_Reps!A:C, 3, FALSE)</f>
        <v>South</v>
      </c>
      <c r="P705">
        <f>VLOOKUP(D705, Products!A:E, 4, FALSE)</f>
        <v>302</v>
      </c>
      <c r="Q705">
        <f>IF(COUNTIF($A$2:A705, A705)=2, 1, 0)</f>
        <v>0</v>
      </c>
      <c r="R705">
        <f>IF(ISNA(MATCH(C705, Customers!$A:$A, 0)), 1, 0)</f>
        <v>0</v>
      </c>
      <c r="S705" s="94" t="b">
        <f>VLOOKUP(D705, Products!A:F, 6, FALSE)</f>
        <v>0</v>
      </c>
    </row>
    <row r="706" spans="1:19">
      <c r="A706" s="102" t="s">
        <v>1167</v>
      </c>
      <c r="B706" s="2">
        <v>45474</v>
      </c>
      <c r="C706" s="1" t="s">
        <v>714</v>
      </c>
      <c r="D706" s="1" t="s">
        <v>131</v>
      </c>
      <c r="E706" s="1" t="s">
        <v>121</v>
      </c>
      <c r="F706" s="83">
        <v>4</v>
      </c>
      <c r="G706" s="92">
        <v>2270</v>
      </c>
      <c r="H706" s="3">
        <v>17.100000000000001</v>
      </c>
      <c r="I706" s="3">
        <v>7527.32</v>
      </c>
      <c r="J706" s="1" t="s">
        <v>87</v>
      </c>
      <c r="K706" s="1" t="s">
        <v>99</v>
      </c>
      <c r="L706" t="str">
        <f>VLOOKUP(D706, Products!A:C, 3, FALSE)</f>
        <v>Grocery</v>
      </c>
      <c r="M706" t="str">
        <f>VLOOKUP(C706, Customers!A:E, 5, FALSE)</f>
        <v>Retail</v>
      </c>
      <c r="N706">
        <f>VLOOKUP(C706, Customers!A:E, 3, FALSE)</f>
        <v>24</v>
      </c>
      <c r="O706" s="93" t="str">
        <f>VLOOKUP(E706, Sales_Reps!A:C, 3, FALSE)</f>
        <v>East</v>
      </c>
      <c r="P706">
        <f>VLOOKUP(D706, Products!A:E, 4, FALSE)</f>
        <v>1203</v>
      </c>
      <c r="Q706">
        <f>IF(COUNTIF($A$2:A706, A706)=2, 1, 0)</f>
        <v>0</v>
      </c>
      <c r="R706">
        <f>IF(ISNA(MATCH(C706, Customers!$A:$A, 0)), 1, 0)</f>
        <v>0</v>
      </c>
      <c r="S706" s="94" t="b">
        <f>VLOOKUP(D706, Products!A:F, 6, FALSE)</f>
        <v>1</v>
      </c>
    </row>
    <row r="707" spans="1:19">
      <c r="A707" s="102" t="s">
        <v>1168</v>
      </c>
      <c r="B707" s="2">
        <v>45588</v>
      </c>
      <c r="C707" s="1" t="s">
        <v>223</v>
      </c>
      <c r="D707" s="1" t="s">
        <v>200</v>
      </c>
      <c r="E707" s="1" t="s">
        <v>132</v>
      </c>
      <c r="F707" s="83">
        <v>7</v>
      </c>
      <c r="G707" s="92">
        <v>2760</v>
      </c>
      <c r="H707" s="3">
        <v>17.100000000000001</v>
      </c>
      <c r="I707" s="3">
        <v>16016.28</v>
      </c>
      <c r="J707" s="1" t="s">
        <v>87</v>
      </c>
      <c r="K707" s="1" t="s">
        <v>99</v>
      </c>
      <c r="L707" t="str">
        <f>VLOOKUP(D707, Products!A:C, 3, FALSE)</f>
        <v>Grocery</v>
      </c>
      <c r="M707" t="str">
        <f>VLOOKUP(C707, Customers!A:E, 5, FALSE)</f>
        <v>Retail</v>
      </c>
      <c r="N707">
        <f>VLOOKUP(C707, Customers!A:E, 3, FALSE)</f>
        <v>53</v>
      </c>
      <c r="O707" s="93" t="str">
        <f>VLOOKUP(E707, Sales_Reps!A:C, 3, FALSE)</f>
        <v>South</v>
      </c>
      <c r="P707">
        <f>VLOOKUP(D707, Products!A:E, 4, FALSE)</f>
        <v>1435</v>
      </c>
      <c r="Q707">
        <f>IF(COUNTIF($A$2:A707, A707)=2, 1, 0)</f>
        <v>0</v>
      </c>
      <c r="R707">
        <f>IF(ISNA(MATCH(C707, Customers!$A:$A, 0)), 1, 0)</f>
        <v>0</v>
      </c>
      <c r="S707" s="94" t="b">
        <f>VLOOKUP(D707, Products!A:F, 6, FALSE)</f>
        <v>1</v>
      </c>
    </row>
    <row r="708" spans="1:19">
      <c r="A708" s="102" t="s">
        <v>1169</v>
      </c>
      <c r="B708" s="2">
        <v>45530</v>
      </c>
      <c r="C708" s="1" t="s">
        <v>1047</v>
      </c>
      <c r="D708" s="1" t="s">
        <v>161</v>
      </c>
      <c r="E708" s="1" t="s">
        <v>107</v>
      </c>
      <c r="F708" s="83">
        <v>6</v>
      </c>
      <c r="G708" s="92">
        <v>3450</v>
      </c>
      <c r="H708" s="3">
        <v>6.6</v>
      </c>
      <c r="I708" s="3">
        <v>19333.8</v>
      </c>
      <c r="J708" s="1" t="s">
        <v>144</v>
      </c>
      <c r="K708" s="1" t="s">
        <v>133</v>
      </c>
      <c r="L708" t="str">
        <f>VLOOKUP(D708, Products!A:C, 3, FALSE)</f>
        <v>Sports</v>
      </c>
      <c r="M708" t="str">
        <f>VLOOKUP(C708, Customers!A:E, 5, FALSE)</f>
        <v>Retail</v>
      </c>
      <c r="N708">
        <f>VLOOKUP(C708, Customers!A:E, 3, FALSE)</f>
        <v>41</v>
      </c>
      <c r="O708" s="93" t="str">
        <f>VLOOKUP(E708, Sales_Reps!A:C, 3, FALSE)</f>
        <v>North</v>
      </c>
      <c r="P708">
        <f>VLOOKUP(D708, Products!A:E, 4, FALSE)</f>
        <v>2467</v>
      </c>
      <c r="Q708">
        <f>IF(COUNTIF($A$2:A708, A708)=2, 1, 0)</f>
        <v>0</v>
      </c>
      <c r="R708">
        <f>IF(ISNA(MATCH(C708, Customers!$A:$A, 0)), 1, 0)</f>
        <v>0</v>
      </c>
      <c r="S708" s="94" t="b">
        <f>VLOOKUP(D708, Products!A:F, 6, FALSE)</f>
        <v>1</v>
      </c>
    </row>
    <row r="709" spans="1:19">
      <c r="A709" s="102" t="s">
        <v>1170</v>
      </c>
      <c r="B709" s="2">
        <v>45630</v>
      </c>
      <c r="C709" s="1" t="s">
        <v>592</v>
      </c>
      <c r="D709" s="1" t="s">
        <v>102</v>
      </c>
      <c r="E709" s="1" t="s">
        <v>86</v>
      </c>
      <c r="F709" s="83">
        <v>8</v>
      </c>
      <c r="G709" s="92">
        <v>3660</v>
      </c>
      <c r="H709" s="3">
        <v>7.2</v>
      </c>
      <c r="I709" s="3">
        <v>27171.84</v>
      </c>
      <c r="J709" s="1" t="s">
        <v>87</v>
      </c>
      <c r="K709" s="1" t="s">
        <v>133</v>
      </c>
      <c r="L709" t="str">
        <f>VLOOKUP(D709, Products!A:C, 3, FALSE)</f>
        <v>Grocery</v>
      </c>
      <c r="M709" t="str">
        <f>VLOOKUP(C709, Customers!A:E, 5, FALSE)</f>
        <v>Retail</v>
      </c>
      <c r="N709">
        <f>VLOOKUP(C709, Customers!A:E, 3, FALSE)</f>
        <v>22</v>
      </c>
      <c r="O709" s="93" t="str">
        <f>VLOOKUP(E709, Sales_Reps!A:C, 3, FALSE)</f>
        <v>North</v>
      </c>
      <c r="P709">
        <f>VLOOKUP(D709, Products!A:E, 4, FALSE)</f>
        <v>2214</v>
      </c>
      <c r="Q709">
        <f>IF(COUNTIF($A$2:A709, A709)=2, 1, 0)</f>
        <v>0</v>
      </c>
      <c r="R709">
        <f>IF(ISNA(MATCH(C709, Customers!$A:$A, 0)), 1, 0)</f>
        <v>0</v>
      </c>
      <c r="S709" s="94" t="b">
        <f>VLOOKUP(D709, Products!A:F, 6, FALSE)</f>
        <v>0</v>
      </c>
    </row>
    <row r="710" spans="1:19">
      <c r="A710" s="102" t="s">
        <v>1171</v>
      </c>
      <c r="B710" s="2">
        <v>45551</v>
      </c>
      <c r="C710" s="1" t="s">
        <v>1172</v>
      </c>
      <c r="D710" s="1" t="s">
        <v>267</v>
      </c>
      <c r="E710" s="1" t="s">
        <v>170</v>
      </c>
      <c r="F710" s="83">
        <v>4</v>
      </c>
      <c r="G710" s="92">
        <v>1220</v>
      </c>
      <c r="H710" s="3">
        <v>24.3</v>
      </c>
      <c r="I710" s="3">
        <v>3694.16</v>
      </c>
      <c r="J710" s="1" t="s">
        <v>140</v>
      </c>
      <c r="K710" s="1" t="s">
        <v>88</v>
      </c>
      <c r="L710" t="str">
        <f>VLOOKUP(D710, Products!A:C, 3, FALSE)</f>
        <v>Electronics</v>
      </c>
      <c r="M710" t="str">
        <f>VLOOKUP(C710, Customers!A:E, 5, FALSE)</f>
        <v>Retail</v>
      </c>
      <c r="N710">
        <f>VLOOKUP(C710, Customers!A:E, 3, FALSE)</f>
        <v>39</v>
      </c>
      <c r="O710" s="93" t="str">
        <f>VLOOKUP(E710, Sales_Reps!A:C, 3, FALSE)</f>
        <v>West</v>
      </c>
      <c r="P710">
        <f>VLOOKUP(D710, Products!A:E, 4, FALSE)</f>
        <v>517</v>
      </c>
      <c r="Q710">
        <f>IF(COUNTIF($A$2:A710, A710)=2, 1, 0)</f>
        <v>0</v>
      </c>
      <c r="R710">
        <f>IF(ISNA(MATCH(C710, Customers!$A:$A, 0)), 1, 0)</f>
        <v>0</v>
      </c>
      <c r="S710" s="94" t="b">
        <f>VLOOKUP(D710, Products!A:F, 6, FALSE)</f>
        <v>1</v>
      </c>
    </row>
    <row r="711" spans="1:19">
      <c r="A711" s="102" t="s">
        <v>1173</v>
      </c>
      <c r="B711" s="2">
        <v>45610</v>
      </c>
      <c r="C711" s="1" t="s">
        <v>883</v>
      </c>
      <c r="D711" s="1" t="s">
        <v>360</v>
      </c>
      <c r="E711" s="1" t="s">
        <v>86</v>
      </c>
      <c r="F711" s="83">
        <v>2</v>
      </c>
      <c r="G711" s="92">
        <v>5410</v>
      </c>
      <c r="H711" s="3">
        <v>0.9</v>
      </c>
      <c r="I711" s="3">
        <v>10722.62</v>
      </c>
      <c r="J711" s="1" t="s">
        <v>93</v>
      </c>
      <c r="K711" s="1" t="s">
        <v>133</v>
      </c>
      <c r="L711" t="str">
        <f>VLOOKUP(D711, Products!A:C, 3, FALSE)</f>
        <v>Sports</v>
      </c>
      <c r="M711" t="str">
        <f>VLOOKUP(C711, Customers!A:E, 5, FALSE)</f>
        <v>SMB</v>
      </c>
      <c r="N711">
        <f>VLOOKUP(C711, Customers!A:E, 3, FALSE)</f>
        <v>28</v>
      </c>
      <c r="O711" s="93" t="str">
        <f>VLOOKUP(E711, Sales_Reps!A:C, 3, FALSE)</f>
        <v>North</v>
      </c>
      <c r="P711">
        <f>VLOOKUP(D711, Products!A:E, 4, FALSE)</f>
        <v>2265</v>
      </c>
      <c r="Q711">
        <f>IF(COUNTIF($A$2:A711, A711)=2, 1, 0)</f>
        <v>0</v>
      </c>
      <c r="R711">
        <f>IF(ISNA(MATCH(C711, Customers!$A:$A, 0)), 1, 0)</f>
        <v>0</v>
      </c>
      <c r="S711" s="94" t="b">
        <f>VLOOKUP(D711, Products!A:F, 6, FALSE)</f>
        <v>1</v>
      </c>
    </row>
    <row r="712" spans="1:19">
      <c r="A712" s="102" t="s">
        <v>1174</v>
      </c>
      <c r="B712" s="2">
        <v>45322</v>
      </c>
      <c r="C712" s="1" t="s">
        <v>413</v>
      </c>
      <c r="D712" s="1" t="s">
        <v>295</v>
      </c>
      <c r="E712" s="1" t="s">
        <v>204</v>
      </c>
      <c r="F712" s="83">
        <v>5</v>
      </c>
      <c r="G712" s="92">
        <v>2030</v>
      </c>
      <c r="H712" s="3">
        <v>25.2</v>
      </c>
      <c r="I712" s="3">
        <v>7592.2</v>
      </c>
      <c r="J712" s="1" t="s">
        <v>87</v>
      </c>
      <c r="K712" s="1" t="s">
        <v>88</v>
      </c>
      <c r="L712" t="str">
        <f>VLOOKUP(D712, Products!A:C, 3, FALSE)</f>
        <v>Home</v>
      </c>
      <c r="M712" t="str">
        <f>VLOOKUP(C712, Customers!A:E, 5, FALSE)</f>
        <v>Retail</v>
      </c>
      <c r="N712">
        <f>VLOOKUP(C712, Customers!A:E, 3, FALSE)</f>
        <v>22</v>
      </c>
      <c r="O712" s="93" t="str">
        <f>VLOOKUP(E712, Sales_Reps!A:C, 3, FALSE)</f>
        <v>South</v>
      </c>
      <c r="P712">
        <f>VLOOKUP(D712, Products!A:E, 4, FALSE)</f>
        <v>1143</v>
      </c>
      <c r="Q712">
        <f>IF(COUNTIF($A$2:A712, A712)=2, 1, 0)</f>
        <v>0</v>
      </c>
      <c r="R712">
        <f>IF(ISNA(MATCH(C712, Customers!$A:$A, 0)), 1, 0)</f>
        <v>0</v>
      </c>
      <c r="S712" s="94" t="b">
        <f>VLOOKUP(D712, Products!A:F, 6, FALSE)</f>
        <v>1</v>
      </c>
    </row>
    <row r="713" spans="1:19">
      <c r="A713" s="102" t="s">
        <v>1175</v>
      </c>
      <c r="B713" s="2">
        <v>45363</v>
      </c>
      <c r="C713" s="1" t="s">
        <v>585</v>
      </c>
      <c r="D713" s="1" t="s">
        <v>267</v>
      </c>
      <c r="E713" s="1" t="s">
        <v>325</v>
      </c>
      <c r="F713" s="83">
        <v>5</v>
      </c>
      <c r="G713" s="92">
        <v>1220</v>
      </c>
      <c r="H713" s="3">
        <v>2.6</v>
      </c>
      <c r="I713" s="3">
        <v>5941.4</v>
      </c>
      <c r="J713" s="1" t="s">
        <v>87</v>
      </c>
      <c r="K713" s="1" t="s">
        <v>94</v>
      </c>
      <c r="L713" t="str">
        <f>VLOOKUP(D713, Products!A:C, 3, FALSE)</f>
        <v>Electronics</v>
      </c>
      <c r="M713" t="str">
        <f>VLOOKUP(C713, Customers!A:E, 5, FALSE)</f>
        <v>Retail</v>
      </c>
      <c r="N713">
        <f>VLOOKUP(C713, Customers!A:E, 3, FALSE)</f>
        <v>26</v>
      </c>
      <c r="O713" s="93" t="str">
        <f>VLOOKUP(E713, Sales_Reps!A:C, 3, FALSE)</f>
        <v>South</v>
      </c>
      <c r="P713">
        <f>VLOOKUP(D713, Products!A:E, 4, FALSE)</f>
        <v>517</v>
      </c>
      <c r="Q713">
        <f>IF(COUNTIF($A$2:A713, A713)=2, 1, 0)</f>
        <v>0</v>
      </c>
      <c r="R713">
        <f>IF(ISNA(MATCH(C713, Customers!$A:$A, 0)), 1, 0)</f>
        <v>0</v>
      </c>
      <c r="S713" s="94" t="b">
        <f>VLOOKUP(D713, Products!A:F, 6, FALSE)</f>
        <v>1</v>
      </c>
    </row>
    <row r="714" spans="1:19">
      <c r="A714" s="102" t="s">
        <v>1176</v>
      </c>
      <c r="B714" s="2">
        <v>45600</v>
      </c>
      <c r="C714" s="1" t="s">
        <v>524</v>
      </c>
      <c r="D714" s="1" t="s">
        <v>279</v>
      </c>
      <c r="E714" s="1" t="s">
        <v>103</v>
      </c>
      <c r="F714" s="83">
        <v>4</v>
      </c>
      <c r="G714" s="92">
        <v>2660</v>
      </c>
      <c r="H714" s="3">
        <v>19.100000000000001</v>
      </c>
      <c r="I714" s="3">
        <v>8607.76</v>
      </c>
      <c r="J714" s="1" t="s">
        <v>144</v>
      </c>
      <c r="K714" s="1" t="s">
        <v>112</v>
      </c>
      <c r="L714" t="str">
        <f>VLOOKUP(D714, Products!A:C, 3, FALSE)</f>
        <v>Electronics</v>
      </c>
      <c r="M714" t="str">
        <f>VLOOKUP(C714, Customers!A:E, 5, FALSE)</f>
        <v>Corporate</v>
      </c>
      <c r="N714">
        <f>VLOOKUP(C714, Customers!A:E, 3, FALSE)</f>
        <v>55</v>
      </c>
      <c r="O714" s="93" t="str">
        <f>VLOOKUP(E714, Sales_Reps!A:C, 3, FALSE)</f>
        <v>North</v>
      </c>
      <c r="P714">
        <f>VLOOKUP(D714, Products!A:E, 4, FALSE)</f>
        <v>1259</v>
      </c>
      <c r="Q714">
        <f>IF(COUNTIF($A$2:A714, A714)=2, 1, 0)</f>
        <v>0</v>
      </c>
      <c r="R714">
        <f>IF(ISNA(MATCH(C714, Customers!$A:$A, 0)), 1, 0)</f>
        <v>0</v>
      </c>
      <c r="S714" s="94" t="b">
        <f>VLOOKUP(D714, Products!A:F, 6, FALSE)</f>
        <v>0</v>
      </c>
    </row>
    <row r="715" spans="1:19">
      <c r="A715" s="102" t="s">
        <v>1177</v>
      </c>
      <c r="B715" s="2">
        <v>45351</v>
      </c>
      <c r="C715" s="1" t="s">
        <v>610</v>
      </c>
      <c r="D715" s="1" t="s">
        <v>264</v>
      </c>
      <c r="E715" s="1" t="s">
        <v>346</v>
      </c>
      <c r="F715" s="83">
        <v>3</v>
      </c>
      <c r="G715" s="92">
        <v>4070</v>
      </c>
      <c r="H715" s="3">
        <v>25.2</v>
      </c>
      <c r="I715" s="3">
        <v>9133.08</v>
      </c>
      <c r="J715" s="1" t="s">
        <v>87</v>
      </c>
      <c r="K715" s="1" t="s">
        <v>117</v>
      </c>
      <c r="L715" t="str">
        <f>VLOOKUP(D715, Products!A:C, 3, FALSE)</f>
        <v>Grocery</v>
      </c>
      <c r="M715" t="str">
        <f>VLOOKUP(C715, Customers!A:E, 5, FALSE)</f>
        <v>SMB</v>
      </c>
      <c r="N715">
        <f>VLOOKUP(C715, Customers!A:E, 3, FALSE)</f>
        <v>42</v>
      </c>
      <c r="O715" s="93" t="str">
        <f>VLOOKUP(E715, Sales_Reps!A:C, 3, FALSE)</f>
        <v>South</v>
      </c>
      <c r="P715">
        <f>VLOOKUP(D715, Products!A:E, 4, FALSE)</f>
        <v>2027</v>
      </c>
      <c r="Q715">
        <f>IF(COUNTIF($A$2:A715, A715)=2, 1, 0)</f>
        <v>0</v>
      </c>
      <c r="R715">
        <f>IF(ISNA(MATCH(C715, Customers!$A:$A, 0)), 1, 0)</f>
        <v>0</v>
      </c>
      <c r="S715" s="94" t="b">
        <f>VLOOKUP(D715, Products!A:F, 6, FALSE)</f>
        <v>1</v>
      </c>
    </row>
    <row r="716" spans="1:19">
      <c r="A716" s="102" t="s">
        <v>1178</v>
      </c>
      <c r="B716" s="2">
        <v>45461</v>
      </c>
      <c r="C716" s="1" t="s">
        <v>669</v>
      </c>
      <c r="D716" s="1" t="s">
        <v>380</v>
      </c>
      <c r="E716" s="1" t="s">
        <v>98</v>
      </c>
      <c r="F716" s="83">
        <v>10</v>
      </c>
      <c r="G716" s="92">
        <v>960</v>
      </c>
      <c r="H716" s="3">
        <v>0.3</v>
      </c>
      <c r="I716" s="3">
        <v>9571.2000000000007</v>
      </c>
      <c r="J716" s="1" t="s">
        <v>87</v>
      </c>
      <c r="K716" s="1" t="s">
        <v>133</v>
      </c>
      <c r="L716" t="str">
        <f>VLOOKUP(D716, Products!A:C, 3, FALSE)</f>
        <v>Beauty</v>
      </c>
      <c r="M716" t="str">
        <f>VLOOKUP(C716, Customers!A:E, 5, FALSE)</f>
        <v>Retail</v>
      </c>
      <c r="N716">
        <f>VLOOKUP(C716, Customers!A:E, 3, FALSE)</f>
        <v>31</v>
      </c>
      <c r="O716" s="93" t="str">
        <f>VLOOKUP(E716, Sales_Reps!A:C, 3, FALSE)</f>
        <v>South</v>
      </c>
      <c r="P716">
        <f>VLOOKUP(D716, Products!A:E, 4, FALSE)</f>
        <v>675</v>
      </c>
      <c r="Q716">
        <f>IF(COUNTIF($A$2:A716, A716)=2, 1, 0)</f>
        <v>0</v>
      </c>
      <c r="R716">
        <f>IF(ISNA(MATCH(C716, Customers!$A:$A, 0)), 1, 0)</f>
        <v>0</v>
      </c>
      <c r="S716" s="94" t="b">
        <f>VLOOKUP(D716, Products!A:F, 6, FALSE)</f>
        <v>1</v>
      </c>
    </row>
    <row r="717" spans="1:19">
      <c r="A717" s="102" t="s">
        <v>1179</v>
      </c>
      <c r="B717" s="2">
        <v>45431</v>
      </c>
      <c r="C717" s="1" t="s">
        <v>1180</v>
      </c>
      <c r="D717" s="1" t="s">
        <v>226</v>
      </c>
      <c r="E717" s="1" t="s">
        <v>229</v>
      </c>
      <c r="F717" s="83">
        <v>2</v>
      </c>
      <c r="G717" s="92">
        <v>3730</v>
      </c>
      <c r="H717" s="3">
        <v>29.9</v>
      </c>
      <c r="I717" s="3">
        <v>5229.46</v>
      </c>
      <c r="J717" s="1" t="s">
        <v>87</v>
      </c>
      <c r="K717" s="1" t="s">
        <v>94</v>
      </c>
      <c r="L717" t="str">
        <f>VLOOKUP(D717, Products!A:C, 3, FALSE)</f>
        <v>Home</v>
      </c>
      <c r="M717" t="str">
        <f>VLOOKUP(C717, Customers!A:E, 5, FALSE)</f>
        <v>Corporate</v>
      </c>
      <c r="N717">
        <f>VLOOKUP(C717, Customers!A:E, 3, FALSE)</f>
        <v>49</v>
      </c>
      <c r="O717" s="93" t="str">
        <f>VLOOKUP(E717, Sales_Reps!A:C, 3, FALSE)</f>
        <v>West</v>
      </c>
      <c r="P717">
        <f>VLOOKUP(D717, Products!A:E, 4, FALSE)</f>
        <v>2135</v>
      </c>
      <c r="Q717">
        <f>IF(COUNTIF($A$2:A717, A717)=2, 1, 0)</f>
        <v>0</v>
      </c>
      <c r="R717">
        <f>IF(ISNA(MATCH(C717, Customers!$A:$A, 0)), 1, 0)</f>
        <v>0</v>
      </c>
      <c r="S717" s="94" t="b">
        <f>VLOOKUP(D717, Products!A:F, 6, FALSE)</f>
        <v>1</v>
      </c>
    </row>
    <row r="718" spans="1:19">
      <c r="A718" s="102" t="s">
        <v>1181</v>
      </c>
      <c r="B718" s="2">
        <v>45592</v>
      </c>
      <c r="C718" s="1" t="s">
        <v>369</v>
      </c>
      <c r="D718" s="1" t="s">
        <v>115</v>
      </c>
      <c r="E718" s="1" t="s">
        <v>139</v>
      </c>
      <c r="F718" s="83">
        <v>9</v>
      </c>
      <c r="G718" s="92">
        <v>960</v>
      </c>
      <c r="H718" s="3">
        <v>1.9</v>
      </c>
      <c r="I718" s="3">
        <v>8475.84</v>
      </c>
      <c r="J718" s="1" t="s">
        <v>87</v>
      </c>
      <c r="K718" s="1" t="s">
        <v>94</v>
      </c>
      <c r="L718" t="str">
        <f>VLOOKUP(D718, Products!A:C, 3, FALSE)</f>
        <v>Sports</v>
      </c>
      <c r="M718" t="str">
        <f>VLOOKUP(C718, Customers!A:E, 5, FALSE)</f>
        <v>SMB</v>
      </c>
      <c r="N718">
        <f>VLOOKUP(C718, Customers!A:E, 3, FALSE)</f>
        <v>62</v>
      </c>
      <c r="O718" s="93" t="str">
        <f>VLOOKUP(E718, Sales_Reps!A:C, 3, FALSE)</f>
        <v>North</v>
      </c>
      <c r="P718">
        <f>VLOOKUP(D718, Products!A:E, 4, FALSE)</f>
        <v>705</v>
      </c>
      <c r="Q718">
        <f>IF(COUNTIF($A$2:A718, A718)=2, 1, 0)</f>
        <v>0</v>
      </c>
      <c r="R718">
        <f>IF(ISNA(MATCH(C718, Customers!$A:$A, 0)), 1, 0)</f>
        <v>0</v>
      </c>
      <c r="S718" s="94" t="b">
        <f>VLOOKUP(D718, Products!A:F, 6, FALSE)</f>
        <v>1</v>
      </c>
    </row>
    <row r="719" spans="1:19">
      <c r="A719" s="102" t="s">
        <v>1182</v>
      </c>
      <c r="B719" s="2">
        <v>45454</v>
      </c>
      <c r="C719" s="1" t="s">
        <v>146</v>
      </c>
      <c r="D719" s="1" t="s">
        <v>452</v>
      </c>
      <c r="E719" s="1" t="s">
        <v>139</v>
      </c>
      <c r="F719" s="83">
        <v>2</v>
      </c>
      <c r="G719" s="92">
        <v>3450</v>
      </c>
      <c r="H719" s="3">
        <v>22.9</v>
      </c>
      <c r="I719" s="3">
        <v>5319.9</v>
      </c>
      <c r="J719" s="1" t="s">
        <v>93</v>
      </c>
      <c r="K719" s="1" t="s">
        <v>88</v>
      </c>
      <c r="L719" t="str">
        <f>VLOOKUP(D719, Products!A:C, 3, FALSE)</f>
        <v>Apparel</v>
      </c>
      <c r="M719" t="str">
        <f>VLOOKUP(C719, Customers!A:E, 5, FALSE)</f>
        <v>Retail</v>
      </c>
      <c r="N719">
        <f>VLOOKUP(C719, Customers!A:E, 3, FALSE)</f>
        <v>38</v>
      </c>
      <c r="O719" s="93" t="str">
        <f>VLOOKUP(E719, Sales_Reps!A:C, 3, FALSE)</f>
        <v>North</v>
      </c>
      <c r="P719">
        <f>VLOOKUP(D719, Products!A:E, 4, FALSE)</f>
        <v>1748</v>
      </c>
      <c r="Q719">
        <f>IF(COUNTIF($A$2:A719, A719)=2, 1, 0)</f>
        <v>0</v>
      </c>
      <c r="R719">
        <f>IF(ISNA(MATCH(C719, Customers!$A:$A, 0)), 1, 0)</f>
        <v>0</v>
      </c>
      <c r="S719" s="94" t="b">
        <f>VLOOKUP(D719, Products!A:F, 6, FALSE)</f>
        <v>1</v>
      </c>
    </row>
    <row r="720" spans="1:19">
      <c r="A720" s="102" t="s">
        <v>1183</v>
      </c>
      <c r="B720" s="2">
        <v>45616</v>
      </c>
      <c r="C720" s="1" t="s">
        <v>841</v>
      </c>
      <c r="D720" s="1" t="s">
        <v>360</v>
      </c>
      <c r="E720" s="1" t="s">
        <v>132</v>
      </c>
      <c r="F720" s="83">
        <v>3</v>
      </c>
      <c r="G720" s="92">
        <v>5410</v>
      </c>
      <c r="H720" s="3">
        <v>15.5</v>
      </c>
      <c r="I720" s="3">
        <v>13714.35</v>
      </c>
      <c r="J720" s="1" t="s">
        <v>87</v>
      </c>
      <c r="K720" s="1" t="s">
        <v>117</v>
      </c>
      <c r="L720" t="str">
        <f>VLOOKUP(D720, Products!A:C, 3, FALSE)</f>
        <v>Sports</v>
      </c>
      <c r="M720" t="str">
        <f>VLOOKUP(C720, Customers!A:E, 5, FALSE)</f>
        <v>Corporate</v>
      </c>
      <c r="N720">
        <f>VLOOKUP(C720, Customers!A:E, 3, FALSE)</f>
        <v>41</v>
      </c>
      <c r="O720" s="93" t="str">
        <f>VLOOKUP(E720, Sales_Reps!A:C, 3, FALSE)</f>
        <v>South</v>
      </c>
      <c r="P720">
        <f>VLOOKUP(D720, Products!A:E, 4, FALSE)</f>
        <v>2265</v>
      </c>
      <c r="Q720">
        <f>IF(COUNTIF($A$2:A720, A720)=2, 1, 0)</f>
        <v>0</v>
      </c>
      <c r="R720">
        <f>IF(ISNA(MATCH(C720, Customers!$A:$A, 0)), 1, 0)</f>
        <v>0</v>
      </c>
      <c r="S720" s="94" t="b">
        <f>VLOOKUP(D720, Products!A:F, 6, FALSE)</f>
        <v>1</v>
      </c>
    </row>
    <row r="721" spans="1:19">
      <c r="A721" s="102" t="s">
        <v>1184</v>
      </c>
      <c r="B721" s="2">
        <v>45448</v>
      </c>
      <c r="C721" s="1" t="s">
        <v>501</v>
      </c>
      <c r="D721" s="1" t="s">
        <v>179</v>
      </c>
      <c r="E721" s="1" t="s">
        <v>121</v>
      </c>
      <c r="F721" s="83">
        <v>8</v>
      </c>
      <c r="G721" s="92">
        <v>3350</v>
      </c>
      <c r="H721" s="3">
        <v>18.399999999999999</v>
      </c>
      <c r="I721" s="3">
        <v>21868.799999999999</v>
      </c>
      <c r="J721" s="1" t="s">
        <v>87</v>
      </c>
      <c r="K721" s="1" t="s">
        <v>133</v>
      </c>
      <c r="L721" t="str">
        <f>VLOOKUP(D721, Products!A:C, 3, FALSE)</f>
        <v>Beauty</v>
      </c>
      <c r="M721" t="str">
        <f>VLOOKUP(C721, Customers!A:E, 5, FALSE)</f>
        <v>SMB</v>
      </c>
      <c r="N721">
        <f>VLOOKUP(C721, Customers!A:E, 3, FALSE)</f>
        <v>65</v>
      </c>
      <c r="O721" s="93" t="str">
        <f>VLOOKUP(E721, Sales_Reps!A:C, 3, FALSE)</f>
        <v>East</v>
      </c>
      <c r="P721">
        <f>VLOOKUP(D721, Products!A:E, 4, FALSE)</f>
        <v>1728</v>
      </c>
      <c r="Q721">
        <f>IF(COUNTIF($A$2:A721, A721)=2, 1, 0)</f>
        <v>0</v>
      </c>
      <c r="R721">
        <f>IF(ISNA(MATCH(C721, Customers!$A:$A, 0)), 1, 0)</f>
        <v>0</v>
      </c>
      <c r="S721" s="94" t="b">
        <f>VLOOKUP(D721, Products!A:F, 6, FALSE)</f>
        <v>1</v>
      </c>
    </row>
    <row r="722" spans="1:19">
      <c r="A722" s="102" t="s">
        <v>1185</v>
      </c>
      <c r="B722" s="2">
        <v>45611</v>
      </c>
      <c r="C722" s="1" t="s">
        <v>223</v>
      </c>
      <c r="D722" s="1" t="s">
        <v>173</v>
      </c>
      <c r="E722" s="1" t="s">
        <v>107</v>
      </c>
      <c r="F722" s="83">
        <v>5</v>
      </c>
      <c r="G722" s="92">
        <v>2720</v>
      </c>
      <c r="H722" s="3">
        <v>17.3</v>
      </c>
      <c r="I722" s="3">
        <v>11247.2</v>
      </c>
      <c r="J722" s="1" t="s">
        <v>140</v>
      </c>
      <c r="K722" s="1" t="s">
        <v>99</v>
      </c>
      <c r="L722" t="str">
        <f>VLOOKUP(D722, Products!A:C, 3, FALSE)</f>
        <v>Apparel</v>
      </c>
      <c r="M722" t="str">
        <f>VLOOKUP(C722, Customers!A:E, 5, FALSE)</f>
        <v>Retail</v>
      </c>
      <c r="N722">
        <f>VLOOKUP(C722, Customers!A:E, 3, FALSE)</f>
        <v>53</v>
      </c>
      <c r="O722" s="93" t="str">
        <f>VLOOKUP(E722, Sales_Reps!A:C, 3, FALSE)</f>
        <v>North</v>
      </c>
      <c r="P722">
        <f>VLOOKUP(D722, Products!A:E, 4, FALSE)</f>
        <v>1962</v>
      </c>
      <c r="Q722">
        <f>IF(COUNTIF($A$2:A722, A722)=2, 1, 0)</f>
        <v>0</v>
      </c>
      <c r="R722">
        <f>IF(ISNA(MATCH(C722, Customers!$A:$A, 0)), 1, 0)</f>
        <v>0</v>
      </c>
      <c r="S722" s="94" t="b">
        <f>VLOOKUP(D722, Products!A:F, 6, FALSE)</f>
        <v>1</v>
      </c>
    </row>
    <row r="723" spans="1:19">
      <c r="A723" s="102" t="s">
        <v>1186</v>
      </c>
      <c r="B723" s="2">
        <v>45403</v>
      </c>
      <c r="C723" s="1" t="s">
        <v>114</v>
      </c>
      <c r="D723" s="1" t="s">
        <v>102</v>
      </c>
      <c r="E723" s="1" t="s">
        <v>238</v>
      </c>
      <c r="F723" s="83">
        <v>8</v>
      </c>
      <c r="G723" s="92">
        <v>3660</v>
      </c>
      <c r="H723" s="3">
        <v>28.8</v>
      </c>
      <c r="I723" s="3">
        <v>20847.36</v>
      </c>
      <c r="J723" s="1" t="s">
        <v>87</v>
      </c>
      <c r="K723" s="1" t="s">
        <v>117</v>
      </c>
      <c r="L723" t="str">
        <f>VLOOKUP(D723, Products!A:C, 3, FALSE)</f>
        <v>Grocery</v>
      </c>
      <c r="M723" t="str">
        <f>VLOOKUP(C723, Customers!A:E, 5, FALSE)</f>
        <v>Retail</v>
      </c>
      <c r="N723">
        <f>VLOOKUP(C723, Customers!A:E, 3, FALSE)</f>
        <v>27</v>
      </c>
      <c r="O723" s="93" t="str">
        <f>VLOOKUP(E723, Sales_Reps!A:C, 3, FALSE)</f>
        <v>East</v>
      </c>
      <c r="P723">
        <f>VLOOKUP(D723, Products!A:E, 4, FALSE)</f>
        <v>2214</v>
      </c>
      <c r="Q723">
        <f>IF(COUNTIF($A$2:A723, A723)=2, 1, 0)</f>
        <v>0</v>
      </c>
      <c r="R723">
        <f>IF(ISNA(MATCH(C723, Customers!$A:$A, 0)), 1, 0)</f>
        <v>0</v>
      </c>
      <c r="S723" s="94" t="b">
        <f>VLOOKUP(D723, Products!A:F, 6, FALSE)</f>
        <v>0</v>
      </c>
    </row>
    <row r="724" spans="1:19">
      <c r="A724" s="102" t="s">
        <v>1187</v>
      </c>
      <c r="B724" s="2">
        <v>45530</v>
      </c>
      <c r="C724" s="1" t="s">
        <v>582</v>
      </c>
      <c r="D724" s="1" t="s">
        <v>282</v>
      </c>
      <c r="E724" s="1" t="s">
        <v>252</v>
      </c>
      <c r="F724" s="83">
        <v>6</v>
      </c>
      <c r="G724" s="92">
        <v>300</v>
      </c>
      <c r="H724" s="3">
        <v>23.9</v>
      </c>
      <c r="I724" s="3">
        <v>1369.8</v>
      </c>
      <c r="J724" s="1" t="s">
        <v>140</v>
      </c>
      <c r="K724" s="1" t="s">
        <v>94</v>
      </c>
      <c r="L724" t="str">
        <f>VLOOKUP(D724, Products!A:C, 3, FALSE)</f>
        <v>Electronics</v>
      </c>
      <c r="M724" t="str">
        <f>VLOOKUP(C724, Customers!A:E, 5, FALSE)</f>
        <v>SMB</v>
      </c>
      <c r="N724">
        <f>VLOOKUP(C724, Customers!A:E, 3, FALSE)</f>
        <v>59</v>
      </c>
      <c r="O724" s="93" t="str">
        <f>VLOOKUP(E724, Sales_Reps!A:C, 3, FALSE)</f>
        <v>South</v>
      </c>
      <c r="P724">
        <f>VLOOKUP(D724, Products!A:E, 4, FALSE)</f>
        <v>128</v>
      </c>
      <c r="Q724">
        <f>IF(COUNTIF($A$2:A724, A724)=2, 1, 0)</f>
        <v>0</v>
      </c>
      <c r="R724">
        <f>IF(ISNA(MATCH(C724, Customers!$A:$A, 0)), 1, 0)</f>
        <v>0</v>
      </c>
      <c r="S724" s="94" t="b">
        <f>VLOOKUP(D724, Products!A:F, 6, FALSE)</f>
        <v>1</v>
      </c>
    </row>
    <row r="725" spans="1:19">
      <c r="A725" s="102" t="s">
        <v>1188</v>
      </c>
      <c r="B725" s="2">
        <v>45548</v>
      </c>
      <c r="C725" s="1" t="s">
        <v>244</v>
      </c>
      <c r="D725" s="1" t="s">
        <v>386</v>
      </c>
      <c r="E725" s="1" t="s">
        <v>201</v>
      </c>
      <c r="F725" s="83">
        <v>3</v>
      </c>
      <c r="G725" s="92">
        <v>2290</v>
      </c>
      <c r="H725" s="3">
        <v>2.4</v>
      </c>
      <c r="I725" s="3">
        <v>6705.12</v>
      </c>
      <c r="J725" s="1" t="s">
        <v>87</v>
      </c>
      <c r="K725" s="1" t="s">
        <v>94</v>
      </c>
      <c r="L725" t="str">
        <f>VLOOKUP(D725, Products!A:C, 3, FALSE)</f>
        <v>Beauty</v>
      </c>
      <c r="M725" t="str">
        <f>VLOOKUP(C725, Customers!A:E, 5, FALSE)</f>
        <v>Corporate</v>
      </c>
      <c r="N725">
        <f>VLOOKUP(C725, Customers!A:E, 3, FALSE)</f>
        <v>52</v>
      </c>
      <c r="O725" s="93" t="str">
        <f>VLOOKUP(E725, Sales_Reps!A:C, 3, FALSE)</f>
        <v>West</v>
      </c>
      <c r="P725">
        <f>VLOOKUP(D725, Products!A:E, 4, FALSE)</f>
        <v>1219</v>
      </c>
      <c r="Q725">
        <f>IF(COUNTIF($A$2:A725, A725)=2, 1, 0)</f>
        <v>0</v>
      </c>
      <c r="R725">
        <f>IF(ISNA(MATCH(C725, Customers!$A:$A, 0)), 1, 0)</f>
        <v>0</v>
      </c>
      <c r="S725" s="94" t="b">
        <f>VLOOKUP(D725, Products!A:F, 6, FALSE)</f>
        <v>1</v>
      </c>
    </row>
    <row r="726" spans="1:19">
      <c r="A726" s="102" t="s">
        <v>1189</v>
      </c>
      <c r="B726" s="2">
        <v>45403</v>
      </c>
      <c r="C726" s="1" t="s">
        <v>986</v>
      </c>
      <c r="D726" s="1" t="s">
        <v>184</v>
      </c>
      <c r="E726" s="1" t="s">
        <v>98</v>
      </c>
      <c r="F726" s="83">
        <v>6</v>
      </c>
      <c r="G726" s="92">
        <v>4880</v>
      </c>
      <c r="H726" s="3">
        <v>11.1</v>
      </c>
      <c r="I726" s="3">
        <v>26029.919999999998</v>
      </c>
      <c r="J726" s="1" t="s">
        <v>93</v>
      </c>
      <c r="K726" s="1" t="s">
        <v>94</v>
      </c>
      <c r="L726" t="str">
        <f>VLOOKUP(D726, Products!A:C, 3, FALSE)</f>
        <v>Beauty</v>
      </c>
      <c r="M726" t="str">
        <f>VLOOKUP(C726, Customers!A:E, 5, FALSE)</f>
        <v>Corporate</v>
      </c>
      <c r="N726">
        <f>VLOOKUP(C726, Customers!A:E, 3, FALSE)</f>
        <v>52</v>
      </c>
      <c r="O726" s="93" t="str">
        <f>VLOOKUP(E726, Sales_Reps!A:C, 3, FALSE)</f>
        <v>South</v>
      </c>
      <c r="P726">
        <f>VLOOKUP(D726, Products!A:E, 4, FALSE)</f>
        <v>2768</v>
      </c>
      <c r="Q726">
        <f>IF(COUNTIF($A$2:A726, A726)=2, 1, 0)</f>
        <v>0</v>
      </c>
      <c r="R726">
        <f>IF(ISNA(MATCH(C726, Customers!$A:$A, 0)), 1, 0)</f>
        <v>0</v>
      </c>
      <c r="S726" s="94" t="b">
        <f>VLOOKUP(D726, Products!A:F, 6, FALSE)</f>
        <v>1</v>
      </c>
    </row>
    <row r="727" spans="1:19">
      <c r="A727" s="102" t="s">
        <v>1190</v>
      </c>
      <c r="B727" s="2">
        <v>45562</v>
      </c>
      <c r="C727" s="1" t="s">
        <v>1191</v>
      </c>
      <c r="D727" s="1" t="s">
        <v>282</v>
      </c>
      <c r="E727" s="1" t="s">
        <v>86</v>
      </c>
      <c r="F727" s="83">
        <v>5</v>
      </c>
      <c r="G727" s="92">
        <v>300</v>
      </c>
      <c r="H727" s="3">
        <v>19.399999999999999</v>
      </c>
      <c r="I727" s="3">
        <v>1209</v>
      </c>
      <c r="J727" s="1" t="s">
        <v>87</v>
      </c>
      <c r="K727" s="1" t="s">
        <v>117</v>
      </c>
      <c r="L727" t="str">
        <f>VLOOKUP(D727, Products!A:C, 3, FALSE)</f>
        <v>Electronics</v>
      </c>
      <c r="M727" t="str">
        <f>VLOOKUP(C727, Customers!A:E, 5, FALSE)</f>
        <v>Retail</v>
      </c>
      <c r="N727">
        <f>VLOOKUP(C727, Customers!A:E, 3, FALSE)</f>
        <v>36</v>
      </c>
      <c r="O727" s="93" t="str">
        <f>VLOOKUP(E727, Sales_Reps!A:C, 3, FALSE)</f>
        <v>North</v>
      </c>
      <c r="P727">
        <f>VLOOKUP(D727, Products!A:E, 4, FALSE)</f>
        <v>128</v>
      </c>
      <c r="Q727">
        <f>IF(COUNTIF($A$2:A727, A727)=2, 1, 0)</f>
        <v>0</v>
      </c>
      <c r="R727">
        <f>IF(ISNA(MATCH(C727, Customers!$A:$A, 0)), 1, 0)</f>
        <v>0</v>
      </c>
      <c r="S727" s="94" t="b">
        <f>VLOOKUP(D727, Products!A:F, 6, FALSE)</f>
        <v>1</v>
      </c>
    </row>
    <row r="728" spans="1:19">
      <c r="A728" s="102" t="s">
        <v>1192</v>
      </c>
      <c r="B728" s="2">
        <v>45635</v>
      </c>
      <c r="C728" s="1" t="s">
        <v>1193</v>
      </c>
      <c r="D728" s="1" t="s">
        <v>279</v>
      </c>
      <c r="E728" s="1" t="s">
        <v>170</v>
      </c>
      <c r="F728" s="83">
        <v>3</v>
      </c>
      <c r="G728" s="92">
        <v>2660</v>
      </c>
      <c r="H728" s="3">
        <v>28.5</v>
      </c>
      <c r="I728" s="3">
        <v>5705.7</v>
      </c>
      <c r="J728" s="1" t="s">
        <v>93</v>
      </c>
      <c r="K728" s="1" t="s">
        <v>133</v>
      </c>
      <c r="L728" t="str">
        <f>VLOOKUP(D728, Products!A:C, 3, FALSE)</f>
        <v>Electronics</v>
      </c>
      <c r="M728" t="str">
        <f>VLOOKUP(C728, Customers!A:E, 5, FALSE)</f>
        <v>SMB</v>
      </c>
      <c r="N728">
        <f>VLOOKUP(C728, Customers!A:E, 3, FALSE)</f>
        <v>25</v>
      </c>
      <c r="O728" s="93" t="str">
        <f>VLOOKUP(E728, Sales_Reps!A:C, 3, FALSE)</f>
        <v>West</v>
      </c>
      <c r="P728">
        <f>VLOOKUP(D728, Products!A:E, 4, FALSE)</f>
        <v>1259</v>
      </c>
      <c r="Q728">
        <f>IF(COUNTIF($A$2:A728, A728)=2, 1, 0)</f>
        <v>0</v>
      </c>
      <c r="R728">
        <f>IF(ISNA(MATCH(C728, Customers!$A:$A, 0)), 1, 0)</f>
        <v>0</v>
      </c>
      <c r="S728" s="94" t="b">
        <f>VLOOKUP(D728, Products!A:F, 6, FALSE)</f>
        <v>0</v>
      </c>
    </row>
    <row r="729" spans="1:19">
      <c r="A729" s="102" t="s">
        <v>1194</v>
      </c>
      <c r="B729" s="2">
        <v>45434</v>
      </c>
      <c r="C729" s="1" t="s">
        <v>835</v>
      </c>
      <c r="D729" s="1" t="s">
        <v>502</v>
      </c>
      <c r="E729" s="1" t="s">
        <v>116</v>
      </c>
      <c r="F729" s="83">
        <v>7</v>
      </c>
      <c r="G729" s="92">
        <v>1090</v>
      </c>
      <c r="H729" s="3">
        <v>10.3</v>
      </c>
      <c r="I729" s="3">
        <v>6844.11</v>
      </c>
      <c r="J729" s="1" t="s">
        <v>87</v>
      </c>
      <c r="K729" s="1" t="s">
        <v>117</v>
      </c>
      <c r="L729" t="str">
        <f>VLOOKUP(D729, Products!A:C, 3, FALSE)</f>
        <v>Home</v>
      </c>
      <c r="M729" t="str">
        <f>VLOOKUP(C729, Customers!A:E, 5, FALSE)</f>
        <v>Retail</v>
      </c>
      <c r="N729">
        <f>VLOOKUP(C729, Customers!A:E, 3, FALSE)</f>
        <v>52</v>
      </c>
      <c r="O729" s="93" t="str">
        <f>VLOOKUP(E729, Sales_Reps!A:C, 3, FALSE)</f>
        <v>West</v>
      </c>
      <c r="P729">
        <f>VLOOKUP(D729, Products!A:E, 4, FALSE)</f>
        <v>464</v>
      </c>
      <c r="Q729">
        <f>IF(COUNTIF($A$2:A729, A729)=2, 1, 0)</f>
        <v>0</v>
      </c>
      <c r="R729">
        <f>IF(ISNA(MATCH(C729, Customers!$A:$A, 0)), 1, 0)</f>
        <v>0</v>
      </c>
      <c r="S729" s="94" t="b">
        <f>VLOOKUP(D729, Products!A:F, 6, FALSE)</f>
        <v>1</v>
      </c>
    </row>
    <row r="730" spans="1:19">
      <c r="A730" s="102" t="s">
        <v>1195</v>
      </c>
      <c r="B730" s="2">
        <v>45350</v>
      </c>
      <c r="C730" s="1" t="s">
        <v>487</v>
      </c>
      <c r="D730" s="1" t="s">
        <v>120</v>
      </c>
      <c r="E730" s="1" t="s">
        <v>325</v>
      </c>
      <c r="F730" s="83">
        <v>9</v>
      </c>
      <c r="G730" s="92">
        <v>1430</v>
      </c>
      <c r="H730" s="3">
        <v>12.1</v>
      </c>
      <c r="I730" s="3">
        <v>11312.73</v>
      </c>
      <c r="J730" s="1" t="s">
        <v>140</v>
      </c>
      <c r="K730" s="1" t="s">
        <v>88</v>
      </c>
      <c r="L730" t="str">
        <f>VLOOKUP(D730, Products!A:C, 3, FALSE)</f>
        <v>Electronics</v>
      </c>
      <c r="M730" t="str">
        <f>VLOOKUP(C730, Customers!A:E, 5, FALSE)</f>
        <v>Corporate</v>
      </c>
      <c r="N730">
        <f>VLOOKUP(C730, Customers!A:E, 3, FALSE)</f>
        <v>29</v>
      </c>
      <c r="O730" s="93" t="str">
        <f>VLOOKUP(E730, Sales_Reps!A:C, 3, FALSE)</f>
        <v>South</v>
      </c>
      <c r="P730">
        <f>VLOOKUP(D730, Products!A:E, 4, FALSE)</f>
        <v>861</v>
      </c>
      <c r="Q730">
        <f>IF(COUNTIF($A$2:A730, A730)=2, 1, 0)</f>
        <v>0</v>
      </c>
      <c r="R730">
        <f>IF(ISNA(MATCH(C730, Customers!$A:$A, 0)), 1, 0)</f>
        <v>0</v>
      </c>
      <c r="S730" s="94" t="b">
        <f>VLOOKUP(D730, Products!A:F, 6, FALSE)</f>
        <v>1</v>
      </c>
    </row>
    <row r="731" spans="1:19">
      <c r="A731" s="102" t="s">
        <v>1196</v>
      </c>
      <c r="B731" s="2">
        <v>45344</v>
      </c>
      <c r="C731" s="1" t="s">
        <v>225</v>
      </c>
      <c r="D731" s="1" t="s">
        <v>135</v>
      </c>
      <c r="E731" s="1" t="s">
        <v>92</v>
      </c>
      <c r="F731" s="83">
        <v>5</v>
      </c>
      <c r="G731" s="92">
        <v>2640</v>
      </c>
      <c r="H731" s="3">
        <v>26.8</v>
      </c>
      <c r="I731" s="3">
        <v>9662.4</v>
      </c>
      <c r="J731" s="1" t="s">
        <v>87</v>
      </c>
      <c r="K731" s="1" t="s">
        <v>94</v>
      </c>
      <c r="L731" t="str">
        <f>VLOOKUP(D731, Products!A:C, 3, FALSE)</f>
        <v>Electronics</v>
      </c>
      <c r="M731" t="str">
        <f>VLOOKUP(C731, Customers!A:E, 5, FALSE)</f>
        <v>Retail</v>
      </c>
      <c r="N731">
        <f>VLOOKUP(C731, Customers!A:E, 3, FALSE)</f>
        <v>37</v>
      </c>
      <c r="O731" s="93" t="str">
        <f>VLOOKUP(E731, Sales_Reps!A:C, 3, FALSE)</f>
        <v>North</v>
      </c>
      <c r="P731">
        <f>VLOOKUP(D731, Products!A:E, 4, FALSE)</f>
        <v>1149</v>
      </c>
      <c r="Q731">
        <f>IF(COUNTIF($A$2:A731, A731)=2, 1, 0)</f>
        <v>0</v>
      </c>
      <c r="R731">
        <f>IF(ISNA(MATCH(C731, Customers!$A:$A, 0)), 1, 0)</f>
        <v>0</v>
      </c>
      <c r="S731" s="94" t="b">
        <f>VLOOKUP(D731, Products!A:F, 6, FALSE)</f>
        <v>1</v>
      </c>
    </row>
    <row r="732" spans="1:19">
      <c r="A732" s="102" t="s">
        <v>1197</v>
      </c>
      <c r="B732" s="2">
        <v>45498</v>
      </c>
      <c r="C732" s="1" t="s">
        <v>703</v>
      </c>
      <c r="D732" s="1" t="s">
        <v>173</v>
      </c>
      <c r="E732" s="1" t="s">
        <v>215</v>
      </c>
      <c r="F732" s="83">
        <v>8</v>
      </c>
      <c r="G732" s="92">
        <v>2720</v>
      </c>
      <c r="H732" s="3">
        <v>17.5</v>
      </c>
      <c r="I732" s="3">
        <v>17952</v>
      </c>
      <c r="J732" s="1" t="s">
        <v>87</v>
      </c>
      <c r="K732" s="1" t="s">
        <v>88</v>
      </c>
      <c r="L732" t="str">
        <f>VLOOKUP(D732, Products!A:C, 3, FALSE)</f>
        <v>Apparel</v>
      </c>
      <c r="M732" t="str">
        <f>VLOOKUP(C732, Customers!A:E, 5, FALSE)</f>
        <v>Corporate</v>
      </c>
      <c r="N732">
        <f>VLOOKUP(C732, Customers!A:E, 3, FALSE)</f>
        <v>52</v>
      </c>
      <c r="O732" s="93" t="str">
        <f>VLOOKUP(E732, Sales_Reps!A:C, 3, FALSE)</f>
        <v>North</v>
      </c>
      <c r="P732">
        <f>VLOOKUP(D732, Products!A:E, 4, FALSE)</f>
        <v>1962</v>
      </c>
      <c r="Q732">
        <f>IF(COUNTIF($A$2:A732, A732)=2, 1, 0)</f>
        <v>0</v>
      </c>
      <c r="R732">
        <f>IF(ISNA(MATCH(C732, Customers!$A:$A, 0)), 1, 0)</f>
        <v>0</v>
      </c>
      <c r="S732" s="94" t="b">
        <f>VLOOKUP(D732, Products!A:F, 6, FALSE)</f>
        <v>1</v>
      </c>
    </row>
    <row r="733" spans="1:19">
      <c r="A733" s="102" t="s">
        <v>1198</v>
      </c>
      <c r="B733" s="2">
        <v>45520</v>
      </c>
      <c r="C733" s="1" t="s">
        <v>482</v>
      </c>
      <c r="D733" s="1" t="s">
        <v>237</v>
      </c>
      <c r="E733" s="1" t="s">
        <v>346</v>
      </c>
      <c r="F733" s="83">
        <v>9</v>
      </c>
      <c r="G733" s="92">
        <v>3640</v>
      </c>
      <c r="H733" s="3">
        <v>3.6</v>
      </c>
      <c r="I733" s="3">
        <v>31580.639999999999</v>
      </c>
      <c r="J733" s="1" t="s">
        <v>87</v>
      </c>
      <c r="K733" s="1" t="s">
        <v>133</v>
      </c>
      <c r="L733" t="str">
        <f>VLOOKUP(D733, Products!A:C, 3, FALSE)</f>
        <v>Apparel</v>
      </c>
      <c r="M733" t="str">
        <f>VLOOKUP(C733, Customers!A:E, 5, FALSE)</f>
        <v>Corporate</v>
      </c>
      <c r="N733">
        <f>VLOOKUP(C733, Customers!A:E, 3, FALSE)</f>
        <v>52</v>
      </c>
      <c r="O733" s="93" t="str">
        <f>VLOOKUP(E733, Sales_Reps!A:C, 3, FALSE)</f>
        <v>South</v>
      </c>
      <c r="P733">
        <f>VLOOKUP(D733, Products!A:E, 4, FALSE)</f>
        <v>2611</v>
      </c>
      <c r="Q733">
        <f>IF(COUNTIF($A$2:A733, A733)=2, 1, 0)</f>
        <v>0</v>
      </c>
      <c r="R733">
        <f>IF(ISNA(MATCH(C733, Customers!$A:$A, 0)), 1, 0)</f>
        <v>0</v>
      </c>
      <c r="S733" s="94" t="b">
        <f>VLOOKUP(D733, Products!A:F, 6, FALSE)</f>
        <v>1</v>
      </c>
    </row>
    <row r="734" spans="1:19">
      <c r="A734" s="102" t="s">
        <v>1199</v>
      </c>
      <c r="B734" s="2">
        <v>45554</v>
      </c>
      <c r="C734" s="1" t="s">
        <v>1200</v>
      </c>
      <c r="D734" s="1" t="s">
        <v>241</v>
      </c>
      <c r="E734" s="1" t="s">
        <v>158</v>
      </c>
      <c r="F734" s="83">
        <v>7</v>
      </c>
      <c r="G734" s="92">
        <v>6080</v>
      </c>
      <c r="H734" s="3">
        <v>23.6</v>
      </c>
      <c r="I734" s="3">
        <v>32515.84</v>
      </c>
      <c r="J734" s="1" t="s">
        <v>87</v>
      </c>
      <c r="K734" s="1" t="s">
        <v>112</v>
      </c>
      <c r="L734" t="str">
        <f>VLOOKUP(D734, Products!A:C, 3, FALSE)</f>
        <v>Beauty</v>
      </c>
      <c r="M734" t="e">
        <f>VLOOKUP(C734, Customers!A:E, 5, FALSE)</f>
        <v>#N/A</v>
      </c>
      <c r="N734" t="e">
        <f>VLOOKUP(C734, Customers!A:E, 3, FALSE)</f>
        <v>#N/A</v>
      </c>
      <c r="O734" s="93" t="str">
        <f>VLOOKUP(E734, Sales_Reps!A:C, 3, FALSE)</f>
        <v>East</v>
      </c>
      <c r="P734">
        <f>VLOOKUP(D734, Products!A:E, 4, FALSE)</f>
        <v>2617</v>
      </c>
      <c r="Q734">
        <f>IF(COUNTIF($A$2:A734, A734)=2, 1, 0)</f>
        <v>0</v>
      </c>
      <c r="R734">
        <f>IF(ISNA(MATCH(C734, Customers!$A:$A, 0)), 1, 0)</f>
        <v>1</v>
      </c>
      <c r="S734" s="94" t="b">
        <f>VLOOKUP(D734, Products!A:F, 6, FALSE)</f>
        <v>1</v>
      </c>
    </row>
    <row r="735" spans="1:19">
      <c r="A735" s="102" t="s">
        <v>1201</v>
      </c>
      <c r="B735" s="2">
        <v>45584</v>
      </c>
      <c r="C735" s="1" t="s">
        <v>662</v>
      </c>
      <c r="D735" s="1" t="s">
        <v>364</v>
      </c>
      <c r="E735" s="1" t="s">
        <v>188</v>
      </c>
      <c r="F735" s="83">
        <v>7</v>
      </c>
      <c r="G735" s="92">
        <v>5330</v>
      </c>
      <c r="H735" s="3">
        <v>19.7</v>
      </c>
      <c r="I735" s="3">
        <v>29959.93</v>
      </c>
      <c r="J735" s="1" t="s">
        <v>140</v>
      </c>
      <c r="K735" s="1" t="s">
        <v>94</v>
      </c>
      <c r="L735" t="str">
        <f>VLOOKUP(D735, Products!A:C, 3, FALSE)</f>
        <v>Electronics</v>
      </c>
      <c r="M735" t="str">
        <f>VLOOKUP(C735, Customers!A:E, 5, FALSE)</f>
        <v>Corporate</v>
      </c>
      <c r="N735">
        <f>VLOOKUP(C735, Customers!A:E, 3, FALSE)</f>
        <v>41</v>
      </c>
      <c r="O735" s="93" t="str">
        <f>VLOOKUP(E735, Sales_Reps!A:C, 3, FALSE)</f>
        <v>South</v>
      </c>
      <c r="P735">
        <f>VLOOKUP(D735, Products!A:E, 4, FALSE)</f>
        <v>2405</v>
      </c>
      <c r="Q735">
        <f>IF(COUNTIF($A$2:A735, A735)=2, 1, 0)</f>
        <v>0</v>
      </c>
      <c r="R735">
        <f>IF(ISNA(MATCH(C735, Customers!$A:$A, 0)), 1, 0)</f>
        <v>0</v>
      </c>
      <c r="S735" s="94" t="b">
        <f>VLOOKUP(D735, Products!A:F, 6, FALSE)</f>
        <v>1</v>
      </c>
    </row>
    <row r="736" spans="1:19">
      <c r="A736" s="102" t="s">
        <v>1202</v>
      </c>
      <c r="B736" s="2">
        <v>45593</v>
      </c>
      <c r="C736" s="1" t="s">
        <v>512</v>
      </c>
      <c r="D736" s="1" t="s">
        <v>270</v>
      </c>
      <c r="E736" s="1" t="s">
        <v>116</v>
      </c>
      <c r="F736" s="83">
        <v>5</v>
      </c>
      <c r="G736" s="92">
        <v>4610</v>
      </c>
      <c r="H736" s="3">
        <v>3.6</v>
      </c>
      <c r="I736" s="3">
        <v>22220.2</v>
      </c>
      <c r="J736" s="1" t="s">
        <v>87</v>
      </c>
      <c r="K736" s="1" t="s">
        <v>133</v>
      </c>
      <c r="L736" t="str">
        <f>VLOOKUP(D736, Products!A:C, 3, FALSE)</f>
        <v>Home</v>
      </c>
      <c r="M736" t="str">
        <f>VLOOKUP(C736, Customers!A:E, 5, FALSE)</f>
        <v>Retail</v>
      </c>
      <c r="N736">
        <f>VLOOKUP(C736, Customers!A:E, 3, FALSE)</f>
        <v>61</v>
      </c>
      <c r="O736" s="93" t="str">
        <f>VLOOKUP(E736, Sales_Reps!A:C, 3, FALSE)</f>
        <v>West</v>
      </c>
      <c r="P736">
        <f>VLOOKUP(D736, Products!A:E, 4, FALSE)</f>
        <v>1850</v>
      </c>
      <c r="Q736">
        <f>IF(COUNTIF($A$2:A736, A736)=2, 1, 0)</f>
        <v>0</v>
      </c>
      <c r="R736">
        <f>IF(ISNA(MATCH(C736, Customers!$A:$A, 0)), 1, 0)</f>
        <v>0</v>
      </c>
      <c r="S736" s="94" t="b">
        <f>VLOOKUP(D736, Products!A:F, 6, FALSE)</f>
        <v>1</v>
      </c>
    </row>
    <row r="737" spans="1:19">
      <c r="A737" s="102" t="s">
        <v>1203</v>
      </c>
      <c r="B737" s="2">
        <v>45302</v>
      </c>
      <c r="C737" s="1" t="s">
        <v>807</v>
      </c>
      <c r="D737" s="1" t="s">
        <v>364</v>
      </c>
      <c r="E737" s="1" t="s">
        <v>170</v>
      </c>
      <c r="F737" s="83">
        <v>9</v>
      </c>
      <c r="G737" s="92">
        <v>5330</v>
      </c>
      <c r="H737" s="3">
        <v>22.9</v>
      </c>
      <c r="I737" s="3">
        <v>36984.870000000003</v>
      </c>
      <c r="J737" s="1" t="s">
        <v>87</v>
      </c>
      <c r="K737" s="1" t="s">
        <v>88</v>
      </c>
      <c r="L737" t="str">
        <f>VLOOKUP(D737, Products!A:C, 3, FALSE)</f>
        <v>Electronics</v>
      </c>
      <c r="M737" t="str">
        <f>VLOOKUP(C737, Customers!A:E, 5, FALSE)</f>
        <v>Retail</v>
      </c>
      <c r="N737">
        <f>VLOOKUP(C737, Customers!A:E, 3, FALSE)</f>
        <v>36</v>
      </c>
      <c r="O737" s="93" t="str">
        <f>VLOOKUP(E737, Sales_Reps!A:C, 3, FALSE)</f>
        <v>West</v>
      </c>
      <c r="P737">
        <f>VLOOKUP(D737, Products!A:E, 4, FALSE)</f>
        <v>2405</v>
      </c>
      <c r="Q737">
        <f>IF(COUNTIF($A$2:A737, A737)=2, 1, 0)</f>
        <v>0</v>
      </c>
      <c r="R737">
        <f>IF(ISNA(MATCH(C737, Customers!$A:$A, 0)), 1, 0)</f>
        <v>0</v>
      </c>
      <c r="S737" s="94" t="b">
        <f>VLOOKUP(D737, Products!A:F, 6, FALSE)</f>
        <v>1</v>
      </c>
    </row>
    <row r="738" spans="1:19">
      <c r="A738" s="102" t="s">
        <v>1204</v>
      </c>
      <c r="B738" s="2">
        <v>45440</v>
      </c>
      <c r="C738" s="1" t="s">
        <v>485</v>
      </c>
      <c r="D738" s="1" t="s">
        <v>241</v>
      </c>
      <c r="E738" s="1" t="s">
        <v>303</v>
      </c>
      <c r="F738" s="83">
        <v>5</v>
      </c>
      <c r="G738" s="92">
        <v>6080</v>
      </c>
      <c r="H738" s="3">
        <v>6</v>
      </c>
      <c r="I738" s="3">
        <v>28576</v>
      </c>
      <c r="J738" s="1" t="s">
        <v>144</v>
      </c>
      <c r="K738" s="1" t="s">
        <v>88</v>
      </c>
      <c r="L738" t="str">
        <f>VLOOKUP(D738, Products!A:C, 3, FALSE)</f>
        <v>Beauty</v>
      </c>
      <c r="M738" t="str">
        <f>VLOOKUP(C738, Customers!A:E, 5, FALSE)</f>
        <v>Retail</v>
      </c>
      <c r="N738">
        <f>VLOOKUP(C738, Customers!A:E, 3, FALSE)</f>
        <v>49</v>
      </c>
      <c r="O738" s="93" t="str">
        <f>VLOOKUP(E738, Sales_Reps!A:C, 3, FALSE)</f>
        <v>East</v>
      </c>
      <c r="P738">
        <f>VLOOKUP(D738, Products!A:E, 4, FALSE)</f>
        <v>2617</v>
      </c>
      <c r="Q738">
        <f>IF(COUNTIF($A$2:A738, A738)=2, 1, 0)</f>
        <v>0</v>
      </c>
      <c r="R738">
        <f>IF(ISNA(MATCH(C738, Customers!$A:$A, 0)), 1, 0)</f>
        <v>0</v>
      </c>
      <c r="S738" s="94" t="b">
        <f>VLOOKUP(D738, Products!A:F, 6, FALSE)</f>
        <v>1</v>
      </c>
    </row>
    <row r="739" spans="1:19">
      <c r="A739" s="102" t="s">
        <v>1205</v>
      </c>
      <c r="B739" s="2">
        <v>45299</v>
      </c>
      <c r="C739" s="1" t="s">
        <v>712</v>
      </c>
      <c r="D739" s="1" t="s">
        <v>237</v>
      </c>
      <c r="E739" s="1" t="s">
        <v>238</v>
      </c>
      <c r="F739" s="83">
        <v>7</v>
      </c>
      <c r="G739" s="92">
        <v>3640</v>
      </c>
      <c r="H739" s="3">
        <v>5.5</v>
      </c>
      <c r="I739" s="3">
        <v>24078.6</v>
      </c>
      <c r="J739" s="1" t="s">
        <v>87</v>
      </c>
      <c r="K739" s="1" t="s">
        <v>112</v>
      </c>
      <c r="L739" t="str">
        <f>VLOOKUP(D739, Products!A:C, 3, FALSE)</f>
        <v>Apparel</v>
      </c>
      <c r="M739" t="str">
        <f>VLOOKUP(C739, Customers!A:E, 5, FALSE)</f>
        <v>Corporate</v>
      </c>
      <c r="N739">
        <f>VLOOKUP(C739, Customers!A:E, 3, FALSE)</f>
        <v>51</v>
      </c>
      <c r="O739" s="93" t="str">
        <f>VLOOKUP(E739, Sales_Reps!A:C, 3, FALSE)</f>
        <v>East</v>
      </c>
      <c r="P739">
        <f>VLOOKUP(D739, Products!A:E, 4, FALSE)</f>
        <v>2611</v>
      </c>
      <c r="Q739">
        <f>IF(COUNTIF($A$2:A739, A739)=2, 1, 0)</f>
        <v>0</v>
      </c>
      <c r="R739">
        <f>IF(ISNA(MATCH(C739, Customers!$A:$A, 0)), 1, 0)</f>
        <v>0</v>
      </c>
      <c r="S739" s="94" t="b">
        <f>VLOOKUP(D739, Products!A:F, 6, FALSE)</f>
        <v>1</v>
      </c>
    </row>
    <row r="740" spans="1:19">
      <c r="A740" s="102" t="s">
        <v>1206</v>
      </c>
      <c r="B740" s="2">
        <v>45336</v>
      </c>
      <c r="C740" s="1" t="s">
        <v>472</v>
      </c>
      <c r="D740" s="1" t="s">
        <v>279</v>
      </c>
      <c r="E740" s="1" t="s">
        <v>252</v>
      </c>
      <c r="F740" s="83">
        <v>1</v>
      </c>
      <c r="G740" s="92">
        <v>2660</v>
      </c>
      <c r="H740" s="3">
        <v>6.1</v>
      </c>
      <c r="I740" s="3">
        <v>2497.7399999999998</v>
      </c>
      <c r="J740" s="1" t="s">
        <v>140</v>
      </c>
      <c r="K740" s="1" t="s">
        <v>94</v>
      </c>
      <c r="L740" t="str">
        <f>VLOOKUP(D740, Products!A:C, 3, FALSE)</f>
        <v>Electronics</v>
      </c>
      <c r="M740" t="str">
        <f>VLOOKUP(C740, Customers!A:E, 5, FALSE)</f>
        <v>Corporate</v>
      </c>
      <c r="N740">
        <f>VLOOKUP(C740, Customers!A:E, 3, FALSE)</f>
        <v>35</v>
      </c>
      <c r="O740" s="93" t="str">
        <f>VLOOKUP(E740, Sales_Reps!A:C, 3, FALSE)</f>
        <v>South</v>
      </c>
      <c r="P740">
        <f>VLOOKUP(D740, Products!A:E, 4, FALSE)</f>
        <v>1259</v>
      </c>
      <c r="Q740">
        <f>IF(COUNTIF($A$2:A740, A740)=2, 1, 0)</f>
        <v>0</v>
      </c>
      <c r="R740">
        <f>IF(ISNA(MATCH(C740, Customers!$A:$A, 0)), 1, 0)</f>
        <v>0</v>
      </c>
      <c r="S740" s="94" t="b">
        <f>VLOOKUP(D740, Products!A:F, 6, FALSE)</f>
        <v>0</v>
      </c>
    </row>
    <row r="741" spans="1:19">
      <c r="A741" s="102" t="s">
        <v>1207</v>
      </c>
      <c r="B741" s="2">
        <v>45300</v>
      </c>
      <c r="C741" s="1" t="s">
        <v>233</v>
      </c>
      <c r="D741" s="1" t="s">
        <v>179</v>
      </c>
      <c r="E741" s="1" t="s">
        <v>188</v>
      </c>
      <c r="F741" s="83">
        <v>8</v>
      </c>
      <c r="G741" s="92">
        <v>3350</v>
      </c>
      <c r="H741" s="3">
        <v>19.5</v>
      </c>
      <c r="I741" s="3">
        <v>21574</v>
      </c>
      <c r="J741" s="1" t="s">
        <v>87</v>
      </c>
      <c r="K741" s="1" t="s">
        <v>88</v>
      </c>
      <c r="L741" t="str">
        <f>VLOOKUP(D741, Products!A:C, 3, FALSE)</f>
        <v>Beauty</v>
      </c>
      <c r="M741" t="str">
        <f>VLOOKUP(C741, Customers!A:E, 5, FALSE)</f>
        <v>SMB</v>
      </c>
      <c r="N741">
        <f>VLOOKUP(C741, Customers!A:E, 3, FALSE)</f>
        <v>29</v>
      </c>
      <c r="O741" s="93" t="str">
        <f>VLOOKUP(E741, Sales_Reps!A:C, 3, FALSE)</f>
        <v>South</v>
      </c>
      <c r="P741">
        <f>VLOOKUP(D741, Products!A:E, 4, FALSE)</f>
        <v>1728</v>
      </c>
      <c r="Q741">
        <f>IF(COUNTIF($A$2:A741, A741)=2, 1, 0)</f>
        <v>0</v>
      </c>
      <c r="R741">
        <f>IF(ISNA(MATCH(C741, Customers!$A:$A, 0)), 1, 0)</f>
        <v>0</v>
      </c>
      <c r="S741" s="94" t="b">
        <f>VLOOKUP(D741, Products!A:F, 6, FALSE)</f>
        <v>1</v>
      </c>
    </row>
    <row r="742" spans="1:19">
      <c r="A742" s="102" t="s">
        <v>1208</v>
      </c>
      <c r="B742" s="2">
        <v>45648</v>
      </c>
      <c r="C742" s="1" t="s">
        <v>84</v>
      </c>
      <c r="D742" s="1" t="s">
        <v>270</v>
      </c>
      <c r="E742" s="1" t="s">
        <v>121</v>
      </c>
      <c r="F742" s="83">
        <v>4</v>
      </c>
      <c r="G742" s="92">
        <v>4610</v>
      </c>
      <c r="H742" s="3">
        <v>24</v>
      </c>
      <c r="I742" s="3">
        <v>14014.4</v>
      </c>
      <c r="J742" s="1" t="s">
        <v>87</v>
      </c>
      <c r="K742" s="1" t="s">
        <v>88</v>
      </c>
      <c r="L742" t="str">
        <f>VLOOKUP(D742, Products!A:C, 3, FALSE)</f>
        <v>Home</v>
      </c>
      <c r="M742" t="str">
        <f>VLOOKUP(C742, Customers!A:E, 5, FALSE)</f>
        <v>SMB</v>
      </c>
      <c r="N742">
        <f>VLOOKUP(C742, Customers!A:E, 3, FALSE)</f>
        <v>44</v>
      </c>
      <c r="O742" s="93" t="str">
        <f>VLOOKUP(E742, Sales_Reps!A:C, 3, FALSE)</f>
        <v>East</v>
      </c>
      <c r="P742">
        <f>VLOOKUP(D742, Products!A:E, 4, FALSE)</f>
        <v>1850</v>
      </c>
      <c r="Q742">
        <f>IF(COUNTIF($A$2:A742, A742)=2, 1, 0)</f>
        <v>0</v>
      </c>
      <c r="R742">
        <f>IF(ISNA(MATCH(C742, Customers!$A:$A, 0)), 1, 0)</f>
        <v>0</v>
      </c>
      <c r="S742" s="94" t="b">
        <f>VLOOKUP(D742, Products!A:F, 6, FALSE)</f>
        <v>1</v>
      </c>
    </row>
    <row r="743" spans="1:19">
      <c r="A743" s="102" t="s">
        <v>1209</v>
      </c>
      <c r="B743" s="2">
        <v>45293</v>
      </c>
      <c r="C743" s="1" t="s">
        <v>580</v>
      </c>
      <c r="D743" s="1" t="s">
        <v>195</v>
      </c>
      <c r="E743" s="1" t="s">
        <v>98</v>
      </c>
      <c r="F743" s="83">
        <v>7</v>
      </c>
      <c r="G743" s="92">
        <v>2860</v>
      </c>
      <c r="H743" s="3">
        <v>23.2</v>
      </c>
      <c r="I743" s="3">
        <v>15375.36</v>
      </c>
      <c r="J743" s="1" t="s">
        <v>87</v>
      </c>
      <c r="K743" s="1" t="s">
        <v>88</v>
      </c>
      <c r="L743" t="str">
        <f>VLOOKUP(D743, Products!A:C, 3, FALSE)</f>
        <v>Sports</v>
      </c>
      <c r="M743" t="str">
        <f>VLOOKUP(C743, Customers!A:E, 5, FALSE)</f>
        <v>Corporate</v>
      </c>
      <c r="N743">
        <f>VLOOKUP(C743, Customers!A:E, 3, FALSE)</f>
        <v>40</v>
      </c>
      <c r="O743" s="93" t="str">
        <f>VLOOKUP(E743, Sales_Reps!A:C, 3, FALSE)</f>
        <v>South</v>
      </c>
      <c r="P743">
        <f>VLOOKUP(D743, Products!A:E, 4, FALSE)</f>
        <v>2028</v>
      </c>
      <c r="Q743">
        <f>IF(COUNTIF($A$2:A743, A743)=2, 1, 0)</f>
        <v>0</v>
      </c>
      <c r="R743">
        <f>IF(ISNA(MATCH(C743, Customers!$A:$A, 0)), 1, 0)</f>
        <v>0</v>
      </c>
      <c r="S743" s="94" t="b">
        <f>VLOOKUP(D743, Products!A:F, 6, FALSE)</f>
        <v>1</v>
      </c>
    </row>
    <row r="744" spans="1:19">
      <c r="A744" s="102" t="s">
        <v>1210</v>
      </c>
      <c r="B744" s="2">
        <v>45644</v>
      </c>
      <c r="C744" s="1" t="s">
        <v>807</v>
      </c>
      <c r="D744" s="1" t="s">
        <v>179</v>
      </c>
      <c r="E744" s="1" t="s">
        <v>252</v>
      </c>
      <c r="F744" s="83">
        <v>7</v>
      </c>
      <c r="G744" s="92">
        <v>3350</v>
      </c>
      <c r="H744" s="3">
        <v>10.6</v>
      </c>
      <c r="I744" s="3">
        <v>20964.3</v>
      </c>
      <c r="J744" s="1" t="s">
        <v>93</v>
      </c>
      <c r="K744" s="1" t="s">
        <v>88</v>
      </c>
      <c r="L744" t="str">
        <f>VLOOKUP(D744, Products!A:C, 3, FALSE)</f>
        <v>Beauty</v>
      </c>
      <c r="M744" t="str">
        <f>VLOOKUP(C744, Customers!A:E, 5, FALSE)</f>
        <v>Retail</v>
      </c>
      <c r="N744">
        <f>VLOOKUP(C744, Customers!A:E, 3, FALSE)</f>
        <v>36</v>
      </c>
      <c r="O744" s="93" t="str">
        <f>VLOOKUP(E744, Sales_Reps!A:C, 3, FALSE)</f>
        <v>South</v>
      </c>
      <c r="P744">
        <f>VLOOKUP(D744, Products!A:E, 4, FALSE)</f>
        <v>1728</v>
      </c>
      <c r="Q744">
        <f>IF(COUNTIF($A$2:A744, A744)=2, 1, 0)</f>
        <v>0</v>
      </c>
      <c r="R744">
        <f>IF(ISNA(MATCH(C744, Customers!$A:$A, 0)), 1, 0)</f>
        <v>0</v>
      </c>
      <c r="S744" s="94" t="b">
        <f>VLOOKUP(D744, Products!A:F, 6, FALSE)</f>
        <v>1</v>
      </c>
    </row>
    <row r="745" spans="1:19">
      <c r="A745" s="102" t="s">
        <v>1211</v>
      </c>
      <c r="B745" s="2">
        <v>45589</v>
      </c>
      <c r="C745" s="1" t="s">
        <v>328</v>
      </c>
      <c r="D745" s="1" t="s">
        <v>338</v>
      </c>
      <c r="E745" s="1" t="s">
        <v>128</v>
      </c>
      <c r="F745" s="83">
        <v>5</v>
      </c>
      <c r="G745" s="92">
        <v>2210</v>
      </c>
      <c r="H745" s="3">
        <v>12.1</v>
      </c>
      <c r="I745" s="3">
        <v>9712.9500000000007</v>
      </c>
      <c r="J745" s="1" t="s">
        <v>87</v>
      </c>
      <c r="K745" s="1" t="s">
        <v>94</v>
      </c>
      <c r="L745" t="str">
        <f>VLOOKUP(D745, Products!A:C, 3, FALSE)</f>
        <v>Grocery</v>
      </c>
      <c r="M745" t="str">
        <f>VLOOKUP(C745, Customers!A:E, 5, FALSE)</f>
        <v>Retail</v>
      </c>
      <c r="N745">
        <f>VLOOKUP(C745, Customers!A:E, 3, FALSE)</f>
        <v>28</v>
      </c>
      <c r="O745" s="93" t="str">
        <f>VLOOKUP(E745, Sales_Reps!A:C, 3, FALSE)</f>
        <v>West</v>
      </c>
      <c r="P745">
        <f>VLOOKUP(D745, Products!A:E, 4, FALSE)</f>
        <v>1010</v>
      </c>
      <c r="Q745">
        <f>IF(COUNTIF($A$2:A745, A745)=2, 1, 0)</f>
        <v>0</v>
      </c>
      <c r="R745">
        <f>IF(ISNA(MATCH(C745, Customers!$A:$A, 0)), 1, 0)</f>
        <v>0</v>
      </c>
      <c r="S745" s="94" t="b">
        <f>VLOOKUP(D745, Products!A:F, 6, FALSE)</f>
        <v>1</v>
      </c>
    </row>
    <row r="746" spans="1:19">
      <c r="A746" s="102" t="s">
        <v>1212</v>
      </c>
      <c r="B746" s="2">
        <v>45329</v>
      </c>
      <c r="C746" s="1" t="s">
        <v>460</v>
      </c>
      <c r="D746" s="1" t="s">
        <v>157</v>
      </c>
      <c r="E746" s="1" t="s">
        <v>252</v>
      </c>
      <c r="F746" s="83">
        <v>1</v>
      </c>
      <c r="G746" s="92">
        <v>3450</v>
      </c>
      <c r="H746" s="3">
        <v>19.100000000000001</v>
      </c>
      <c r="I746" s="3">
        <v>2791.05</v>
      </c>
      <c r="J746" s="1" t="s">
        <v>93</v>
      </c>
      <c r="K746" s="1" t="s">
        <v>88</v>
      </c>
      <c r="L746" t="str">
        <f>VLOOKUP(D746, Products!A:C, 3, FALSE)</f>
        <v>Beauty</v>
      </c>
      <c r="M746" t="str">
        <f>VLOOKUP(C746, Customers!A:E, 5, FALSE)</f>
        <v>Corporate</v>
      </c>
      <c r="N746">
        <f>VLOOKUP(C746, Customers!A:E, 3, FALSE)</f>
        <v>37</v>
      </c>
      <c r="O746" s="93" t="str">
        <f>VLOOKUP(E746, Sales_Reps!A:C, 3, FALSE)</f>
        <v>South</v>
      </c>
      <c r="P746">
        <f>VLOOKUP(D746, Products!A:E, 4, FALSE)</f>
        <v>2420</v>
      </c>
      <c r="Q746">
        <f>IF(COUNTIF($A$2:A746, A746)=2, 1, 0)</f>
        <v>0</v>
      </c>
      <c r="R746">
        <f>IF(ISNA(MATCH(C746, Customers!$A:$A, 0)), 1, 0)</f>
        <v>0</v>
      </c>
      <c r="S746" s="94" t="b">
        <f>VLOOKUP(D746, Products!A:F, 6, FALSE)</f>
        <v>1</v>
      </c>
    </row>
    <row r="747" spans="1:19">
      <c r="A747" s="102" t="s">
        <v>1213</v>
      </c>
      <c r="B747" s="2">
        <v>45587</v>
      </c>
      <c r="C747" s="1" t="s">
        <v>539</v>
      </c>
      <c r="D747" s="1" t="s">
        <v>191</v>
      </c>
      <c r="E747" s="1" t="s">
        <v>128</v>
      </c>
      <c r="F747" s="83">
        <v>5</v>
      </c>
      <c r="G747" s="92">
        <v>5100</v>
      </c>
      <c r="H747" s="3">
        <v>2.8</v>
      </c>
      <c r="I747" s="3">
        <v>24786</v>
      </c>
      <c r="J747" s="1" t="s">
        <v>87</v>
      </c>
      <c r="K747" s="1" t="s">
        <v>133</v>
      </c>
      <c r="L747" t="str">
        <f>VLOOKUP(D747, Products!A:C, 3, FALSE)</f>
        <v>Beauty</v>
      </c>
      <c r="M747" t="str">
        <f>VLOOKUP(C747, Customers!A:E, 5, FALSE)</f>
        <v>Retail</v>
      </c>
      <c r="N747">
        <f>VLOOKUP(C747, Customers!A:E, 3, FALSE)</f>
        <v>38</v>
      </c>
      <c r="O747" s="93" t="str">
        <f>VLOOKUP(E747, Sales_Reps!A:C, 3, FALSE)</f>
        <v>West</v>
      </c>
      <c r="P747">
        <f>VLOOKUP(D747, Products!A:E, 4, FALSE)</f>
        <v>2237</v>
      </c>
      <c r="Q747">
        <f>IF(COUNTIF($A$2:A747, A747)=2, 1, 0)</f>
        <v>0</v>
      </c>
      <c r="R747">
        <f>IF(ISNA(MATCH(C747, Customers!$A:$A, 0)), 1, 0)</f>
        <v>0</v>
      </c>
      <c r="S747" s="94" t="b">
        <f>VLOOKUP(D747, Products!A:F, 6, FALSE)</f>
        <v>1</v>
      </c>
    </row>
    <row r="748" spans="1:19">
      <c r="A748" s="102" t="s">
        <v>1214</v>
      </c>
      <c r="B748" s="2">
        <v>45423</v>
      </c>
      <c r="C748" s="1" t="s">
        <v>299</v>
      </c>
      <c r="D748" s="1" t="s">
        <v>191</v>
      </c>
      <c r="E748" s="1" t="s">
        <v>148</v>
      </c>
      <c r="F748" s="83">
        <v>9</v>
      </c>
      <c r="G748" s="92">
        <v>5100</v>
      </c>
      <c r="H748" s="3">
        <v>24.4</v>
      </c>
      <c r="I748" s="3">
        <v>34700.400000000001</v>
      </c>
      <c r="J748" s="1" t="s">
        <v>87</v>
      </c>
      <c r="K748" s="1" t="s">
        <v>133</v>
      </c>
      <c r="L748" t="str">
        <f>VLOOKUP(D748, Products!A:C, 3, FALSE)</f>
        <v>Beauty</v>
      </c>
      <c r="M748" t="str">
        <f>VLOOKUP(C748, Customers!A:E, 5, FALSE)</f>
        <v>Retail</v>
      </c>
      <c r="N748">
        <f>VLOOKUP(C748, Customers!A:E, 3, FALSE)</f>
        <v>29</v>
      </c>
      <c r="O748" s="93" t="str">
        <f>VLOOKUP(E748, Sales_Reps!A:C, 3, FALSE)</f>
        <v>North</v>
      </c>
      <c r="P748">
        <f>VLOOKUP(D748, Products!A:E, 4, FALSE)</f>
        <v>2237</v>
      </c>
      <c r="Q748">
        <f>IF(COUNTIF($A$2:A748, A748)=2, 1, 0)</f>
        <v>0</v>
      </c>
      <c r="R748">
        <f>IF(ISNA(MATCH(C748, Customers!$A:$A, 0)), 1, 0)</f>
        <v>0</v>
      </c>
      <c r="S748" s="94" t="b">
        <f>VLOOKUP(D748, Products!A:F, 6, FALSE)</f>
        <v>1</v>
      </c>
    </row>
    <row r="749" spans="1:19">
      <c r="A749" s="102" t="s">
        <v>1215</v>
      </c>
      <c r="B749" s="2">
        <v>45568</v>
      </c>
      <c r="C749" s="1" t="s">
        <v>301</v>
      </c>
      <c r="D749" s="1" t="s">
        <v>203</v>
      </c>
      <c r="E749" s="1" t="s">
        <v>103</v>
      </c>
      <c r="F749" s="83">
        <v>9</v>
      </c>
      <c r="G749" s="92">
        <v>660</v>
      </c>
      <c r="H749" s="3">
        <v>19.8</v>
      </c>
      <c r="I749" s="3">
        <v>4763.88</v>
      </c>
      <c r="J749" s="1" t="s">
        <v>87</v>
      </c>
      <c r="K749" s="1" t="s">
        <v>94</v>
      </c>
      <c r="L749" t="str">
        <f>VLOOKUP(D749, Products!A:C, 3, FALSE)</f>
        <v>Home</v>
      </c>
      <c r="M749" t="str">
        <f>VLOOKUP(C749, Customers!A:E, 5, FALSE)</f>
        <v>Retail</v>
      </c>
      <c r="N749">
        <f>VLOOKUP(C749, Customers!A:E, 3, FALSE)</f>
        <v>41</v>
      </c>
      <c r="O749" s="93" t="str">
        <f>VLOOKUP(E749, Sales_Reps!A:C, 3, FALSE)</f>
        <v>North</v>
      </c>
      <c r="P749">
        <f>VLOOKUP(D749, Products!A:E, 4, FALSE)</f>
        <v>329</v>
      </c>
      <c r="Q749">
        <f>IF(COUNTIF($A$2:A749, A749)=2, 1, 0)</f>
        <v>0</v>
      </c>
      <c r="R749">
        <f>IF(ISNA(MATCH(C749, Customers!$A:$A, 0)), 1, 0)</f>
        <v>0</v>
      </c>
      <c r="S749" s="94" t="b">
        <f>VLOOKUP(D749, Products!A:F, 6, FALSE)</f>
        <v>1</v>
      </c>
    </row>
    <row r="750" spans="1:19">
      <c r="A750" s="102" t="s">
        <v>1216</v>
      </c>
      <c r="B750" s="2">
        <v>45549</v>
      </c>
      <c r="C750" s="1" t="s">
        <v>1217</v>
      </c>
      <c r="D750" s="1" t="s">
        <v>264</v>
      </c>
      <c r="E750" s="1" t="s">
        <v>103</v>
      </c>
      <c r="F750" s="83">
        <v>3</v>
      </c>
      <c r="G750" s="92">
        <v>4070</v>
      </c>
      <c r="H750" s="3">
        <v>27.1</v>
      </c>
      <c r="I750" s="3">
        <v>8901.09</v>
      </c>
      <c r="J750" s="1" t="s">
        <v>87</v>
      </c>
      <c r="K750" s="1" t="s">
        <v>112</v>
      </c>
      <c r="L750" t="str">
        <f>VLOOKUP(D750, Products!A:C, 3, FALSE)</f>
        <v>Grocery</v>
      </c>
      <c r="M750" t="str">
        <f>VLOOKUP(C750, Customers!A:E, 5, FALSE)</f>
        <v>Retail</v>
      </c>
      <c r="N750">
        <f>VLOOKUP(C750, Customers!A:E, 3, FALSE)</f>
        <v>44</v>
      </c>
      <c r="O750" s="93" t="str">
        <f>VLOOKUP(E750, Sales_Reps!A:C, 3, FALSE)</f>
        <v>North</v>
      </c>
      <c r="P750">
        <f>VLOOKUP(D750, Products!A:E, 4, FALSE)</f>
        <v>2027</v>
      </c>
      <c r="Q750">
        <f>IF(COUNTIF($A$2:A750, A750)=2, 1, 0)</f>
        <v>0</v>
      </c>
      <c r="R750">
        <f>IF(ISNA(MATCH(C750, Customers!$A:$A, 0)), 1, 0)</f>
        <v>0</v>
      </c>
      <c r="S750" s="94" t="b">
        <f>VLOOKUP(D750, Products!A:F, 6, FALSE)</f>
        <v>1</v>
      </c>
    </row>
    <row r="751" spans="1:19">
      <c r="A751" s="102" t="s">
        <v>1218</v>
      </c>
      <c r="B751" s="2">
        <v>45504</v>
      </c>
      <c r="C751" s="1" t="s">
        <v>350</v>
      </c>
      <c r="D751" s="1" t="s">
        <v>355</v>
      </c>
      <c r="E751" s="1" t="s">
        <v>86</v>
      </c>
      <c r="F751" s="83">
        <v>2</v>
      </c>
      <c r="G751" s="92">
        <v>2510</v>
      </c>
      <c r="H751" s="3">
        <v>29.1</v>
      </c>
      <c r="I751" s="3">
        <v>3559.18</v>
      </c>
      <c r="J751" s="1" t="s">
        <v>87</v>
      </c>
      <c r="K751" s="1" t="s">
        <v>112</v>
      </c>
      <c r="L751" t="str">
        <f>VLOOKUP(D751, Products!A:C, 3, FALSE)</f>
        <v>Apparel</v>
      </c>
      <c r="M751" t="str">
        <f>VLOOKUP(C751, Customers!A:E, 5, FALSE)</f>
        <v>SMB</v>
      </c>
      <c r="N751">
        <f>VLOOKUP(C751, Customers!A:E, 3, FALSE)</f>
        <v>22</v>
      </c>
      <c r="O751" s="93" t="str">
        <f>VLOOKUP(E751, Sales_Reps!A:C, 3, FALSE)</f>
        <v>North</v>
      </c>
      <c r="P751">
        <f>VLOOKUP(D751, Products!A:E, 4, FALSE)</f>
        <v>1075</v>
      </c>
      <c r="Q751">
        <f>IF(COUNTIF($A$2:A751, A751)=2, 1, 0)</f>
        <v>0</v>
      </c>
      <c r="R751">
        <f>IF(ISNA(MATCH(C751, Customers!$A:$A, 0)), 1, 0)</f>
        <v>0</v>
      </c>
      <c r="S751" s="94" t="b">
        <f>VLOOKUP(D751, Products!A:F, 6, FALSE)</f>
        <v>0</v>
      </c>
    </row>
    <row r="752" spans="1:19">
      <c r="A752" s="102" t="s">
        <v>1219</v>
      </c>
      <c r="B752" s="2">
        <v>45449</v>
      </c>
      <c r="C752" s="1" t="s">
        <v>233</v>
      </c>
      <c r="D752" s="1" t="s">
        <v>143</v>
      </c>
      <c r="E752" s="1" t="s">
        <v>170</v>
      </c>
      <c r="F752" s="83">
        <v>4</v>
      </c>
      <c r="G752" s="92">
        <v>3250</v>
      </c>
      <c r="H752" s="3">
        <v>21.1</v>
      </c>
      <c r="I752" s="3">
        <v>10257</v>
      </c>
      <c r="J752" s="1" t="s">
        <v>87</v>
      </c>
      <c r="K752" s="1" t="s">
        <v>88</v>
      </c>
      <c r="L752" t="str">
        <f>VLOOKUP(D752, Products!A:C, 3, FALSE)</f>
        <v>Home</v>
      </c>
      <c r="M752" t="str">
        <f>VLOOKUP(C752, Customers!A:E, 5, FALSE)</f>
        <v>SMB</v>
      </c>
      <c r="N752">
        <f>VLOOKUP(C752, Customers!A:E, 3, FALSE)</f>
        <v>29</v>
      </c>
      <c r="O752" s="93" t="str">
        <f>VLOOKUP(E752, Sales_Reps!A:C, 3, FALSE)</f>
        <v>West</v>
      </c>
      <c r="P752">
        <f>VLOOKUP(D752, Products!A:E, 4, FALSE)</f>
        <v>1556</v>
      </c>
      <c r="Q752">
        <f>IF(COUNTIF($A$2:A752, A752)=2, 1, 0)</f>
        <v>0</v>
      </c>
      <c r="R752">
        <f>IF(ISNA(MATCH(C752, Customers!$A:$A, 0)), 1, 0)</f>
        <v>0</v>
      </c>
      <c r="S752" s="94" t="b">
        <f>VLOOKUP(D752, Products!A:F, 6, FALSE)</f>
        <v>1</v>
      </c>
    </row>
    <row r="753" spans="1:19">
      <c r="A753" s="102" t="s">
        <v>1220</v>
      </c>
      <c r="B753" s="2">
        <v>45600</v>
      </c>
      <c r="C753" s="1" t="s">
        <v>599</v>
      </c>
      <c r="D753" s="1" t="s">
        <v>110</v>
      </c>
      <c r="E753" s="1" t="s">
        <v>92</v>
      </c>
      <c r="F753" s="83">
        <v>3</v>
      </c>
      <c r="G753" s="92">
        <v>370</v>
      </c>
      <c r="H753" s="3">
        <v>7.7</v>
      </c>
      <c r="I753" s="3">
        <v>1024.53</v>
      </c>
      <c r="J753" s="1" t="s">
        <v>87</v>
      </c>
      <c r="K753" s="1" t="s">
        <v>117</v>
      </c>
      <c r="L753" t="str">
        <f>VLOOKUP(D753, Products!A:C, 3, FALSE)</f>
        <v>Home</v>
      </c>
      <c r="M753" t="str">
        <f>VLOOKUP(C753, Customers!A:E, 5, FALSE)</f>
        <v>Corporate</v>
      </c>
      <c r="N753">
        <f>VLOOKUP(C753, Customers!A:E, 3, FALSE)</f>
        <v>26</v>
      </c>
      <c r="O753" s="93" t="str">
        <f>VLOOKUP(E753, Sales_Reps!A:C, 3, FALSE)</f>
        <v>North</v>
      </c>
      <c r="P753">
        <f>VLOOKUP(D753, Products!A:E, 4, FALSE)</f>
        <v>288</v>
      </c>
      <c r="Q753">
        <f>IF(COUNTIF($A$2:A753, A753)=2, 1, 0)</f>
        <v>0</v>
      </c>
      <c r="R753">
        <f>IF(ISNA(MATCH(C753, Customers!$A:$A, 0)), 1, 0)</f>
        <v>0</v>
      </c>
      <c r="S753" s="94" t="b">
        <f>VLOOKUP(D753, Products!A:F, 6, FALSE)</f>
        <v>1</v>
      </c>
    </row>
    <row r="754" spans="1:19">
      <c r="A754" s="102" t="s">
        <v>1221</v>
      </c>
      <c r="B754" s="2">
        <v>45479</v>
      </c>
      <c r="C754" s="1" t="s">
        <v>977</v>
      </c>
      <c r="D754" s="1" t="s">
        <v>91</v>
      </c>
      <c r="E754" s="1" t="s">
        <v>103</v>
      </c>
      <c r="F754" s="83">
        <v>10</v>
      </c>
      <c r="G754" s="92">
        <v>820</v>
      </c>
      <c r="H754" s="3">
        <v>3.5</v>
      </c>
      <c r="I754" s="3">
        <v>7913</v>
      </c>
      <c r="J754" s="1" t="s">
        <v>87</v>
      </c>
      <c r="K754" s="1" t="s">
        <v>88</v>
      </c>
      <c r="L754" t="str">
        <f>VLOOKUP(D754, Products!A:C, 3, FALSE)</f>
        <v>Apparel</v>
      </c>
      <c r="M754" t="str">
        <f>VLOOKUP(C754, Customers!A:E, 5, FALSE)</f>
        <v>Corporate</v>
      </c>
      <c r="N754">
        <f>VLOOKUP(C754, Customers!A:E, 3, FALSE)</f>
        <v>29</v>
      </c>
      <c r="O754" s="93" t="str">
        <f>VLOOKUP(E754, Sales_Reps!A:C, 3, FALSE)</f>
        <v>North</v>
      </c>
      <c r="P754">
        <f>VLOOKUP(D754, Products!A:E, 4, FALSE)</f>
        <v>391</v>
      </c>
      <c r="Q754">
        <f>IF(COUNTIF($A$2:A754, A754)=2, 1, 0)</f>
        <v>0</v>
      </c>
      <c r="R754">
        <f>IF(ISNA(MATCH(C754, Customers!$A:$A, 0)), 1, 0)</f>
        <v>0</v>
      </c>
      <c r="S754" s="94" t="b">
        <f>VLOOKUP(D754, Products!A:F, 6, FALSE)</f>
        <v>1</v>
      </c>
    </row>
    <row r="755" spans="1:19">
      <c r="A755" s="102" t="s">
        <v>1222</v>
      </c>
      <c r="B755" s="2">
        <v>45531</v>
      </c>
      <c r="C755" s="1" t="s">
        <v>429</v>
      </c>
      <c r="D755" s="1" t="s">
        <v>264</v>
      </c>
      <c r="E755" s="1" t="s">
        <v>229</v>
      </c>
      <c r="F755" s="83">
        <v>4</v>
      </c>
      <c r="G755" s="92">
        <v>4070</v>
      </c>
      <c r="H755" s="3">
        <v>23.8</v>
      </c>
      <c r="I755" s="3">
        <v>12405.36</v>
      </c>
      <c r="J755" s="1" t="s">
        <v>87</v>
      </c>
      <c r="K755" s="1" t="s">
        <v>117</v>
      </c>
      <c r="L755" t="str">
        <f>VLOOKUP(D755, Products!A:C, 3, FALSE)</f>
        <v>Grocery</v>
      </c>
      <c r="M755" t="str">
        <f>VLOOKUP(C755, Customers!A:E, 5, FALSE)</f>
        <v>Retail</v>
      </c>
      <c r="N755">
        <f>VLOOKUP(C755, Customers!A:E, 3, FALSE)</f>
        <v>55</v>
      </c>
      <c r="O755" s="93" t="str">
        <f>VLOOKUP(E755, Sales_Reps!A:C, 3, FALSE)</f>
        <v>West</v>
      </c>
      <c r="P755">
        <f>VLOOKUP(D755, Products!A:E, 4, FALSE)</f>
        <v>2027</v>
      </c>
      <c r="Q755">
        <f>IF(COUNTIF($A$2:A755, A755)=2, 1, 0)</f>
        <v>0</v>
      </c>
      <c r="R755">
        <f>IF(ISNA(MATCH(C755, Customers!$A:$A, 0)), 1, 0)</f>
        <v>0</v>
      </c>
      <c r="S755" s="94" t="b">
        <f>VLOOKUP(D755, Products!A:F, 6, FALSE)</f>
        <v>1</v>
      </c>
    </row>
    <row r="756" spans="1:19">
      <c r="A756" s="102" t="s">
        <v>1223</v>
      </c>
      <c r="B756" s="2">
        <v>45356</v>
      </c>
      <c r="C756" s="1" t="s">
        <v>759</v>
      </c>
      <c r="D756" s="1" t="s">
        <v>367</v>
      </c>
      <c r="E756" s="1" t="s">
        <v>273</v>
      </c>
      <c r="F756" s="83">
        <v>1</v>
      </c>
      <c r="G756" s="92">
        <v>2380</v>
      </c>
      <c r="H756" s="3">
        <v>19.600000000000001</v>
      </c>
      <c r="I756" s="3">
        <v>1913.52</v>
      </c>
      <c r="J756" s="1" t="s">
        <v>140</v>
      </c>
      <c r="K756" s="1" t="s">
        <v>117</v>
      </c>
      <c r="L756" t="str">
        <f>VLOOKUP(D756, Products!A:C, 3, FALSE)</f>
        <v>Grocery</v>
      </c>
      <c r="M756" t="str">
        <f>VLOOKUP(C756, Customers!A:E, 5, FALSE)</f>
        <v>Retail</v>
      </c>
      <c r="N756">
        <f>VLOOKUP(C756, Customers!A:E, 3, FALSE)</f>
        <v>29</v>
      </c>
      <c r="O756" s="93" t="str">
        <f>VLOOKUP(E756, Sales_Reps!A:C, 3, FALSE)</f>
        <v>South</v>
      </c>
      <c r="P756">
        <f>VLOOKUP(D756, Products!A:E, 4, FALSE)</f>
        <v>1182</v>
      </c>
      <c r="Q756">
        <f>IF(COUNTIF($A$2:A756, A756)=2, 1, 0)</f>
        <v>0</v>
      </c>
      <c r="R756">
        <f>IF(ISNA(MATCH(C756, Customers!$A:$A, 0)), 1, 0)</f>
        <v>0</v>
      </c>
      <c r="S756" s="94" t="b">
        <f>VLOOKUP(D756, Products!A:F, 6, FALSE)</f>
        <v>1</v>
      </c>
    </row>
    <row r="757" spans="1:19">
      <c r="A757" s="102" t="s">
        <v>1224</v>
      </c>
      <c r="B757" s="2">
        <v>45553</v>
      </c>
      <c r="C757" s="1" t="s">
        <v>948</v>
      </c>
      <c r="D757" s="1" t="s">
        <v>124</v>
      </c>
      <c r="E757" s="1" t="s">
        <v>170</v>
      </c>
      <c r="F757" s="83">
        <v>3</v>
      </c>
      <c r="G757" s="92">
        <v>5490</v>
      </c>
      <c r="H757" s="3">
        <v>2.5</v>
      </c>
      <c r="I757" s="3">
        <v>16058.25</v>
      </c>
      <c r="J757" s="1" t="s">
        <v>87</v>
      </c>
      <c r="K757" s="1" t="s">
        <v>88</v>
      </c>
      <c r="L757" t="str">
        <f>VLOOKUP(D757, Products!A:C, 3, FALSE)</f>
        <v>Home</v>
      </c>
      <c r="M757" t="str">
        <f>VLOOKUP(C757, Customers!A:E, 5, FALSE)</f>
        <v>Retail</v>
      </c>
      <c r="N757">
        <f>VLOOKUP(C757, Customers!A:E, 3, FALSE)</f>
        <v>65</v>
      </c>
      <c r="O757" s="93" t="str">
        <f>VLOOKUP(E757, Sales_Reps!A:C, 3, FALSE)</f>
        <v>West</v>
      </c>
      <c r="P757">
        <f>VLOOKUP(D757, Products!A:E, 4, FALSE)</f>
        <v>2549</v>
      </c>
      <c r="Q757">
        <f>IF(COUNTIF($A$2:A757, A757)=2, 1, 0)</f>
        <v>0</v>
      </c>
      <c r="R757">
        <f>IF(ISNA(MATCH(C757, Customers!$A:$A, 0)), 1, 0)</f>
        <v>0</v>
      </c>
      <c r="S757" s="94" t="b">
        <f>VLOOKUP(D757, Products!A:F, 6, FALSE)</f>
        <v>1</v>
      </c>
    </row>
    <row r="758" spans="1:19">
      <c r="A758" s="102" t="s">
        <v>1225</v>
      </c>
      <c r="B758" s="2">
        <v>45492</v>
      </c>
      <c r="C758" s="1" t="s">
        <v>336</v>
      </c>
      <c r="D758" s="1" t="s">
        <v>237</v>
      </c>
      <c r="E758" s="1" t="s">
        <v>343</v>
      </c>
      <c r="F758" s="83">
        <v>3</v>
      </c>
      <c r="G758" s="92">
        <v>3640</v>
      </c>
      <c r="H758" s="3">
        <v>23.3</v>
      </c>
      <c r="I758" s="3">
        <v>8375.64</v>
      </c>
      <c r="J758" s="1" t="s">
        <v>87</v>
      </c>
      <c r="K758" s="1" t="s">
        <v>112</v>
      </c>
      <c r="L758" t="str">
        <f>VLOOKUP(D758, Products!A:C, 3, FALSE)</f>
        <v>Apparel</v>
      </c>
      <c r="M758" t="str">
        <f>VLOOKUP(C758, Customers!A:E, 5, FALSE)</f>
        <v>Retail</v>
      </c>
      <c r="N758">
        <f>VLOOKUP(C758, Customers!A:E, 3, FALSE)</f>
        <v>49</v>
      </c>
      <c r="O758" s="93" t="str">
        <f>VLOOKUP(E758, Sales_Reps!A:C, 3, FALSE)</f>
        <v>West</v>
      </c>
      <c r="P758">
        <f>VLOOKUP(D758, Products!A:E, 4, FALSE)</f>
        <v>2611</v>
      </c>
      <c r="Q758">
        <f>IF(COUNTIF($A$2:A758, A758)=2, 1, 0)</f>
        <v>0</v>
      </c>
      <c r="R758">
        <f>IF(ISNA(MATCH(C758, Customers!$A:$A, 0)), 1, 0)</f>
        <v>0</v>
      </c>
      <c r="S758" s="94" t="b">
        <f>VLOOKUP(D758, Products!A:F, 6, FALSE)</f>
        <v>1</v>
      </c>
    </row>
    <row r="759" spans="1:19">
      <c r="A759" s="102" t="s">
        <v>1226</v>
      </c>
      <c r="B759" s="2">
        <v>45388</v>
      </c>
      <c r="C759" s="1" t="s">
        <v>405</v>
      </c>
      <c r="D759" s="1" t="s">
        <v>270</v>
      </c>
      <c r="E759" s="1" t="s">
        <v>303</v>
      </c>
      <c r="F759" s="83">
        <v>2</v>
      </c>
      <c r="G759" s="92">
        <v>4610</v>
      </c>
      <c r="H759" s="3">
        <v>5</v>
      </c>
      <c r="I759" s="3">
        <v>8759</v>
      </c>
      <c r="J759" s="1" t="s">
        <v>93</v>
      </c>
      <c r="K759" s="1" t="s">
        <v>94</v>
      </c>
      <c r="L759" t="str">
        <f>VLOOKUP(D759, Products!A:C, 3, FALSE)</f>
        <v>Home</v>
      </c>
      <c r="M759" t="str">
        <f>VLOOKUP(C759, Customers!A:E, 5, FALSE)</f>
        <v>Corporate</v>
      </c>
      <c r="N759">
        <f>VLOOKUP(C759, Customers!A:E, 3, FALSE)</f>
        <v>24</v>
      </c>
      <c r="O759" s="93" t="str">
        <f>VLOOKUP(E759, Sales_Reps!A:C, 3, FALSE)</f>
        <v>East</v>
      </c>
      <c r="P759">
        <f>VLOOKUP(D759, Products!A:E, 4, FALSE)</f>
        <v>1850</v>
      </c>
      <c r="Q759">
        <f>IF(COUNTIF($A$2:A759, A759)=2, 1, 0)</f>
        <v>0</v>
      </c>
      <c r="R759">
        <f>IF(ISNA(MATCH(C759, Customers!$A:$A, 0)), 1, 0)</f>
        <v>0</v>
      </c>
      <c r="S759" s="94" t="b">
        <f>VLOOKUP(D759, Products!A:F, 6, FALSE)</f>
        <v>1</v>
      </c>
    </row>
    <row r="760" spans="1:19">
      <c r="A760" s="102" t="s">
        <v>1227</v>
      </c>
      <c r="B760" s="2">
        <v>45369</v>
      </c>
      <c r="C760" s="1" t="s">
        <v>507</v>
      </c>
      <c r="D760" s="1" t="s">
        <v>151</v>
      </c>
      <c r="E760" s="1" t="s">
        <v>215</v>
      </c>
      <c r="F760" s="83">
        <v>8</v>
      </c>
      <c r="G760" s="92">
        <v>2400</v>
      </c>
      <c r="H760" s="3">
        <v>10</v>
      </c>
      <c r="I760" s="3">
        <v>17280</v>
      </c>
      <c r="J760" s="1" t="s">
        <v>93</v>
      </c>
      <c r="K760" s="1" t="s">
        <v>88</v>
      </c>
      <c r="L760" t="str">
        <f>VLOOKUP(D760, Products!A:C, 3, FALSE)</f>
        <v>Sports</v>
      </c>
      <c r="M760" t="str">
        <f>VLOOKUP(C760, Customers!A:E, 5, FALSE)</f>
        <v>Retail</v>
      </c>
      <c r="N760">
        <f>VLOOKUP(C760, Customers!A:E, 3, FALSE)</f>
        <v>59</v>
      </c>
      <c r="O760" s="93" t="str">
        <f>VLOOKUP(E760, Sales_Reps!A:C, 3, FALSE)</f>
        <v>North</v>
      </c>
      <c r="P760">
        <f>VLOOKUP(D760, Products!A:E, 4, FALSE)</f>
        <v>974</v>
      </c>
      <c r="Q760">
        <f>IF(COUNTIF($A$2:A760, A760)=2, 1, 0)</f>
        <v>0</v>
      </c>
      <c r="R760">
        <f>IF(ISNA(MATCH(C760, Customers!$A:$A, 0)), 1, 0)</f>
        <v>0</v>
      </c>
      <c r="S760" s="94" t="b">
        <f>VLOOKUP(D760, Products!A:F, 6, FALSE)</f>
        <v>1</v>
      </c>
    </row>
    <row r="761" spans="1:19">
      <c r="A761" s="102" t="s">
        <v>1228</v>
      </c>
      <c r="B761" s="2">
        <v>45597</v>
      </c>
      <c r="C761" s="1" t="s">
        <v>397</v>
      </c>
      <c r="D761" s="1" t="s">
        <v>179</v>
      </c>
      <c r="E761" s="1" t="s">
        <v>297</v>
      </c>
      <c r="F761" s="83">
        <v>7</v>
      </c>
      <c r="G761" s="92">
        <v>3350</v>
      </c>
      <c r="H761" s="3">
        <v>23.7</v>
      </c>
      <c r="I761" s="3">
        <v>17892.349999999999</v>
      </c>
      <c r="J761" s="1" t="s">
        <v>87</v>
      </c>
      <c r="K761" s="1" t="s">
        <v>99</v>
      </c>
      <c r="L761" t="str">
        <f>VLOOKUP(D761, Products!A:C, 3, FALSE)</f>
        <v>Beauty</v>
      </c>
      <c r="M761" t="str">
        <f>VLOOKUP(C761, Customers!A:E, 5, FALSE)</f>
        <v>Retail</v>
      </c>
      <c r="N761">
        <f>VLOOKUP(C761, Customers!A:E, 3, FALSE)</f>
        <v>30</v>
      </c>
      <c r="O761" s="93" t="str">
        <f>VLOOKUP(E761, Sales_Reps!A:C, 3, FALSE)</f>
        <v>North</v>
      </c>
      <c r="P761">
        <f>VLOOKUP(D761, Products!A:E, 4, FALSE)</f>
        <v>1728</v>
      </c>
      <c r="Q761">
        <f>IF(COUNTIF($A$2:A761, A761)=2, 1, 0)</f>
        <v>0</v>
      </c>
      <c r="R761">
        <f>IF(ISNA(MATCH(C761, Customers!$A:$A, 0)), 1, 0)</f>
        <v>0</v>
      </c>
      <c r="S761" s="94" t="b">
        <f>VLOOKUP(D761, Products!A:F, 6, FALSE)</f>
        <v>1</v>
      </c>
    </row>
    <row r="762" spans="1:19">
      <c r="A762" s="102" t="s">
        <v>1229</v>
      </c>
      <c r="B762" s="2">
        <v>45611</v>
      </c>
      <c r="C762" s="1" t="s">
        <v>655</v>
      </c>
      <c r="D762" s="1" t="s">
        <v>237</v>
      </c>
      <c r="E762" s="1" t="s">
        <v>325</v>
      </c>
      <c r="F762" s="83">
        <v>4</v>
      </c>
      <c r="G762" s="92">
        <v>3640</v>
      </c>
      <c r="H762" s="3">
        <v>9.3000000000000007</v>
      </c>
      <c r="I762" s="3">
        <v>13205.92</v>
      </c>
      <c r="J762" s="1" t="s">
        <v>140</v>
      </c>
      <c r="K762" s="1" t="s">
        <v>133</v>
      </c>
      <c r="L762" t="str">
        <f>VLOOKUP(D762, Products!A:C, 3, FALSE)</f>
        <v>Apparel</v>
      </c>
      <c r="M762" t="str">
        <f>VLOOKUP(C762, Customers!A:E, 5, FALSE)</f>
        <v>Retail</v>
      </c>
      <c r="N762">
        <f>VLOOKUP(C762, Customers!A:E, 3, FALSE)</f>
        <v>27</v>
      </c>
      <c r="O762" s="93" t="str">
        <f>VLOOKUP(E762, Sales_Reps!A:C, 3, FALSE)</f>
        <v>South</v>
      </c>
      <c r="P762">
        <f>VLOOKUP(D762, Products!A:E, 4, FALSE)</f>
        <v>2611</v>
      </c>
      <c r="Q762">
        <f>IF(COUNTIF($A$2:A762, A762)=2, 1, 0)</f>
        <v>0</v>
      </c>
      <c r="R762">
        <f>IF(ISNA(MATCH(C762, Customers!$A:$A, 0)), 1, 0)</f>
        <v>0</v>
      </c>
      <c r="S762" s="94" t="b">
        <f>VLOOKUP(D762, Products!A:F, 6, FALSE)</f>
        <v>1</v>
      </c>
    </row>
    <row r="763" spans="1:19">
      <c r="A763" s="102" t="s">
        <v>1230</v>
      </c>
      <c r="B763" s="2">
        <v>45579</v>
      </c>
      <c r="C763" s="1" t="s">
        <v>1231</v>
      </c>
      <c r="D763" s="1" t="s">
        <v>237</v>
      </c>
      <c r="E763" s="1" t="s">
        <v>128</v>
      </c>
      <c r="F763" s="83">
        <v>9</v>
      </c>
      <c r="G763" s="92">
        <v>3640</v>
      </c>
      <c r="H763" s="3">
        <v>13.1</v>
      </c>
      <c r="I763" s="3">
        <v>28468.44</v>
      </c>
      <c r="J763" s="1" t="s">
        <v>93</v>
      </c>
      <c r="K763" s="1" t="s">
        <v>88</v>
      </c>
      <c r="L763" t="str">
        <f>VLOOKUP(D763, Products!A:C, 3, FALSE)</f>
        <v>Apparel</v>
      </c>
      <c r="M763" t="str">
        <f>VLOOKUP(C763, Customers!A:E, 5, FALSE)</f>
        <v>Retail</v>
      </c>
      <c r="N763">
        <f>VLOOKUP(C763, Customers!A:E, 3, FALSE)</f>
        <v>42</v>
      </c>
      <c r="O763" s="93" t="str">
        <f>VLOOKUP(E763, Sales_Reps!A:C, 3, FALSE)</f>
        <v>West</v>
      </c>
      <c r="P763">
        <f>VLOOKUP(D763, Products!A:E, 4, FALSE)</f>
        <v>2611</v>
      </c>
      <c r="Q763">
        <f>IF(COUNTIF($A$2:A763, A763)=2, 1, 0)</f>
        <v>0</v>
      </c>
      <c r="R763">
        <f>IF(ISNA(MATCH(C763, Customers!$A:$A, 0)), 1, 0)</f>
        <v>0</v>
      </c>
      <c r="S763" s="94" t="b">
        <f>VLOOKUP(D763, Products!A:F, 6, FALSE)</f>
        <v>1</v>
      </c>
    </row>
    <row r="764" spans="1:19">
      <c r="A764" s="102" t="s">
        <v>1232</v>
      </c>
      <c r="B764" s="2">
        <v>45634</v>
      </c>
      <c r="C764" s="1" t="s">
        <v>172</v>
      </c>
      <c r="D764" s="1" t="s">
        <v>295</v>
      </c>
      <c r="E764" s="1" t="s">
        <v>98</v>
      </c>
      <c r="F764" s="83">
        <v>2</v>
      </c>
      <c r="G764" s="92">
        <v>2030</v>
      </c>
      <c r="H764" s="3">
        <v>12.2</v>
      </c>
      <c r="I764" s="3">
        <v>3564.68</v>
      </c>
      <c r="J764" s="1" t="s">
        <v>87</v>
      </c>
      <c r="K764" s="1" t="s">
        <v>88</v>
      </c>
      <c r="L764" t="str">
        <f>VLOOKUP(D764, Products!A:C, 3, FALSE)</f>
        <v>Home</v>
      </c>
      <c r="M764" t="str">
        <f>VLOOKUP(C764, Customers!A:E, 5, FALSE)</f>
        <v>Retail</v>
      </c>
      <c r="N764">
        <f>VLOOKUP(C764, Customers!A:E, 3, FALSE)</f>
        <v>50</v>
      </c>
      <c r="O764" s="93" t="str">
        <f>VLOOKUP(E764, Sales_Reps!A:C, 3, FALSE)</f>
        <v>South</v>
      </c>
      <c r="P764">
        <f>VLOOKUP(D764, Products!A:E, 4, FALSE)</f>
        <v>1143</v>
      </c>
      <c r="Q764">
        <f>IF(COUNTIF($A$2:A764, A764)=2, 1, 0)</f>
        <v>0</v>
      </c>
      <c r="R764">
        <f>IF(ISNA(MATCH(C764, Customers!$A:$A, 0)), 1, 0)</f>
        <v>0</v>
      </c>
      <c r="S764" s="94" t="b">
        <f>VLOOKUP(D764, Products!A:F, 6, FALSE)</f>
        <v>1</v>
      </c>
    </row>
    <row r="765" spans="1:19">
      <c r="A765" s="102" t="s">
        <v>1233</v>
      </c>
      <c r="B765" s="2">
        <v>45471</v>
      </c>
      <c r="C765" s="1" t="s">
        <v>1234</v>
      </c>
      <c r="D765" s="1" t="s">
        <v>106</v>
      </c>
      <c r="E765" s="1" t="s">
        <v>297</v>
      </c>
      <c r="F765" s="83">
        <v>4</v>
      </c>
      <c r="G765" s="92">
        <v>3160</v>
      </c>
      <c r="H765" s="3">
        <v>7.5</v>
      </c>
      <c r="I765" s="3">
        <v>11692</v>
      </c>
      <c r="J765" s="1" t="s">
        <v>87</v>
      </c>
      <c r="K765" s="1" t="s">
        <v>112</v>
      </c>
      <c r="L765" t="str">
        <f>VLOOKUP(D765, Products!A:C, 3, FALSE)</f>
        <v>Apparel</v>
      </c>
      <c r="M765" t="str">
        <f>VLOOKUP(C765, Customers!A:E, 5, FALSE)</f>
        <v>Retail</v>
      </c>
      <c r="N765">
        <f>VLOOKUP(C765, Customers!A:E, 3, FALSE)</f>
        <v>29</v>
      </c>
      <c r="O765" s="93" t="str">
        <f>VLOOKUP(E765, Sales_Reps!A:C, 3, FALSE)</f>
        <v>North</v>
      </c>
      <c r="P765">
        <f>VLOOKUP(D765, Products!A:E, 4, FALSE)</f>
        <v>1886</v>
      </c>
      <c r="Q765">
        <f>IF(COUNTIF($A$2:A765, A765)=2, 1, 0)</f>
        <v>0</v>
      </c>
      <c r="R765">
        <f>IF(ISNA(MATCH(C765, Customers!$A:$A, 0)), 1, 0)</f>
        <v>0</v>
      </c>
      <c r="S765" s="94" t="b">
        <f>VLOOKUP(D765, Products!A:F, 6, FALSE)</f>
        <v>1</v>
      </c>
    </row>
    <row r="766" spans="1:19">
      <c r="A766" s="102" t="s">
        <v>1235</v>
      </c>
      <c r="B766" s="2">
        <v>45327</v>
      </c>
      <c r="C766" s="1" t="s">
        <v>764</v>
      </c>
      <c r="D766" s="1" t="s">
        <v>264</v>
      </c>
      <c r="E766" s="1" t="s">
        <v>229</v>
      </c>
      <c r="F766" s="83">
        <v>10</v>
      </c>
      <c r="G766" s="92">
        <v>4070</v>
      </c>
      <c r="H766" s="3">
        <v>8.3000000000000007</v>
      </c>
      <c r="I766" s="3">
        <v>37321.9</v>
      </c>
      <c r="J766" s="1" t="s">
        <v>87</v>
      </c>
      <c r="K766" s="1" t="s">
        <v>94</v>
      </c>
      <c r="L766" t="str">
        <f>VLOOKUP(D766, Products!A:C, 3, FALSE)</f>
        <v>Grocery</v>
      </c>
      <c r="M766" t="str">
        <f>VLOOKUP(C766, Customers!A:E, 5, FALSE)</f>
        <v>SMB</v>
      </c>
      <c r="N766">
        <f>VLOOKUP(C766, Customers!A:E, 3, FALSE)</f>
        <v>26</v>
      </c>
      <c r="O766" s="93" t="str">
        <f>VLOOKUP(E766, Sales_Reps!A:C, 3, FALSE)</f>
        <v>West</v>
      </c>
      <c r="P766">
        <f>VLOOKUP(D766, Products!A:E, 4, FALSE)</f>
        <v>2027</v>
      </c>
      <c r="Q766">
        <f>IF(COUNTIF($A$2:A766, A766)=2, 1, 0)</f>
        <v>0</v>
      </c>
      <c r="R766">
        <f>IF(ISNA(MATCH(C766, Customers!$A:$A, 0)), 1, 0)</f>
        <v>0</v>
      </c>
      <c r="S766" s="94" t="b">
        <f>VLOOKUP(D766, Products!A:F, 6, FALSE)</f>
        <v>1</v>
      </c>
    </row>
    <row r="767" spans="1:19">
      <c r="A767" s="102" t="s">
        <v>1236</v>
      </c>
      <c r="B767" s="2">
        <v>45343</v>
      </c>
      <c r="C767" s="1" t="s">
        <v>626</v>
      </c>
      <c r="D767" s="1" t="s">
        <v>351</v>
      </c>
      <c r="E767" s="1" t="s">
        <v>116</v>
      </c>
      <c r="F767" s="83">
        <v>8</v>
      </c>
      <c r="G767" s="92">
        <v>4060</v>
      </c>
      <c r="H767" s="3">
        <v>8.5</v>
      </c>
      <c r="I767" s="3">
        <v>29719.200000000001</v>
      </c>
      <c r="J767" s="1" t="s">
        <v>87</v>
      </c>
      <c r="K767" s="1" t="s">
        <v>99</v>
      </c>
      <c r="L767" t="str">
        <f>VLOOKUP(D767, Products!A:C, 3, FALSE)</f>
        <v>Grocery</v>
      </c>
      <c r="M767" t="str">
        <f>VLOOKUP(C767, Customers!A:E, 5, FALSE)</f>
        <v>Retail</v>
      </c>
      <c r="N767">
        <f>VLOOKUP(C767, Customers!A:E, 3, FALSE)</f>
        <v>40</v>
      </c>
      <c r="O767" s="93" t="str">
        <f>VLOOKUP(E767, Sales_Reps!A:C, 3, FALSE)</f>
        <v>West</v>
      </c>
      <c r="P767">
        <f>VLOOKUP(D767, Products!A:E, 4, FALSE)</f>
        <v>2911</v>
      </c>
      <c r="Q767">
        <f>IF(COUNTIF($A$2:A767, A767)=2, 1, 0)</f>
        <v>0</v>
      </c>
      <c r="R767">
        <f>IF(ISNA(MATCH(C767, Customers!$A:$A, 0)), 1, 0)</f>
        <v>0</v>
      </c>
      <c r="S767" s="94" t="b">
        <f>VLOOKUP(D767, Products!A:F, 6, FALSE)</f>
        <v>1</v>
      </c>
    </row>
    <row r="768" spans="1:19">
      <c r="A768" s="102" t="s">
        <v>1237</v>
      </c>
      <c r="B768" s="2">
        <v>45334</v>
      </c>
      <c r="C768" s="1" t="s">
        <v>729</v>
      </c>
      <c r="D768" s="1" t="s">
        <v>115</v>
      </c>
      <c r="E768" s="1" t="s">
        <v>303</v>
      </c>
      <c r="F768" s="83">
        <v>8</v>
      </c>
      <c r="G768" s="92">
        <v>960</v>
      </c>
      <c r="H768" s="3">
        <v>8.6999999999999993</v>
      </c>
      <c r="I768" s="3">
        <v>7011.84</v>
      </c>
      <c r="J768" s="1" t="s">
        <v>87</v>
      </c>
      <c r="K768" s="1" t="s">
        <v>112</v>
      </c>
      <c r="L768" t="str">
        <f>VLOOKUP(D768, Products!A:C, 3, FALSE)</f>
        <v>Sports</v>
      </c>
      <c r="M768" t="str">
        <f>VLOOKUP(C768, Customers!A:E, 5, FALSE)</f>
        <v>Retail</v>
      </c>
      <c r="N768">
        <f>VLOOKUP(C768, Customers!A:E, 3, FALSE)</f>
        <v>56</v>
      </c>
      <c r="O768" s="93" t="str">
        <f>VLOOKUP(E768, Sales_Reps!A:C, 3, FALSE)</f>
        <v>East</v>
      </c>
      <c r="P768">
        <f>VLOOKUP(D768, Products!A:E, 4, FALSE)</f>
        <v>705</v>
      </c>
      <c r="Q768">
        <f>IF(COUNTIF($A$2:A768, A768)=2, 1, 0)</f>
        <v>0</v>
      </c>
      <c r="R768">
        <f>IF(ISNA(MATCH(C768, Customers!$A:$A, 0)), 1, 0)</f>
        <v>0</v>
      </c>
      <c r="S768" s="94" t="b">
        <f>VLOOKUP(D768, Products!A:F, 6, FALSE)</f>
        <v>1</v>
      </c>
    </row>
    <row r="769" spans="1:19">
      <c r="A769" s="102" t="s">
        <v>1238</v>
      </c>
      <c r="B769" s="2">
        <v>45306</v>
      </c>
      <c r="C769" s="1" t="s">
        <v>676</v>
      </c>
      <c r="D769" s="1" t="s">
        <v>245</v>
      </c>
      <c r="E769" s="1" t="s">
        <v>343</v>
      </c>
      <c r="F769" s="83">
        <v>2</v>
      </c>
      <c r="G769" s="92">
        <v>2270</v>
      </c>
      <c r="H769" s="3">
        <v>10.199999999999999</v>
      </c>
      <c r="I769" s="3">
        <v>4076.92</v>
      </c>
      <c r="J769" s="1" t="s">
        <v>87</v>
      </c>
      <c r="K769" s="1" t="s">
        <v>88</v>
      </c>
      <c r="L769" t="str">
        <f>VLOOKUP(D769, Products!A:C, 3, FALSE)</f>
        <v>Grocery</v>
      </c>
      <c r="M769" t="str">
        <f>VLOOKUP(C769, Customers!A:E, 5, FALSE)</f>
        <v>SMB</v>
      </c>
      <c r="N769">
        <f>VLOOKUP(C769, Customers!A:E, 3, FALSE)</f>
        <v>35</v>
      </c>
      <c r="O769" s="93" t="str">
        <f>VLOOKUP(E769, Sales_Reps!A:C, 3, FALSE)</f>
        <v>West</v>
      </c>
      <c r="P769">
        <f>VLOOKUP(D769, Products!A:E, 4, FALSE)</f>
        <v>1412</v>
      </c>
      <c r="Q769">
        <f>IF(COUNTIF($A$2:A769, A769)=2, 1, 0)</f>
        <v>0</v>
      </c>
      <c r="R769">
        <f>IF(ISNA(MATCH(C769, Customers!$A:$A, 0)), 1, 0)</f>
        <v>0</v>
      </c>
      <c r="S769" s="94" t="b">
        <f>VLOOKUP(D769, Products!A:F, 6, FALSE)</f>
        <v>1</v>
      </c>
    </row>
    <row r="770" spans="1:19">
      <c r="A770" s="102" t="s">
        <v>1239</v>
      </c>
      <c r="B770" s="2">
        <v>45296</v>
      </c>
      <c r="C770" s="1" t="s">
        <v>299</v>
      </c>
      <c r="D770" s="1" t="s">
        <v>234</v>
      </c>
      <c r="E770" s="1" t="s">
        <v>86</v>
      </c>
      <c r="F770" s="83">
        <v>1</v>
      </c>
      <c r="G770" s="92">
        <v>3780</v>
      </c>
      <c r="H770" s="3">
        <v>15.3</v>
      </c>
      <c r="I770" s="3">
        <v>3201.66</v>
      </c>
      <c r="J770" s="1" t="s">
        <v>140</v>
      </c>
      <c r="K770" s="1" t="s">
        <v>133</v>
      </c>
      <c r="L770" t="str">
        <f>VLOOKUP(D770, Products!A:C, 3, FALSE)</f>
        <v>Grocery</v>
      </c>
      <c r="M770" t="str">
        <f>VLOOKUP(C770, Customers!A:E, 5, FALSE)</f>
        <v>Retail</v>
      </c>
      <c r="N770">
        <f>VLOOKUP(C770, Customers!A:E, 3, FALSE)</f>
        <v>29</v>
      </c>
      <c r="O770" s="93" t="str">
        <f>VLOOKUP(E770, Sales_Reps!A:C, 3, FALSE)</f>
        <v>North</v>
      </c>
      <c r="P770">
        <f>VLOOKUP(D770, Products!A:E, 4, FALSE)</f>
        <v>2436</v>
      </c>
      <c r="Q770">
        <f>IF(COUNTIF($A$2:A770, A770)=2, 1, 0)</f>
        <v>0</v>
      </c>
      <c r="R770">
        <f>IF(ISNA(MATCH(C770, Customers!$A:$A, 0)), 1, 0)</f>
        <v>0</v>
      </c>
      <c r="S770" s="94" t="b">
        <f>VLOOKUP(D770, Products!A:F, 6, FALSE)</f>
        <v>1</v>
      </c>
    </row>
    <row r="771" spans="1:19">
      <c r="A771" s="102" t="s">
        <v>1240</v>
      </c>
      <c r="B771" s="2">
        <v>45489</v>
      </c>
      <c r="C771" s="1" t="s">
        <v>874</v>
      </c>
      <c r="D771" s="1" t="s">
        <v>386</v>
      </c>
      <c r="E771" s="1" t="s">
        <v>128</v>
      </c>
      <c r="F771" s="83">
        <v>10</v>
      </c>
      <c r="G771" s="92">
        <v>2290</v>
      </c>
      <c r="H771" s="3">
        <v>2.4</v>
      </c>
      <c r="I771" s="3">
        <v>22350.400000000001</v>
      </c>
      <c r="J771" s="1" t="s">
        <v>93</v>
      </c>
      <c r="K771" s="1" t="s">
        <v>112</v>
      </c>
      <c r="L771" t="str">
        <f>VLOOKUP(D771, Products!A:C, 3, FALSE)</f>
        <v>Beauty</v>
      </c>
      <c r="M771" t="str">
        <f>VLOOKUP(C771, Customers!A:E, 5, FALSE)</f>
        <v>Retail</v>
      </c>
      <c r="N771">
        <f>VLOOKUP(C771, Customers!A:E, 3, FALSE)</f>
        <v>57</v>
      </c>
      <c r="O771" s="93" t="str">
        <f>VLOOKUP(E771, Sales_Reps!A:C, 3, FALSE)</f>
        <v>West</v>
      </c>
      <c r="P771">
        <f>VLOOKUP(D771, Products!A:E, 4, FALSE)</f>
        <v>1219</v>
      </c>
      <c r="Q771">
        <f>IF(COUNTIF($A$2:A771, A771)=2, 1, 0)</f>
        <v>0</v>
      </c>
      <c r="R771">
        <f>IF(ISNA(MATCH(C771, Customers!$A:$A, 0)), 1, 0)</f>
        <v>0</v>
      </c>
      <c r="S771" s="94" t="b">
        <f>VLOOKUP(D771, Products!A:F, 6, FALSE)</f>
        <v>1</v>
      </c>
    </row>
    <row r="772" spans="1:19">
      <c r="A772" s="102" t="s">
        <v>1241</v>
      </c>
      <c r="B772" s="2">
        <v>45416</v>
      </c>
      <c r="C772" s="1" t="s">
        <v>1231</v>
      </c>
      <c r="D772" s="1" t="s">
        <v>179</v>
      </c>
      <c r="E772" s="1" t="s">
        <v>238</v>
      </c>
      <c r="F772" s="83">
        <v>5</v>
      </c>
      <c r="G772" s="92">
        <v>3350</v>
      </c>
      <c r="H772" s="3">
        <v>18.5</v>
      </c>
      <c r="I772" s="3">
        <v>13651.25</v>
      </c>
      <c r="J772" s="1" t="s">
        <v>140</v>
      </c>
      <c r="K772" s="1" t="s">
        <v>88</v>
      </c>
      <c r="L772" t="str">
        <f>VLOOKUP(D772, Products!A:C, 3, FALSE)</f>
        <v>Beauty</v>
      </c>
      <c r="M772" t="str">
        <f>VLOOKUP(C772, Customers!A:E, 5, FALSE)</f>
        <v>Retail</v>
      </c>
      <c r="N772">
        <f>VLOOKUP(C772, Customers!A:E, 3, FALSE)</f>
        <v>42</v>
      </c>
      <c r="O772" s="93" t="str">
        <f>VLOOKUP(E772, Sales_Reps!A:C, 3, FALSE)</f>
        <v>East</v>
      </c>
      <c r="P772">
        <f>VLOOKUP(D772, Products!A:E, 4, FALSE)</f>
        <v>1728</v>
      </c>
      <c r="Q772">
        <f>IF(COUNTIF($A$2:A772, A772)=2, 1, 0)</f>
        <v>0</v>
      </c>
      <c r="R772">
        <f>IF(ISNA(MATCH(C772, Customers!$A:$A, 0)), 1, 0)</f>
        <v>0</v>
      </c>
      <c r="S772" s="94" t="b">
        <f>VLOOKUP(D772, Products!A:F, 6, FALSE)</f>
        <v>1</v>
      </c>
    </row>
    <row r="773" spans="1:19">
      <c r="A773" s="102" t="s">
        <v>1242</v>
      </c>
      <c r="B773" s="2">
        <v>45347</v>
      </c>
      <c r="C773" s="1" t="s">
        <v>308</v>
      </c>
      <c r="D773" s="1" t="s">
        <v>355</v>
      </c>
      <c r="E773" s="1" t="s">
        <v>158</v>
      </c>
      <c r="F773" s="83">
        <v>7</v>
      </c>
      <c r="G773" s="92">
        <v>2510</v>
      </c>
      <c r="H773" s="3">
        <v>4.2</v>
      </c>
      <c r="I773" s="3">
        <v>16832.060000000001</v>
      </c>
      <c r="J773" s="1" t="s">
        <v>140</v>
      </c>
      <c r="K773" s="1" t="s">
        <v>88</v>
      </c>
      <c r="L773" t="str">
        <f>VLOOKUP(D773, Products!A:C, 3, FALSE)</f>
        <v>Apparel</v>
      </c>
      <c r="M773" t="str">
        <f>VLOOKUP(C773, Customers!A:E, 5, FALSE)</f>
        <v>SMB</v>
      </c>
      <c r="N773">
        <f>VLOOKUP(C773, Customers!A:E, 3, FALSE)</f>
        <v>54</v>
      </c>
      <c r="O773" s="93" t="str">
        <f>VLOOKUP(E773, Sales_Reps!A:C, 3, FALSE)</f>
        <v>East</v>
      </c>
      <c r="P773">
        <f>VLOOKUP(D773, Products!A:E, 4, FALSE)</f>
        <v>1075</v>
      </c>
      <c r="Q773">
        <f>IF(COUNTIF($A$2:A773, A773)=2, 1, 0)</f>
        <v>0</v>
      </c>
      <c r="R773">
        <f>IF(ISNA(MATCH(C773, Customers!$A:$A, 0)), 1, 0)</f>
        <v>0</v>
      </c>
      <c r="S773" s="94" t="b">
        <f>VLOOKUP(D773, Products!A:F, 6, FALSE)</f>
        <v>0</v>
      </c>
    </row>
    <row r="774" spans="1:19">
      <c r="A774" s="102" t="s">
        <v>1243</v>
      </c>
      <c r="B774" s="2">
        <v>45652</v>
      </c>
      <c r="C774" s="1" t="s">
        <v>163</v>
      </c>
      <c r="D774" s="1" t="s">
        <v>138</v>
      </c>
      <c r="E774" s="1" t="s">
        <v>303</v>
      </c>
      <c r="F774" s="83">
        <v>1</v>
      </c>
      <c r="G774" s="92">
        <v>2600</v>
      </c>
      <c r="H774" s="3">
        <v>2.2000000000000002</v>
      </c>
      <c r="I774" s="3">
        <v>2542.8000000000002</v>
      </c>
      <c r="J774" s="1" t="s">
        <v>87</v>
      </c>
      <c r="K774" s="1" t="s">
        <v>94</v>
      </c>
      <c r="L774" t="str">
        <f>VLOOKUP(D774, Products!A:C, 3, FALSE)</f>
        <v>Electronics</v>
      </c>
      <c r="M774" t="str">
        <f>VLOOKUP(C774, Customers!A:E, 5, FALSE)</f>
        <v>Retail</v>
      </c>
      <c r="N774">
        <f>VLOOKUP(C774, Customers!A:E, 3, FALSE)</f>
        <v>49</v>
      </c>
      <c r="O774" s="93" t="str">
        <f>VLOOKUP(E774, Sales_Reps!A:C, 3, FALSE)</f>
        <v>East</v>
      </c>
      <c r="P774">
        <f>VLOOKUP(D774, Products!A:E, 4, FALSE)</f>
        <v>1052</v>
      </c>
      <c r="Q774">
        <f>IF(COUNTIF($A$2:A774, A774)=2, 1, 0)</f>
        <v>0</v>
      </c>
      <c r="R774">
        <f>IF(ISNA(MATCH(C774, Customers!$A:$A, 0)), 1, 0)</f>
        <v>0</v>
      </c>
      <c r="S774" s="94" t="b">
        <f>VLOOKUP(D774, Products!A:F, 6, FALSE)</f>
        <v>1</v>
      </c>
    </row>
    <row r="775" spans="1:19">
      <c r="A775" s="102" t="s">
        <v>1244</v>
      </c>
      <c r="B775" s="2">
        <v>45467</v>
      </c>
      <c r="C775" s="1" t="s">
        <v>429</v>
      </c>
      <c r="D775" s="1" t="s">
        <v>97</v>
      </c>
      <c r="E775" s="1" t="s">
        <v>148</v>
      </c>
      <c r="F775" s="83">
        <v>8</v>
      </c>
      <c r="G775" s="92">
        <v>470</v>
      </c>
      <c r="H775" s="3">
        <v>25.2</v>
      </c>
      <c r="I775" s="3">
        <v>2812.48</v>
      </c>
      <c r="J775" s="1" t="s">
        <v>87</v>
      </c>
      <c r="K775" s="1" t="s">
        <v>117</v>
      </c>
      <c r="L775" t="str">
        <f>VLOOKUP(D775, Products!A:C, 3, FALSE)</f>
        <v>Sports</v>
      </c>
      <c r="M775" t="str">
        <f>VLOOKUP(C775, Customers!A:E, 5, FALSE)</f>
        <v>Retail</v>
      </c>
      <c r="N775">
        <f>VLOOKUP(C775, Customers!A:E, 3, FALSE)</f>
        <v>55</v>
      </c>
      <c r="O775" s="93" t="str">
        <f>VLOOKUP(E775, Sales_Reps!A:C, 3, FALSE)</f>
        <v>North</v>
      </c>
      <c r="P775">
        <f>VLOOKUP(D775, Products!A:E, 4, FALSE)</f>
        <v>302</v>
      </c>
      <c r="Q775">
        <f>IF(COUNTIF($A$2:A775, A775)=2, 1, 0)</f>
        <v>0</v>
      </c>
      <c r="R775">
        <f>IF(ISNA(MATCH(C775, Customers!$A:$A, 0)), 1, 0)</f>
        <v>0</v>
      </c>
      <c r="S775" s="94" t="b">
        <f>VLOOKUP(D775, Products!A:F, 6, FALSE)</f>
        <v>0</v>
      </c>
    </row>
    <row r="776" spans="1:19">
      <c r="A776" s="102" t="s">
        <v>1245</v>
      </c>
      <c r="B776" s="2">
        <v>45558</v>
      </c>
      <c r="C776" s="1" t="s">
        <v>197</v>
      </c>
      <c r="D776" s="1" t="s">
        <v>164</v>
      </c>
      <c r="E776" s="1" t="s">
        <v>325</v>
      </c>
      <c r="F776" s="83">
        <v>6</v>
      </c>
      <c r="G776" s="92">
        <v>1080</v>
      </c>
      <c r="H776" s="3">
        <v>25</v>
      </c>
      <c r="I776" s="3">
        <v>4860</v>
      </c>
      <c r="J776" s="1" t="s">
        <v>87</v>
      </c>
      <c r="K776" s="1" t="s">
        <v>88</v>
      </c>
      <c r="L776" t="str">
        <f>VLOOKUP(D776, Products!A:C, 3, FALSE)</f>
        <v>Home</v>
      </c>
      <c r="M776" t="str">
        <f>VLOOKUP(C776, Customers!A:E, 5, FALSE)</f>
        <v>Corporate</v>
      </c>
      <c r="N776">
        <f>VLOOKUP(C776, Customers!A:E, 3, FALSE)</f>
        <v>47</v>
      </c>
      <c r="O776" s="93" t="str">
        <f>VLOOKUP(E776, Sales_Reps!A:C, 3, FALSE)</f>
        <v>South</v>
      </c>
      <c r="P776">
        <f>VLOOKUP(D776, Products!A:E, 4, FALSE)</f>
        <v>519</v>
      </c>
      <c r="Q776">
        <f>IF(COUNTIF($A$2:A776, A776)=2, 1, 0)</f>
        <v>0</v>
      </c>
      <c r="R776">
        <f>IF(ISNA(MATCH(C776, Customers!$A:$A, 0)), 1, 0)</f>
        <v>0</v>
      </c>
      <c r="S776" s="94" t="b">
        <f>VLOOKUP(D776, Products!A:F, 6, FALSE)</f>
        <v>1</v>
      </c>
    </row>
    <row r="777" spans="1:19">
      <c r="A777" s="102" t="s">
        <v>1246</v>
      </c>
      <c r="B777" s="2">
        <v>45645</v>
      </c>
      <c r="C777" s="1" t="s">
        <v>84</v>
      </c>
      <c r="D777" s="1" t="s">
        <v>182</v>
      </c>
      <c r="E777" s="1" t="s">
        <v>121</v>
      </c>
      <c r="F777" s="83">
        <v>2</v>
      </c>
      <c r="G777" s="92">
        <v>1010</v>
      </c>
      <c r="H777" s="3">
        <v>16.100000000000001</v>
      </c>
      <c r="I777" s="3">
        <v>1694.78</v>
      </c>
      <c r="J777" s="1" t="s">
        <v>87</v>
      </c>
      <c r="K777" s="1" t="s">
        <v>88</v>
      </c>
      <c r="L777" t="str">
        <f>VLOOKUP(D777, Products!A:C, 3, FALSE)</f>
        <v>Sports</v>
      </c>
      <c r="M777" t="str">
        <f>VLOOKUP(C777, Customers!A:E, 5, FALSE)</f>
        <v>SMB</v>
      </c>
      <c r="N777">
        <f>VLOOKUP(C777, Customers!A:E, 3, FALSE)</f>
        <v>44</v>
      </c>
      <c r="O777" s="93" t="str">
        <f>VLOOKUP(E777, Sales_Reps!A:C, 3, FALSE)</f>
        <v>East</v>
      </c>
      <c r="P777">
        <f>VLOOKUP(D777, Products!A:E, 4, FALSE)</f>
        <v>516</v>
      </c>
      <c r="Q777">
        <f>IF(COUNTIF($A$2:A777, A777)=2, 1, 0)</f>
        <v>0</v>
      </c>
      <c r="R777">
        <f>IF(ISNA(MATCH(C777, Customers!$A:$A, 0)), 1, 0)</f>
        <v>0</v>
      </c>
      <c r="S777" s="94" t="b">
        <f>VLOOKUP(D777, Products!A:F, 6, FALSE)</f>
        <v>1</v>
      </c>
    </row>
    <row r="778" spans="1:19">
      <c r="A778" s="102" t="s">
        <v>1247</v>
      </c>
      <c r="B778" s="2">
        <v>45418</v>
      </c>
      <c r="C778" s="1" t="s">
        <v>725</v>
      </c>
      <c r="D778" s="1" t="s">
        <v>248</v>
      </c>
      <c r="E778" s="1" t="s">
        <v>297</v>
      </c>
      <c r="F778" s="83">
        <v>6</v>
      </c>
      <c r="G778" s="92">
        <v>3870</v>
      </c>
      <c r="H778" s="3">
        <v>22.4</v>
      </c>
      <c r="I778" s="3">
        <v>18018.72</v>
      </c>
      <c r="J778" s="1" t="s">
        <v>140</v>
      </c>
      <c r="K778" s="1" t="s">
        <v>99</v>
      </c>
      <c r="L778" t="str">
        <f>VLOOKUP(D778, Products!A:C, 3, FALSE)</f>
        <v>Electronics</v>
      </c>
      <c r="M778" t="str">
        <f>VLOOKUP(C778, Customers!A:E, 5, FALSE)</f>
        <v>SMB</v>
      </c>
      <c r="N778">
        <f>VLOOKUP(C778, Customers!A:E, 3, FALSE)</f>
        <v>26</v>
      </c>
      <c r="O778" s="93" t="str">
        <f>VLOOKUP(E778, Sales_Reps!A:C, 3, FALSE)</f>
        <v>North</v>
      </c>
      <c r="P778">
        <f>VLOOKUP(D778, Products!A:E, 4, FALSE)</f>
        <v>1559</v>
      </c>
      <c r="Q778">
        <f>IF(COUNTIF($A$2:A778, A778)=2, 1, 0)</f>
        <v>0</v>
      </c>
      <c r="R778">
        <f>IF(ISNA(MATCH(C778, Customers!$A:$A, 0)), 1, 0)</f>
        <v>0</v>
      </c>
      <c r="S778" s="94" t="b">
        <f>VLOOKUP(D778, Products!A:F, 6, FALSE)</f>
        <v>1</v>
      </c>
    </row>
    <row r="779" spans="1:19">
      <c r="A779" s="102" t="s">
        <v>1248</v>
      </c>
      <c r="B779" s="2">
        <v>45655</v>
      </c>
      <c r="C779" s="1" t="s">
        <v>613</v>
      </c>
      <c r="D779" s="1" t="s">
        <v>295</v>
      </c>
      <c r="E779" s="1" t="s">
        <v>343</v>
      </c>
      <c r="F779" s="83">
        <v>3</v>
      </c>
      <c r="G779" s="92">
        <v>2030</v>
      </c>
      <c r="H779" s="3">
        <v>18.5</v>
      </c>
      <c r="I779" s="3">
        <v>4963.3500000000004</v>
      </c>
      <c r="J779" s="1" t="s">
        <v>87</v>
      </c>
      <c r="K779" s="1" t="s">
        <v>112</v>
      </c>
      <c r="L779" t="str">
        <f>VLOOKUP(D779, Products!A:C, 3, FALSE)</f>
        <v>Home</v>
      </c>
      <c r="M779" t="str">
        <f>VLOOKUP(C779, Customers!A:E, 5, FALSE)</f>
        <v>Retail</v>
      </c>
      <c r="N779">
        <f>VLOOKUP(C779, Customers!A:E, 3, FALSE)</f>
        <v>44</v>
      </c>
      <c r="O779" s="93" t="str">
        <f>VLOOKUP(E779, Sales_Reps!A:C, 3, FALSE)</f>
        <v>West</v>
      </c>
      <c r="P779">
        <f>VLOOKUP(D779, Products!A:E, 4, FALSE)</f>
        <v>1143</v>
      </c>
      <c r="Q779">
        <f>IF(COUNTIF($A$2:A779, A779)=2, 1, 0)</f>
        <v>0</v>
      </c>
      <c r="R779">
        <f>IF(ISNA(MATCH(C779, Customers!$A:$A, 0)), 1, 0)</f>
        <v>0</v>
      </c>
      <c r="S779" s="94" t="b">
        <f>VLOOKUP(D779, Products!A:F, 6, FALSE)</f>
        <v>1</v>
      </c>
    </row>
    <row r="780" spans="1:19">
      <c r="A780" s="102" t="s">
        <v>1249</v>
      </c>
      <c r="B780" s="2">
        <v>45540</v>
      </c>
      <c r="C780" s="1" t="s">
        <v>1250</v>
      </c>
      <c r="D780" s="1" t="s">
        <v>164</v>
      </c>
      <c r="E780" s="1" t="s">
        <v>343</v>
      </c>
      <c r="F780" s="83">
        <v>7</v>
      </c>
      <c r="G780" s="92">
        <v>1080</v>
      </c>
      <c r="H780" s="3">
        <v>6.8</v>
      </c>
      <c r="I780" s="3">
        <v>7045.92</v>
      </c>
      <c r="J780" s="1" t="s">
        <v>93</v>
      </c>
      <c r="K780" s="1" t="s">
        <v>88</v>
      </c>
      <c r="L780" t="str">
        <f>VLOOKUP(D780, Products!A:C, 3, FALSE)</f>
        <v>Home</v>
      </c>
      <c r="M780" t="str">
        <f>VLOOKUP(C780, Customers!A:E, 5, FALSE)</f>
        <v>Retail</v>
      </c>
      <c r="N780">
        <f>VLOOKUP(C780, Customers!A:E, 3, FALSE)</f>
        <v>44</v>
      </c>
      <c r="O780" s="93" t="str">
        <f>VLOOKUP(E780, Sales_Reps!A:C, 3, FALSE)</f>
        <v>West</v>
      </c>
      <c r="P780">
        <f>VLOOKUP(D780, Products!A:E, 4, FALSE)</f>
        <v>519</v>
      </c>
      <c r="Q780">
        <f>IF(COUNTIF($A$2:A780, A780)=2, 1, 0)</f>
        <v>0</v>
      </c>
      <c r="R780">
        <f>IF(ISNA(MATCH(C780, Customers!$A:$A, 0)), 1, 0)</f>
        <v>0</v>
      </c>
      <c r="S780" s="94" t="b">
        <f>VLOOKUP(D780, Products!A:F, 6, FALSE)</f>
        <v>1</v>
      </c>
    </row>
    <row r="781" spans="1:19">
      <c r="A781" s="102" t="s">
        <v>1251</v>
      </c>
      <c r="B781" s="2">
        <v>45609</v>
      </c>
      <c r="C781" s="1" t="s">
        <v>362</v>
      </c>
      <c r="D781" s="1" t="s">
        <v>502</v>
      </c>
      <c r="E781" s="1" t="s">
        <v>204</v>
      </c>
      <c r="F781" s="83">
        <v>1</v>
      </c>
      <c r="G781" s="92">
        <v>1090</v>
      </c>
      <c r="H781" s="3">
        <v>20.6</v>
      </c>
      <c r="I781" s="3">
        <v>865.46</v>
      </c>
      <c r="J781" s="1" t="s">
        <v>87</v>
      </c>
      <c r="K781" s="1" t="s">
        <v>94</v>
      </c>
      <c r="L781" t="str">
        <f>VLOOKUP(D781, Products!A:C, 3, FALSE)</f>
        <v>Home</v>
      </c>
      <c r="M781" t="str">
        <f>VLOOKUP(C781, Customers!A:E, 5, FALSE)</f>
        <v>Corporate</v>
      </c>
      <c r="N781">
        <f>VLOOKUP(C781, Customers!A:E, 3, FALSE)</f>
        <v>51</v>
      </c>
      <c r="O781" s="93" t="str">
        <f>VLOOKUP(E781, Sales_Reps!A:C, 3, FALSE)</f>
        <v>South</v>
      </c>
      <c r="P781">
        <f>VLOOKUP(D781, Products!A:E, 4, FALSE)</f>
        <v>464</v>
      </c>
      <c r="Q781">
        <f>IF(COUNTIF($A$2:A781, A781)=2, 1, 0)</f>
        <v>0</v>
      </c>
      <c r="R781">
        <f>IF(ISNA(MATCH(C781, Customers!$A:$A, 0)), 1, 0)</f>
        <v>0</v>
      </c>
      <c r="S781" s="94" t="b">
        <f>VLOOKUP(D781, Products!A:F, 6, FALSE)</f>
        <v>1</v>
      </c>
    </row>
    <row r="782" spans="1:19">
      <c r="A782" s="102" t="s">
        <v>1252</v>
      </c>
      <c r="B782" s="2">
        <v>45528</v>
      </c>
      <c r="C782" s="1" t="s">
        <v>328</v>
      </c>
      <c r="D782" s="1" t="s">
        <v>110</v>
      </c>
      <c r="E782" s="1" t="s">
        <v>273</v>
      </c>
      <c r="F782" s="83">
        <v>8</v>
      </c>
      <c r="G782" s="92">
        <v>370</v>
      </c>
      <c r="H782" s="3">
        <v>1.7</v>
      </c>
      <c r="I782" s="3">
        <v>2909.68</v>
      </c>
      <c r="J782" s="1" t="s">
        <v>87</v>
      </c>
      <c r="K782" s="1" t="s">
        <v>94</v>
      </c>
      <c r="L782" t="str">
        <f>VLOOKUP(D782, Products!A:C, 3, FALSE)</f>
        <v>Home</v>
      </c>
      <c r="M782" t="str">
        <f>VLOOKUP(C782, Customers!A:E, 5, FALSE)</f>
        <v>Retail</v>
      </c>
      <c r="N782">
        <f>VLOOKUP(C782, Customers!A:E, 3, FALSE)</f>
        <v>28</v>
      </c>
      <c r="O782" s="93" t="str">
        <f>VLOOKUP(E782, Sales_Reps!A:C, 3, FALSE)</f>
        <v>South</v>
      </c>
      <c r="P782">
        <f>VLOOKUP(D782, Products!A:E, 4, FALSE)</f>
        <v>288</v>
      </c>
      <c r="Q782">
        <f>IF(COUNTIF($A$2:A782, A782)=2, 1, 0)</f>
        <v>0</v>
      </c>
      <c r="R782">
        <f>IF(ISNA(MATCH(C782, Customers!$A:$A, 0)), 1, 0)</f>
        <v>0</v>
      </c>
      <c r="S782" s="94" t="b">
        <f>VLOOKUP(D782, Products!A:F, 6, FALSE)</f>
        <v>1</v>
      </c>
    </row>
    <row r="783" spans="1:19">
      <c r="A783" s="102" t="s">
        <v>1253</v>
      </c>
      <c r="B783" s="2">
        <v>45625</v>
      </c>
      <c r="C783" s="1" t="s">
        <v>1051</v>
      </c>
      <c r="D783" s="1" t="s">
        <v>659</v>
      </c>
      <c r="E783" s="1" t="s">
        <v>303</v>
      </c>
      <c r="F783" s="83">
        <v>7</v>
      </c>
      <c r="G783" s="92">
        <v>3560</v>
      </c>
      <c r="H783" s="3">
        <v>28.7</v>
      </c>
      <c r="I783" s="3">
        <v>17767.96</v>
      </c>
      <c r="J783" s="1" t="s">
        <v>87</v>
      </c>
      <c r="K783" s="1" t="s">
        <v>112</v>
      </c>
      <c r="L783" t="str">
        <f>VLOOKUP(D783, Products!A:C, 3, FALSE)</f>
        <v>Apparel</v>
      </c>
      <c r="M783" t="str">
        <f>VLOOKUP(C783, Customers!A:E, 5, FALSE)</f>
        <v>Retail</v>
      </c>
      <c r="N783">
        <f>VLOOKUP(C783, Customers!A:E, 3, FALSE)</f>
        <v>54</v>
      </c>
      <c r="O783" s="93" t="str">
        <f>VLOOKUP(E783, Sales_Reps!A:C, 3, FALSE)</f>
        <v>East</v>
      </c>
      <c r="P783">
        <f>VLOOKUP(D783, Products!A:E, 4, FALSE)</f>
        <v>2629</v>
      </c>
      <c r="Q783">
        <f>IF(COUNTIF($A$2:A783, A783)=2, 1, 0)</f>
        <v>0</v>
      </c>
      <c r="R783">
        <f>IF(ISNA(MATCH(C783, Customers!$A:$A, 0)), 1, 0)</f>
        <v>0</v>
      </c>
      <c r="S783" s="94" t="b">
        <f>VLOOKUP(D783, Products!A:F, 6, FALSE)</f>
        <v>1</v>
      </c>
    </row>
    <row r="784" spans="1:19">
      <c r="A784" s="102" t="s">
        <v>1254</v>
      </c>
      <c r="B784" s="2">
        <v>45444</v>
      </c>
      <c r="C784" s="1" t="s">
        <v>559</v>
      </c>
      <c r="D784" s="1" t="s">
        <v>241</v>
      </c>
      <c r="E784" s="1" t="s">
        <v>346</v>
      </c>
      <c r="F784" s="83">
        <v>9</v>
      </c>
      <c r="G784" s="92">
        <v>6080</v>
      </c>
      <c r="H784" s="3">
        <v>16.3</v>
      </c>
      <c r="I784" s="3">
        <v>45800.639999999999</v>
      </c>
      <c r="J784" s="1" t="s">
        <v>140</v>
      </c>
      <c r="K784" s="1" t="s">
        <v>88</v>
      </c>
      <c r="L784" t="str">
        <f>VLOOKUP(D784, Products!A:C, 3, FALSE)</f>
        <v>Beauty</v>
      </c>
      <c r="M784" t="str">
        <f>VLOOKUP(C784, Customers!A:E, 5, FALSE)</f>
        <v>Retail</v>
      </c>
      <c r="N784">
        <f>VLOOKUP(C784, Customers!A:E, 3, FALSE)</f>
        <v>62</v>
      </c>
      <c r="O784" s="93" t="str">
        <f>VLOOKUP(E784, Sales_Reps!A:C, 3, FALSE)</f>
        <v>South</v>
      </c>
      <c r="P784">
        <f>VLOOKUP(D784, Products!A:E, 4, FALSE)</f>
        <v>2617</v>
      </c>
      <c r="Q784">
        <f>IF(COUNTIF($A$2:A784, A784)=2, 1, 0)</f>
        <v>0</v>
      </c>
      <c r="R784">
        <f>IF(ISNA(MATCH(C784, Customers!$A:$A, 0)), 1, 0)</f>
        <v>0</v>
      </c>
      <c r="S784" s="94" t="b">
        <f>VLOOKUP(D784, Products!A:F, 6, FALSE)</f>
        <v>1</v>
      </c>
    </row>
    <row r="785" spans="1:19">
      <c r="A785" s="102" t="s">
        <v>1255</v>
      </c>
      <c r="B785" s="2">
        <v>45505</v>
      </c>
      <c r="C785" s="1" t="s">
        <v>156</v>
      </c>
      <c r="D785" s="1" t="s">
        <v>161</v>
      </c>
      <c r="E785" s="1" t="s">
        <v>188</v>
      </c>
      <c r="F785" s="83">
        <v>2</v>
      </c>
      <c r="G785" s="92">
        <v>3450</v>
      </c>
      <c r="H785" s="3">
        <v>17.600000000000001</v>
      </c>
      <c r="I785" s="3">
        <v>5685.6</v>
      </c>
      <c r="J785" s="1" t="s">
        <v>93</v>
      </c>
      <c r="K785" s="1" t="s">
        <v>133</v>
      </c>
      <c r="L785" t="str">
        <f>VLOOKUP(D785, Products!A:C, 3, FALSE)</f>
        <v>Sports</v>
      </c>
      <c r="M785" t="str">
        <f>VLOOKUP(C785, Customers!A:E, 5, FALSE)</f>
        <v>Corporate</v>
      </c>
      <c r="N785">
        <f>VLOOKUP(C785, Customers!A:E, 3, FALSE)</f>
        <v>32</v>
      </c>
      <c r="O785" s="93" t="str">
        <f>VLOOKUP(E785, Sales_Reps!A:C, 3, FALSE)</f>
        <v>South</v>
      </c>
      <c r="P785">
        <f>VLOOKUP(D785, Products!A:E, 4, FALSE)</f>
        <v>2467</v>
      </c>
      <c r="Q785">
        <f>IF(COUNTIF($A$2:A785, A785)=2, 1, 0)</f>
        <v>0</v>
      </c>
      <c r="R785">
        <f>IF(ISNA(MATCH(C785, Customers!$A:$A, 0)), 1, 0)</f>
        <v>0</v>
      </c>
      <c r="S785" s="94" t="b">
        <f>VLOOKUP(D785, Products!A:F, 6, FALSE)</f>
        <v>1</v>
      </c>
    </row>
    <row r="786" spans="1:19">
      <c r="A786" s="102" t="s">
        <v>1256</v>
      </c>
      <c r="B786" s="2">
        <v>45401</v>
      </c>
      <c r="C786" s="1" t="s">
        <v>217</v>
      </c>
      <c r="D786" s="1" t="s">
        <v>443</v>
      </c>
      <c r="E786" s="1" t="s">
        <v>204</v>
      </c>
      <c r="F786" s="83">
        <v>1</v>
      </c>
      <c r="G786" s="92">
        <v>5080</v>
      </c>
      <c r="H786" s="3">
        <v>5.9</v>
      </c>
      <c r="I786" s="3">
        <v>4780.28</v>
      </c>
      <c r="J786" s="1" t="s">
        <v>87</v>
      </c>
      <c r="K786" s="1" t="s">
        <v>94</v>
      </c>
      <c r="L786" t="str">
        <f>VLOOKUP(D786, Products!A:C, 3, FALSE)</f>
        <v>Home</v>
      </c>
      <c r="M786" t="str">
        <f>VLOOKUP(C786, Customers!A:E, 5, FALSE)</f>
        <v>Retail</v>
      </c>
      <c r="N786">
        <f>VLOOKUP(C786, Customers!A:E, 3, FALSE)</f>
        <v>51</v>
      </c>
      <c r="O786" s="93" t="str">
        <f>VLOOKUP(E786, Sales_Reps!A:C, 3, FALSE)</f>
        <v>South</v>
      </c>
      <c r="P786">
        <f>VLOOKUP(D786, Products!A:E, 4, FALSE)</f>
        <v>2459</v>
      </c>
      <c r="Q786">
        <f>IF(COUNTIF($A$2:A786, A786)=2, 1, 0)</f>
        <v>0</v>
      </c>
      <c r="R786">
        <f>IF(ISNA(MATCH(C786, Customers!$A:$A, 0)), 1, 0)</f>
        <v>0</v>
      </c>
      <c r="S786" s="94" t="b">
        <f>VLOOKUP(D786, Products!A:F, 6, FALSE)</f>
        <v>1</v>
      </c>
    </row>
    <row r="787" spans="1:19">
      <c r="A787" s="102" t="s">
        <v>1257</v>
      </c>
      <c r="B787" s="2">
        <v>45364</v>
      </c>
      <c r="C787" s="1" t="s">
        <v>883</v>
      </c>
      <c r="D787" s="1" t="s">
        <v>452</v>
      </c>
      <c r="E787" s="1" t="s">
        <v>154</v>
      </c>
      <c r="F787" s="83">
        <v>7</v>
      </c>
      <c r="G787" s="92">
        <v>3450</v>
      </c>
      <c r="H787" s="3">
        <v>17.399999999999999</v>
      </c>
      <c r="I787" s="3">
        <v>19947.900000000001</v>
      </c>
      <c r="J787" s="1" t="s">
        <v>87</v>
      </c>
      <c r="K787" s="1" t="s">
        <v>133</v>
      </c>
      <c r="L787" t="str">
        <f>VLOOKUP(D787, Products!A:C, 3, FALSE)</f>
        <v>Apparel</v>
      </c>
      <c r="M787" t="str">
        <f>VLOOKUP(C787, Customers!A:E, 5, FALSE)</f>
        <v>SMB</v>
      </c>
      <c r="N787">
        <f>VLOOKUP(C787, Customers!A:E, 3, FALSE)</f>
        <v>28</v>
      </c>
      <c r="O787" s="93" t="str">
        <f>VLOOKUP(E787, Sales_Reps!A:C, 3, FALSE)</f>
        <v>East</v>
      </c>
      <c r="P787">
        <f>VLOOKUP(D787, Products!A:E, 4, FALSE)</f>
        <v>1748</v>
      </c>
      <c r="Q787">
        <f>IF(COUNTIF($A$2:A787, A787)=2, 1, 0)</f>
        <v>0</v>
      </c>
      <c r="R787">
        <f>IF(ISNA(MATCH(C787, Customers!$A:$A, 0)), 1, 0)</f>
        <v>0</v>
      </c>
      <c r="S787" s="94" t="b">
        <f>VLOOKUP(D787, Products!A:F, 6, FALSE)</f>
        <v>1</v>
      </c>
    </row>
    <row r="788" spans="1:19">
      <c r="A788" s="102" t="s">
        <v>1258</v>
      </c>
      <c r="B788" s="2">
        <v>45403</v>
      </c>
      <c r="C788" s="1" t="s">
        <v>1172</v>
      </c>
      <c r="D788" s="1" t="s">
        <v>131</v>
      </c>
      <c r="E788" s="1" t="s">
        <v>204</v>
      </c>
      <c r="F788" s="83">
        <v>8</v>
      </c>
      <c r="G788" s="92">
        <v>2270</v>
      </c>
      <c r="H788" s="3">
        <v>24.7</v>
      </c>
      <c r="I788" s="3">
        <v>13674.48</v>
      </c>
      <c r="J788" s="1" t="s">
        <v>87</v>
      </c>
      <c r="K788" s="1" t="s">
        <v>88</v>
      </c>
      <c r="L788" t="str">
        <f>VLOOKUP(D788, Products!A:C, 3, FALSE)</f>
        <v>Grocery</v>
      </c>
      <c r="M788" t="str">
        <f>VLOOKUP(C788, Customers!A:E, 5, FALSE)</f>
        <v>Retail</v>
      </c>
      <c r="N788">
        <f>VLOOKUP(C788, Customers!A:E, 3, FALSE)</f>
        <v>39</v>
      </c>
      <c r="O788" s="93" t="str">
        <f>VLOOKUP(E788, Sales_Reps!A:C, 3, FALSE)</f>
        <v>South</v>
      </c>
      <c r="P788">
        <f>VLOOKUP(D788, Products!A:E, 4, FALSE)</f>
        <v>1203</v>
      </c>
      <c r="Q788">
        <f>IF(COUNTIF($A$2:A788, A788)=2, 1, 0)</f>
        <v>0</v>
      </c>
      <c r="R788">
        <f>IF(ISNA(MATCH(C788, Customers!$A:$A, 0)), 1, 0)</f>
        <v>0</v>
      </c>
      <c r="S788" s="94" t="b">
        <f>VLOOKUP(D788, Products!A:F, 6, FALSE)</f>
        <v>1</v>
      </c>
    </row>
    <row r="789" spans="1:19">
      <c r="A789" s="102" t="s">
        <v>1259</v>
      </c>
      <c r="B789" s="2">
        <v>45599</v>
      </c>
      <c r="C789" s="1" t="s">
        <v>84</v>
      </c>
      <c r="D789" s="1" t="s">
        <v>106</v>
      </c>
      <c r="E789" s="1" t="s">
        <v>154</v>
      </c>
      <c r="F789" s="83">
        <v>3</v>
      </c>
      <c r="G789" s="92">
        <v>3160</v>
      </c>
      <c r="H789" s="3">
        <v>1.5</v>
      </c>
      <c r="I789" s="3">
        <v>9337.7999999999993</v>
      </c>
      <c r="J789" s="1" t="s">
        <v>93</v>
      </c>
      <c r="K789" s="1" t="s">
        <v>88</v>
      </c>
      <c r="L789" t="str">
        <f>VLOOKUP(D789, Products!A:C, 3, FALSE)</f>
        <v>Apparel</v>
      </c>
      <c r="M789" t="str">
        <f>VLOOKUP(C789, Customers!A:E, 5, FALSE)</f>
        <v>SMB</v>
      </c>
      <c r="N789">
        <f>VLOOKUP(C789, Customers!A:E, 3, FALSE)</f>
        <v>44</v>
      </c>
      <c r="O789" s="93" t="str">
        <f>VLOOKUP(E789, Sales_Reps!A:C, 3, FALSE)</f>
        <v>East</v>
      </c>
      <c r="P789">
        <f>VLOOKUP(D789, Products!A:E, 4, FALSE)</f>
        <v>1886</v>
      </c>
      <c r="Q789">
        <f>IF(COUNTIF($A$2:A789, A789)=2, 1, 0)</f>
        <v>0</v>
      </c>
      <c r="R789">
        <f>IF(ISNA(MATCH(C789, Customers!$A:$A, 0)), 1, 0)</f>
        <v>0</v>
      </c>
      <c r="S789" s="94" t="b">
        <f>VLOOKUP(D789, Products!A:F, 6, FALSE)</f>
        <v>1</v>
      </c>
    </row>
    <row r="790" spans="1:19">
      <c r="A790" s="102" t="s">
        <v>1260</v>
      </c>
      <c r="B790" s="2">
        <v>45389</v>
      </c>
      <c r="C790" s="1" t="s">
        <v>1261</v>
      </c>
      <c r="D790" s="1" t="s">
        <v>179</v>
      </c>
      <c r="E790" s="1" t="s">
        <v>229</v>
      </c>
      <c r="F790" s="83">
        <v>6</v>
      </c>
      <c r="G790" s="92">
        <v>3350</v>
      </c>
      <c r="H790" s="3">
        <v>0.9</v>
      </c>
      <c r="I790" s="3">
        <v>19919.099999999999</v>
      </c>
      <c r="J790" s="1" t="s">
        <v>93</v>
      </c>
      <c r="K790" s="1" t="s">
        <v>117</v>
      </c>
      <c r="L790" t="str">
        <f>VLOOKUP(D790, Products!A:C, 3, FALSE)</f>
        <v>Beauty</v>
      </c>
      <c r="M790" t="str">
        <f>VLOOKUP(C790, Customers!A:E, 5, FALSE)</f>
        <v>Retail</v>
      </c>
      <c r="N790">
        <f>VLOOKUP(C790, Customers!A:E, 3, FALSE)</f>
        <v>54</v>
      </c>
      <c r="O790" s="93" t="str">
        <f>VLOOKUP(E790, Sales_Reps!A:C, 3, FALSE)</f>
        <v>West</v>
      </c>
      <c r="P790">
        <f>VLOOKUP(D790, Products!A:E, 4, FALSE)</f>
        <v>1728</v>
      </c>
      <c r="Q790">
        <f>IF(COUNTIF($A$2:A790, A790)=2, 1, 0)</f>
        <v>0</v>
      </c>
      <c r="R790">
        <f>IF(ISNA(MATCH(C790, Customers!$A:$A, 0)), 1, 0)</f>
        <v>0</v>
      </c>
      <c r="S790" s="94" t="b">
        <f>VLOOKUP(D790, Products!A:F, 6, FALSE)</f>
        <v>1</v>
      </c>
    </row>
    <row r="791" spans="1:19">
      <c r="A791" s="102" t="s">
        <v>1262</v>
      </c>
      <c r="B791" s="2">
        <v>45506</v>
      </c>
      <c r="C791" s="1" t="s">
        <v>945</v>
      </c>
      <c r="D791" s="1" t="s">
        <v>176</v>
      </c>
      <c r="E791" s="1" t="s">
        <v>229</v>
      </c>
      <c r="F791" s="83">
        <v>7</v>
      </c>
      <c r="G791" s="92">
        <v>1650</v>
      </c>
      <c r="H791" s="3">
        <v>5.6</v>
      </c>
      <c r="I791" s="3">
        <v>10903.2</v>
      </c>
      <c r="J791" s="1" t="s">
        <v>144</v>
      </c>
      <c r="K791" s="1" t="s">
        <v>88</v>
      </c>
      <c r="L791" t="str">
        <f>VLOOKUP(D791, Products!A:C, 3, FALSE)</f>
        <v>Beauty</v>
      </c>
      <c r="M791" t="str">
        <f>VLOOKUP(C791, Customers!A:E, 5, FALSE)</f>
        <v>Retail</v>
      </c>
      <c r="N791">
        <f>VLOOKUP(C791, Customers!A:E, 3, FALSE)</f>
        <v>54</v>
      </c>
      <c r="O791" s="93" t="str">
        <f>VLOOKUP(E791, Sales_Reps!A:C, 3, FALSE)</f>
        <v>West</v>
      </c>
      <c r="P791">
        <f>VLOOKUP(D791, Products!A:E, 4, FALSE)</f>
        <v>1222</v>
      </c>
      <c r="Q791">
        <f>IF(COUNTIF($A$2:A791, A791)=2, 1, 0)</f>
        <v>0</v>
      </c>
      <c r="R791">
        <f>IF(ISNA(MATCH(C791, Customers!$A:$A, 0)), 1, 0)</f>
        <v>0</v>
      </c>
      <c r="S791" s="94" t="b">
        <f>VLOOKUP(D791, Products!A:F, 6, FALSE)</f>
        <v>1</v>
      </c>
    </row>
    <row r="792" spans="1:19">
      <c r="A792" s="102" t="s">
        <v>1263</v>
      </c>
      <c r="B792" s="2">
        <v>45402</v>
      </c>
      <c r="C792" s="1" t="s">
        <v>725</v>
      </c>
      <c r="D792" s="1" t="s">
        <v>124</v>
      </c>
      <c r="E792" s="1" t="s">
        <v>148</v>
      </c>
      <c r="F792" s="83">
        <v>1</v>
      </c>
      <c r="G792" s="92">
        <v>5490</v>
      </c>
      <c r="H792" s="3">
        <v>5.8</v>
      </c>
      <c r="I792" s="3">
        <v>5171.58</v>
      </c>
      <c r="J792" s="1" t="s">
        <v>87</v>
      </c>
      <c r="K792" s="1" t="s">
        <v>99</v>
      </c>
      <c r="L792" t="str">
        <f>VLOOKUP(D792, Products!A:C, 3, FALSE)</f>
        <v>Home</v>
      </c>
      <c r="M792" t="str">
        <f>VLOOKUP(C792, Customers!A:E, 5, FALSE)</f>
        <v>SMB</v>
      </c>
      <c r="N792">
        <f>VLOOKUP(C792, Customers!A:E, 3, FALSE)</f>
        <v>26</v>
      </c>
      <c r="O792" s="93" t="str">
        <f>VLOOKUP(E792, Sales_Reps!A:C, 3, FALSE)</f>
        <v>North</v>
      </c>
      <c r="P792">
        <f>VLOOKUP(D792, Products!A:E, 4, FALSE)</f>
        <v>2549</v>
      </c>
      <c r="Q792">
        <f>IF(COUNTIF($A$2:A792, A792)=2, 1, 0)</f>
        <v>0</v>
      </c>
      <c r="R792">
        <f>IF(ISNA(MATCH(C792, Customers!$A:$A, 0)), 1, 0)</f>
        <v>0</v>
      </c>
      <c r="S792" s="94" t="b">
        <f>VLOOKUP(D792, Products!A:F, 6, FALSE)</f>
        <v>1</v>
      </c>
    </row>
    <row r="793" spans="1:19">
      <c r="A793" s="102" t="s">
        <v>1264</v>
      </c>
      <c r="B793" s="2">
        <v>45405</v>
      </c>
      <c r="C793" s="1" t="s">
        <v>150</v>
      </c>
      <c r="D793" s="1" t="s">
        <v>164</v>
      </c>
      <c r="E793" s="1" t="s">
        <v>116</v>
      </c>
      <c r="F793" s="83">
        <v>3</v>
      </c>
      <c r="G793" s="92">
        <v>1080</v>
      </c>
      <c r="H793" s="3">
        <v>20.9</v>
      </c>
      <c r="I793" s="3">
        <v>2562.84</v>
      </c>
      <c r="J793" s="1" t="s">
        <v>87</v>
      </c>
      <c r="K793" s="1" t="s">
        <v>88</v>
      </c>
      <c r="L793" t="str">
        <f>VLOOKUP(D793, Products!A:C, 3, FALSE)</f>
        <v>Home</v>
      </c>
      <c r="M793" t="str">
        <f>VLOOKUP(C793, Customers!A:E, 5, FALSE)</f>
        <v>Retail</v>
      </c>
      <c r="N793">
        <f>VLOOKUP(C793, Customers!A:E, 3, FALSE)</f>
        <v>63</v>
      </c>
      <c r="O793" s="93" t="str">
        <f>VLOOKUP(E793, Sales_Reps!A:C, 3, FALSE)</f>
        <v>West</v>
      </c>
      <c r="P793">
        <f>VLOOKUP(D793, Products!A:E, 4, FALSE)</f>
        <v>519</v>
      </c>
      <c r="Q793">
        <f>IF(COUNTIF($A$2:A793, A793)=2, 1, 0)</f>
        <v>0</v>
      </c>
      <c r="R793">
        <f>IF(ISNA(MATCH(C793, Customers!$A:$A, 0)), 1, 0)</f>
        <v>0</v>
      </c>
      <c r="S793" s="94" t="b">
        <f>VLOOKUP(D793, Products!A:F, 6, FALSE)</f>
        <v>1</v>
      </c>
    </row>
    <row r="794" spans="1:19">
      <c r="A794" s="102" t="s">
        <v>1265</v>
      </c>
      <c r="B794" s="2">
        <v>45434</v>
      </c>
      <c r="C794" s="1" t="s">
        <v>1266</v>
      </c>
      <c r="D794" s="1" t="s">
        <v>234</v>
      </c>
      <c r="E794" s="1" t="s">
        <v>303</v>
      </c>
      <c r="F794" s="83">
        <v>10</v>
      </c>
      <c r="G794" s="92">
        <v>3780</v>
      </c>
      <c r="H794" s="3">
        <v>5.5</v>
      </c>
      <c r="I794" s="3">
        <v>35721</v>
      </c>
      <c r="J794" s="1" t="s">
        <v>87</v>
      </c>
      <c r="K794" s="1" t="s">
        <v>133</v>
      </c>
      <c r="L794" t="str">
        <f>VLOOKUP(D794, Products!A:C, 3, FALSE)</f>
        <v>Grocery</v>
      </c>
      <c r="M794" t="e">
        <f>VLOOKUP(C794, Customers!A:E, 5, FALSE)</f>
        <v>#N/A</v>
      </c>
      <c r="N794" t="e">
        <f>VLOOKUP(C794, Customers!A:E, 3, FALSE)</f>
        <v>#N/A</v>
      </c>
      <c r="O794" s="93" t="str">
        <f>VLOOKUP(E794, Sales_Reps!A:C, 3, FALSE)</f>
        <v>East</v>
      </c>
      <c r="P794">
        <f>VLOOKUP(D794, Products!A:E, 4, FALSE)</f>
        <v>2436</v>
      </c>
      <c r="Q794">
        <f>IF(COUNTIF($A$2:A794, A794)=2, 1, 0)</f>
        <v>0</v>
      </c>
      <c r="R794">
        <f>IF(ISNA(MATCH(C794, Customers!$A:$A, 0)), 1, 0)</f>
        <v>1</v>
      </c>
      <c r="S794" s="94" t="b">
        <f>VLOOKUP(D794, Products!A:F, 6, FALSE)</f>
        <v>1</v>
      </c>
    </row>
    <row r="795" spans="1:19">
      <c r="A795" s="102" t="s">
        <v>1267</v>
      </c>
      <c r="B795" s="2">
        <v>45558</v>
      </c>
      <c r="C795" s="1" t="s">
        <v>208</v>
      </c>
      <c r="D795" s="1" t="s">
        <v>295</v>
      </c>
      <c r="E795" s="1" t="s">
        <v>170</v>
      </c>
      <c r="F795" s="83">
        <v>2</v>
      </c>
      <c r="G795" s="92">
        <v>2030</v>
      </c>
      <c r="H795" s="3">
        <v>2</v>
      </c>
      <c r="I795" s="3">
        <v>3978.8</v>
      </c>
      <c r="J795" s="1" t="s">
        <v>93</v>
      </c>
      <c r="K795" s="1" t="s">
        <v>133</v>
      </c>
      <c r="L795" t="str">
        <f>VLOOKUP(D795, Products!A:C, 3, FALSE)</f>
        <v>Home</v>
      </c>
      <c r="M795" t="str">
        <f>VLOOKUP(C795, Customers!A:E, 5, FALSE)</f>
        <v>Retail</v>
      </c>
      <c r="N795">
        <f>VLOOKUP(C795, Customers!A:E, 3, FALSE)</f>
        <v>26</v>
      </c>
      <c r="O795" s="93" t="str">
        <f>VLOOKUP(E795, Sales_Reps!A:C, 3, FALSE)</f>
        <v>West</v>
      </c>
      <c r="P795">
        <f>VLOOKUP(D795, Products!A:E, 4, FALSE)</f>
        <v>1143</v>
      </c>
      <c r="Q795">
        <f>IF(COUNTIF($A$2:A795, A795)=2, 1, 0)</f>
        <v>0</v>
      </c>
      <c r="R795">
        <f>IF(ISNA(MATCH(C795, Customers!$A:$A, 0)), 1, 0)</f>
        <v>0</v>
      </c>
      <c r="S795" s="94" t="b">
        <f>VLOOKUP(D795, Products!A:F, 6, FALSE)</f>
        <v>1</v>
      </c>
    </row>
    <row r="796" spans="1:19">
      <c r="A796" s="102" t="s">
        <v>1268</v>
      </c>
      <c r="B796" s="2">
        <v>45582</v>
      </c>
      <c r="C796" s="1" t="s">
        <v>567</v>
      </c>
      <c r="D796" s="1" t="s">
        <v>259</v>
      </c>
      <c r="E796" s="1" t="s">
        <v>121</v>
      </c>
      <c r="F796" s="83">
        <v>8</v>
      </c>
      <c r="G796" s="92">
        <v>1540</v>
      </c>
      <c r="H796" s="3">
        <v>9</v>
      </c>
      <c r="I796" s="3">
        <v>11211.2</v>
      </c>
      <c r="J796" s="1" t="s">
        <v>140</v>
      </c>
      <c r="K796" s="1" t="s">
        <v>117</v>
      </c>
      <c r="L796" t="str">
        <f>VLOOKUP(D796, Products!A:C, 3, FALSE)</f>
        <v>Beauty</v>
      </c>
      <c r="M796" t="str">
        <f>VLOOKUP(C796, Customers!A:E, 5, FALSE)</f>
        <v>Corporate</v>
      </c>
      <c r="N796">
        <f>VLOOKUP(C796, Customers!A:E, 3, FALSE)</f>
        <v>41</v>
      </c>
      <c r="O796" s="93" t="str">
        <f>VLOOKUP(E796, Sales_Reps!A:C, 3, FALSE)</f>
        <v>East</v>
      </c>
      <c r="P796">
        <f>VLOOKUP(D796, Products!A:E, 4, FALSE)</f>
        <v>647</v>
      </c>
      <c r="Q796">
        <f>IF(COUNTIF($A$2:A796, A796)=2, 1, 0)</f>
        <v>0</v>
      </c>
      <c r="R796">
        <f>IF(ISNA(MATCH(C796, Customers!$A:$A, 0)), 1, 0)</f>
        <v>0</v>
      </c>
      <c r="S796" s="94" t="b">
        <f>VLOOKUP(D796, Products!A:F, 6, FALSE)</f>
        <v>0</v>
      </c>
    </row>
    <row r="797" spans="1:19">
      <c r="A797" s="102" t="s">
        <v>1269</v>
      </c>
      <c r="B797" s="2">
        <v>45601</v>
      </c>
      <c r="C797" s="1" t="s">
        <v>126</v>
      </c>
      <c r="D797" s="1" t="s">
        <v>143</v>
      </c>
      <c r="E797" s="1" t="s">
        <v>188</v>
      </c>
      <c r="F797" s="83">
        <v>9</v>
      </c>
      <c r="G797" s="92">
        <v>3250</v>
      </c>
      <c r="H797" s="3">
        <v>20.5</v>
      </c>
      <c r="I797" s="3">
        <v>23253.75</v>
      </c>
      <c r="J797" s="1" t="s">
        <v>87</v>
      </c>
      <c r="K797" s="1" t="s">
        <v>88</v>
      </c>
      <c r="L797" t="str">
        <f>VLOOKUP(D797, Products!A:C, 3, FALSE)</f>
        <v>Home</v>
      </c>
      <c r="M797" t="str">
        <f>VLOOKUP(C797, Customers!A:E, 5, FALSE)</f>
        <v>Retail</v>
      </c>
      <c r="N797">
        <f>VLOOKUP(C797, Customers!A:E, 3, FALSE)</f>
        <v>56</v>
      </c>
      <c r="O797" s="93" t="str">
        <f>VLOOKUP(E797, Sales_Reps!A:C, 3, FALSE)</f>
        <v>South</v>
      </c>
      <c r="P797">
        <f>VLOOKUP(D797, Products!A:E, 4, FALSE)</f>
        <v>1556</v>
      </c>
      <c r="Q797">
        <f>IF(COUNTIF($A$2:A797, A797)=2, 1, 0)</f>
        <v>0</v>
      </c>
      <c r="R797">
        <f>IF(ISNA(MATCH(C797, Customers!$A:$A, 0)), 1, 0)</f>
        <v>0</v>
      </c>
      <c r="S797" s="94" t="b">
        <f>VLOOKUP(D797, Products!A:F, 6, FALSE)</f>
        <v>1</v>
      </c>
    </row>
    <row r="798" spans="1:19">
      <c r="A798" s="102" t="s">
        <v>1270</v>
      </c>
      <c r="B798" s="2">
        <v>45344</v>
      </c>
      <c r="C798" s="1" t="s">
        <v>399</v>
      </c>
      <c r="D798" s="1" t="s">
        <v>157</v>
      </c>
      <c r="E798" s="1" t="s">
        <v>92</v>
      </c>
      <c r="F798" s="83">
        <v>3</v>
      </c>
      <c r="G798" s="92">
        <v>3450</v>
      </c>
      <c r="H798" s="3">
        <v>17.899999999999999</v>
      </c>
      <c r="I798" s="3">
        <v>8497.35</v>
      </c>
      <c r="J798" s="1" t="s">
        <v>87</v>
      </c>
      <c r="K798" s="1" t="s">
        <v>99</v>
      </c>
      <c r="L798" t="str">
        <f>VLOOKUP(D798, Products!A:C, 3, FALSE)</f>
        <v>Beauty</v>
      </c>
      <c r="M798" t="str">
        <f>VLOOKUP(C798, Customers!A:E, 5, FALSE)</f>
        <v>SMB</v>
      </c>
      <c r="N798">
        <f>VLOOKUP(C798, Customers!A:E, 3, FALSE)</f>
        <v>53</v>
      </c>
      <c r="O798" s="93" t="str">
        <f>VLOOKUP(E798, Sales_Reps!A:C, 3, FALSE)</f>
        <v>North</v>
      </c>
      <c r="P798">
        <f>VLOOKUP(D798, Products!A:E, 4, FALSE)</f>
        <v>2420</v>
      </c>
      <c r="Q798">
        <f>IF(COUNTIF($A$2:A798, A798)=2, 1, 0)</f>
        <v>0</v>
      </c>
      <c r="R798">
        <f>IF(ISNA(MATCH(C798, Customers!$A:$A, 0)), 1, 0)</f>
        <v>0</v>
      </c>
      <c r="S798" s="94" t="b">
        <f>VLOOKUP(D798, Products!A:F, 6, FALSE)</f>
        <v>1</v>
      </c>
    </row>
    <row r="799" spans="1:19">
      <c r="A799" s="102" t="s">
        <v>1271</v>
      </c>
      <c r="B799" s="2">
        <v>45504</v>
      </c>
      <c r="C799" s="1" t="s">
        <v>405</v>
      </c>
      <c r="D799" s="1" t="s">
        <v>124</v>
      </c>
      <c r="E799" s="1" t="s">
        <v>107</v>
      </c>
      <c r="F799" s="83">
        <v>5</v>
      </c>
      <c r="G799" s="92">
        <v>5490</v>
      </c>
      <c r="H799" s="3">
        <v>7.9</v>
      </c>
      <c r="I799" s="3">
        <v>25281.45</v>
      </c>
      <c r="J799" s="1" t="s">
        <v>87</v>
      </c>
      <c r="K799" s="1" t="s">
        <v>94</v>
      </c>
      <c r="L799" t="str">
        <f>VLOOKUP(D799, Products!A:C, 3, FALSE)</f>
        <v>Home</v>
      </c>
      <c r="M799" t="str">
        <f>VLOOKUP(C799, Customers!A:E, 5, FALSE)</f>
        <v>Corporate</v>
      </c>
      <c r="N799">
        <f>VLOOKUP(C799, Customers!A:E, 3, FALSE)</f>
        <v>24</v>
      </c>
      <c r="O799" s="93" t="str">
        <f>VLOOKUP(E799, Sales_Reps!A:C, 3, FALSE)</f>
        <v>North</v>
      </c>
      <c r="P799">
        <f>VLOOKUP(D799, Products!A:E, 4, FALSE)</f>
        <v>2549</v>
      </c>
      <c r="Q799">
        <f>IF(COUNTIF($A$2:A799, A799)=2, 1, 0)</f>
        <v>0</v>
      </c>
      <c r="R799">
        <f>IF(ISNA(MATCH(C799, Customers!$A:$A, 0)), 1, 0)</f>
        <v>0</v>
      </c>
      <c r="S799" s="94" t="b">
        <f>VLOOKUP(D799, Products!A:F, 6, FALSE)</f>
        <v>1</v>
      </c>
    </row>
    <row r="800" spans="1:19">
      <c r="A800" s="102" t="s">
        <v>1272</v>
      </c>
      <c r="B800" s="2">
        <v>45306</v>
      </c>
      <c r="C800" s="1" t="s">
        <v>626</v>
      </c>
      <c r="D800" s="1" t="s">
        <v>110</v>
      </c>
      <c r="E800" s="1" t="s">
        <v>229</v>
      </c>
      <c r="F800" s="83">
        <v>3</v>
      </c>
      <c r="G800" s="92">
        <v>370</v>
      </c>
      <c r="H800" s="3">
        <v>13.4</v>
      </c>
      <c r="I800" s="3">
        <v>961.26</v>
      </c>
      <c r="J800" s="1" t="s">
        <v>87</v>
      </c>
      <c r="K800" s="1" t="s">
        <v>99</v>
      </c>
      <c r="L800" t="str">
        <f>VLOOKUP(D800, Products!A:C, 3, FALSE)</f>
        <v>Home</v>
      </c>
      <c r="M800" t="str">
        <f>VLOOKUP(C800, Customers!A:E, 5, FALSE)</f>
        <v>Retail</v>
      </c>
      <c r="N800">
        <f>VLOOKUP(C800, Customers!A:E, 3, FALSE)</f>
        <v>40</v>
      </c>
      <c r="O800" s="93" t="str">
        <f>VLOOKUP(E800, Sales_Reps!A:C, 3, FALSE)</f>
        <v>West</v>
      </c>
      <c r="P800">
        <f>VLOOKUP(D800, Products!A:E, 4, FALSE)</f>
        <v>288</v>
      </c>
      <c r="Q800">
        <f>IF(COUNTIF($A$2:A800, A800)=2, 1, 0)</f>
        <v>0</v>
      </c>
      <c r="R800">
        <f>IF(ISNA(MATCH(C800, Customers!$A:$A, 0)), 1, 0)</f>
        <v>0</v>
      </c>
      <c r="S800" s="94" t="b">
        <f>VLOOKUP(D800, Products!A:F, 6, FALSE)</f>
        <v>1</v>
      </c>
    </row>
    <row r="801" spans="1:19">
      <c r="A801" s="102" t="s">
        <v>1273</v>
      </c>
      <c r="B801" s="2">
        <v>45413</v>
      </c>
      <c r="C801" s="1" t="s">
        <v>378</v>
      </c>
      <c r="D801" s="1" t="s">
        <v>364</v>
      </c>
      <c r="E801" s="1" t="s">
        <v>204</v>
      </c>
      <c r="F801" s="83">
        <v>7</v>
      </c>
      <c r="G801" s="92">
        <v>5330</v>
      </c>
      <c r="H801" s="3">
        <v>29.7</v>
      </c>
      <c r="I801" s="3">
        <v>26228.93</v>
      </c>
      <c r="J801" s="1" t="s">
        <v>93</v>
      </c>
      <c r="K801" s="1" t="s">
        <v>94</v>
      </c>
      <c r="L801" t="str">
        <f>VLOOKUP(D801, Products!A:C, 3, FALSE)</f>
        <v>Electronics</v>
      </c>
      <c r="M801" t="str">
        <f>VLOOKUP(C801, Customers!A:E, 5, FALSE)</f>
        <v>SMB</v>
      </c>
      <c r="N801">
        <f>VLOOKUP(C801, Customers!A:E, 3, FALSE)</f>
        <v>53</v>
      </c>
      <c r="O801" s="93" t="str">
        <f>VLOOKUP(E801, Sales_Reps!A:C, 3, FALSE)</f>
        <v>South</v>
      </c>
      <c r="P801">
        <f>VLOOKUP(D801, Products!A:E, 4, FALSE)</f>
        <v>2405</v>
      </c>
      <c r="Q801">
        <f>IF(COUNTIF($A$2:A801, A801)=2, 1, 0)</f>
        <v>0</v>
      </c>
      <c r="R801">
        <f>IF(ISNA(MATCH(C801, Customers!$A:$A, 0)), 1, 0)</f>
        <v>0</v>
      </c>
      <c r="S801" s="94" t="b">
        <f>VLOOKUP(D801, Products!A:F, 6, FALSE)</f>
        <v>1</v>
      </c>
    </row>
    <row r="802" spans="1:19">
      <c r="A802" s="102" t="s">
        <v>1274</v>
      </c>
      <c r="B802" s="2">
        <v>45368</v>
      </c>
      <c r="C802" s="1" t="s">
        <v>1065</v>
      </c>
      <c r="D802" s="1" t="s">
        <v>161</v>
      </c>
      <c r="E802" s="1" t="s">
        <v>346</v>
      </c>
      <c r="F802" s="83">
        <v>8</v>
      </c>
      <c r="G802" s="92">
        <v>3450</v>
      </c>
      <c r="H802" s="3">
        <v>23.7</v>
      </c>
      <c r="I802" s="3">
        <v>21058.799999999999</v>
      </c>
      <c r="J802" s="1" t="s">
        <v>87</v>
      </c>
      <c r="K802" s="1" t="s">
        <v>94</v>
      </c>
      <c r="L802" t="str">
        <f>VLOOKUP(D802, Products!A:C, 3, FALSE)</f>
        <v>Sports</v>
      </c>
      <c r="M802" t="str">
        <f>VLOOKUP(C802, Customers!A:E, 5, FALSE)</f>
        <v>Retail</v>
      </c>
      <c r="N802">
        <f>VLOOKUP(C802, Customers!A:E, 3, FALSE)</f>
        <v>49</v>
      </c>
      <c r="O802" s="93" t="str">
        <f>VLOOKUP(E802, Sales_Reps!A:C, 3, FALSE)</f>
        <v>South</v>
      </c>
      <c r="P802">
        <f>VLOOKUP(D802, Products!A:E, 4, FALSE)</f>
        <v>2467</v>
      </c>
      <c r="Q802">
        <f>IF(COUNTIF($A$2:A802, A802)=2, 1, 0)</f>
        <v>0</v>
      </c>
      <c r="R802">
        <f>IF(ISNA(MATCH(C802, Customers!$A:$A, 0)), 1, 0)</f>
        <v>0</v>
      </c>
      <c r="S802" s="94" t="b">
        <f>VLOOKUP(D802, Products!A:F, 6, FALSE)</f>
        <v>1</v>
      </c>
    </row>
    <row r="803" spans="1:19">
      <c r="A803" s="102" t="s">
        <v>1275</v>
      </c>
      <c r="B803" s="2">
        <v>45316</v>
      </c>
      <c r="C803" s="1" t="s">
        <v>362</v>
      </c>
      <c r="D803" s="1" t="s">
        <v>452</v>
      </c>
      <c r="E803" s="1" t="s">
        <v>343</v>
      </c>
      <c r="F803" s="83">
        <v>8</v>
      </c>
      <c r="G803" s="92">
        <v>3450</v>
      </c>
      <c r="H803" s="3">
        <v>5.4</v>
      </c>
      <c r="I803" s="3">
        <v>26109.599999999999</v>
      </c>
      <c r="J803" s="1" t="s">
        <v>87</v>
      </c>
      <c r="K803" s="1" t="s">
        <v>94</v>
      </c>
      <c r="L803" t="str">
        <f>VLOOKUP(D803, Products!A:C, 3, FALSE)</f>
        <v>Apparel</v>
      </c>
      <c r="M803" t="str">
        <f>VLOOKUP(C803, Customers!A:E, 5, FALSE)</f>
        <v>Corporate</v>
      </c>
      <c r="N803">
        <f>VLOOKUP(C803, Customers!A:E, 3, FALSE)</f>
        <v>51</v>
      </c>
      <c r="O803" s="93" t="str">
        <f>VLOOKUP(E803, Sales_Reps!A:C, 3, FALSE)</f>
        <v>West</v>
      </c>
      <c r="P803">
        <f>VLOOKUP(D803, Products!A:E, 4, FALSE)</f>
        <v>1748</v>
      </c>
      <c r="Q803">
        <f>IF(COUNTIF($A$2:A803, A803)=2, 1, 0)</f>
        <v>0</v>
      </c>
      <c r="R803">
        <f>IF(ISNA(MATCH(C803, Customers!$A:$A, 0)), 1, 0)</f>
        <v>0</v>
      </c>
      <c r="S803" s="94" t="b">
        <f>VLOOKUP(D803, Products!A:F, 6, FALSE)</f>
        <v>1</v>
      </c>
    </row>
    <row r="804" spans="1:19">
      <c r="A804" s="102" t="s">
        <v>1276</v>
      </c>
      <c r="B804" s="2">
        <v>45652</v>
      </c>
      <c r="C804" s="1" t="s">
        <v>872</v>
      </c>
      <c r="D804" s="1" t="s">
        <v>241</v>
      </c>
      <c r="E804" s="1" t="s">
        <v>229</v>
      </c>
      <c r="F804" s="83">
        <v>1</v>
      </c>
      <c r="G804" s="92">
        <v>6080</v>
      </c>
      <c r="H804" s="3">
        <v>22.3</v>
      </c>
      <c r="I804" s="3">
        <v>4724.16</v>
      </c>
      <c r="J804" s="1" t="s">
        <v>87</v>
      </c>
      <c r="K804" s="1" t="s">
        <v>112</v>
      </c>
      <c r="L804" t="str">
        <f>VLOOKUP(D804, Products!A:C, 3, FALSE)</f>
        <v>Beauty</v>
      </c>
      <c r="M804" t="str">
        <f>VLOOKUP(C804, Customers!A:E, 5, FALSE)</f>
        <v>Corporate</v>
      </c>
      <c r="N804">
        <f>VLOOKUP(C804, Customers!A:E, 3, FALSE)</f>
        <v>62</v>
      </c>
      <c r="O804" s="93" t="str">
        <f>VLOOKUP(E804, Sales_Reps!A:C, 3, FALSE)</f>
        <v>West</v>
      </c>
      <c r="P804">
        <f>VLOOKUP(D804, Products!A:E, 4, FALSE)</f>
        <v>2617</v>
      </c>
      <c r="Q804">
        <f>IF(COUNTIF($A$2:A804, A804)=2, 1, 0)</f>
        <v>0</v>
      </c>
      <c r="R804">
        <f>IF(ISNA(MATCH(C804, Customers!$A:$A, 0)), 1, 0)</f>
        <v>0</v>
      </c>
      <c r="S804" s="94" t="b">
        <f>VLOOKUP(D804, Products!A:F, 6, FALSE)</f>
        <v>1</v>
      </c>
    </row>
    <row r="805" spans="1:19">
      <c r="A805" s="102" t="s">
        <v>1277</v>
      </c>
      <c r="B805" s="2">
        <v>45597</v>
      </c>
      <c r="C805" s="1" t="s">
        <v>219</v>
      </c>
      <c r="D805" s="1" t="s">
        <v>355</v>
      </c>
      <c r="E805" s="1" t="s">
        <v>273</v>
      </c>
      <c r="F805" s="83">
        <v>9</v>
      </c>
      <c r="G805" s="92">
        <v>2510</v>
      </c>
      <c r="H805" s="3">
        <v>27.4</v>
      </c>
      <c r="I805" s="3">
        <v>16400.34</v>
      </c>
      <c r="J805" s="1" t="s">
        <v>87</v>
      </c>
      <c r="K805" s="1" t="s">
        <v>99</v>
      </c>
      <c r="L805" t="str">
        <f>VLOOKUP(D805, Products!A:C, 3, FALSE)</f>
        <v>Apparel</v>
      </c>
      <c r="M805" t="str">
        <f>VLOOKUP(C805, Customers!A:E, 5, FALSE)</f>
        <v>SMB</v>
      </c>
      <c r="N805">
        <f>VLOOKUP(C805, Customers!A:E, 3, FALSE)</f>
        <v>50</v>
      </c>
      <c r="O805" s="93" t="str">
        <f>VLOOKUP(E805, Sales_Reps!A:C, 3, FALSE)</f>
        <v>South</v>
      </c>
      <c r="P805">
        <f>VLOOKUP(D805, Products!A:E, 4, FALSE)</f>
        <v>1075</v>
      </c>
      <c r="Q805">
        <f>IF(COUNTIF($A$2:A805, A805)=2, 1, 0)</f>
        <v>0</v>
      </c>
      <c r="R805">
        <f>IF(ISNA(MATCH(C805, Customers!$A:$A, 0)), 1, 0)</f>
        <v>0</v>
      </c>
      <c r="S805" s="94" t="b">
        <f>VLOOKUP(D805, Products!A:F, 6, FALSE)</f>
        <v>0</v>
      </c>
    </row>
    <row r="806" spans="1:19">
      <c r="A806" s="102" t="s">
        <v>1278</v>
      </c>
      <c r="B806" s="2">
        <v>45392</v>
      </c>
      <c r="C806" s="1" t="s">
        <v>160</v>
      </c>
      <c r="D806" s="1" t="s">
        <v>182</v>
      </c>
      <c r="E806" s="1" t="s">
        <v>325</v>
      </c>
      <c r="F806" s="83">
        <v>10</v>
      </c>
      <c r="G806" s="92">
        <v>1010</v>
      </c>
      <c r="H806" s="3">
        <v>28.4</v>
      </c>
      <c r="I806" s="3">
        <v>7231.6</v>
      </c>
      <c r="J806" s="1" t="s">
        <v>87</v>
      </c>
      <c r="K806" s="1" t="s">
        <v>112</v>
      </c>
      <c r="L806" t="str">
        <f>VLOOKUP(D806, Products!A:C, 3, FALSE)</f>
        <v>Sports</v>
      </c>
      <c r="M806" t="str">
        <f>VLOOKUP(C806, Customers!A:E, 5, FALSE)</f>
        <v>Retail</v>
      </c>
      <c r="N806">
        <f>VLOOKUP(C806, Customers!A:E, 3, FALSE)</f>
        <v>54</v>
      </c>
      <c r="O806" s="93" t="str">
        <f>VLOOKUP(E806, Sales_Reps!A:C, 3, FALSE)</f>
        <v>South</v>
      </c>
      <c r="P806">
        <f>VLOOKUP(D806, Products!A:E, 4, FALSE)</f>
        <v>516</v>
      </c>
      <c r="Q806">
        <f>IF(COUNTIF($A$2:A806, A806)=2, 1, 0)</f>
        <v>0</v>
      </c>
      <c r="R806">
        <f>IF(ISNA(MATCH(C806, Customers!$A:$A, 0)), 1, 0)</f>
        <v>0</v>
      </c>
      <c r="S806" s="94" t="b">
        <f>VLOOKUP(D806, Products!A:F, 6, FALSE)</f>
        <v>1</v>
      </c>
    </row>
    <row r="807" spans="1:19">
      <c r="A807" s="102" t="s">
        <v>1279</v>
      </c>
      <c r="B807" s="2">
        <v>45401</v>
      </c>
      <c r="C807" s="1" t="s">
        <v>1051</v>
      </c>
      <c r="D807" s="1" t="s">
        <v>659</v>
      </c>
      <c r="E807" s="1" t="s">
        <v>154</v>
      </c>
      <c r="F807" s="83">
        <v>1</v>
      </c>
      <c r="G807" s="92">
        <v>3560</v>
      </c>
      <c r="H807" s="3">
        <v>26</v>
      </c>
      <c r="I807" s="3">
        <v>2634.4</v>
      </c>
      <c r="J807" s="1" t="s">
        <v>87</v>
      </c>
      <c r="K807" s="1" t="s">
        <v>112</v>
      </c>
      <c r="L807" t="str">
        <f>VLOOKUP(D807, Products!A:C, 3, FALSE)</f>
        <v>Apparel</v>
      </c>
      <c r="M807" t="str">
        <f>VLOOKUP(C807, Customers!A:E, 5, FALSE)</f>
        <v>Retail</v>
      </c>
      <c r="N807">
        <f>VLOOKUP(C807, Customers!A:E, 3, FALSE)</f>
        <v>54</v>
      </c>
      <c r="O807" s="93" t="str">
        <f>VLOOKUP(E807, Sales_Reps!A:C, 3, FALSE)</f>
        <v>East</v>
      </c>
      <c r="P807">
        <f>VLOOKUP(D807, Products!A:E, 4, FALSE)</f>
        <v>2629</v>
      </c>
      <c r="Q807">
        <f>IF(COUNTIF($A$2:A807, A807)=2, 1, 0)</f>
        <v>0</v>
      </c>
      <c r="R807">
        <f>IF(ISNA(MATCH(C807, Customers!$A:$A, 0)), 1, 0)</f>
        <v>0</v>
      </c>
      <c r="S807" s="94" t="b">
        <f>VLOOKUP(D807, Products!A:F, 6, FALSE)</f>
        <v>1</v>
      </c>
    </row>
    <row r="808" spans="1:19">
      <c r="A808" s="102" t="s">
        <v>1280</v>
      </c>
      <c r="B808" s="2">
        <v>45397</v>
      </c>
      <c r="C808" s="1" t="s">
        <v>454</v>
      </c>
      <c r="D808" s="1" t="s">
        <v>276</v>
      </c>
      <c r="E808" s="1" t="s">
        <v>103</v>
      </c>
      <c r="F808" s="83">
        <v>8</v>
      </c>
      <c r="G808" s="92">
        <v>3020</v>
      </c>
      <c r="H808" s="3">
        <v>6.9</v>
      </c>
      <c r="I808" s="3">
        <v>22492.959999999999</v>
      </c>
      <c r="J808" s="1" t="s">
        <v>87</v>
      </c>
      <c r="K808" s="1" t="s">
        <v>133</v>
      </c>
      <c r="L808" t="str">
        <f>VLOOKUP(D808, Products!A:C, 3, FALSE)</f>
        <v>Beauty</v>
      </c>
      <c r="M808" t="str">
        <f>VLOOKUP(C808, Customers!A:E, 5, FALSE)</f>
        <v>Corporate</v>
      </c>
      <c r="N808">
        <f>VLOOKUP(C808, Customers!A:E, 3, FALSE)</f>
        <v>43</v>
      </c>
      <c r="O808" s="93" t="str">
        <f>VLOOKUP(E808, Sales_Reps!A:C, 3, FALSE)</f>
        <v>North</v>
      </c>
      <c r="P808">
        <f>VLOOKUP(D808, Products!A:E, 4, FALSE)</f>
        <v>1626</v>
      </c>
      <c r="Q808">
        <f>IF(COUNTIF($A$2:A808, A808)=2, 1, 0)</f>
        <v>0</v>
      </c>
      <c r="R808">
        <f>IF(ISNA(MATCH(C808, Customers!$A:$A, 0)), 1, 0)</f>
        <v>0</v>
      </c>
      <c r="S808" s="94" t="b">
        <f>VLOOKUP(D808, Products!A:F, 6, FALSE)</f>
        <v>1</v>
      </c>
    </row>
    <row r="809" spans="1:19">
      <c r="A809" s="102" t="s">
        <v>1281</v>
      </c>
      <c r="B809" s="2">
        <v>45301</v>
      </c>
      <c r="C809" s="1" t="s">
        <v>585</v>
      </c>
      <c r="D809" s="1" t="s">
        <v>264</v>
      </c>
      <c r="E809" s="1" t="s">
        <v>238</v>
      </c>
      <c r="F809" s="83">
        <v>1</v>
      </c>
      <c r="G809" s="92">
        <v>4070</v>
      </c>
      <c r="H809" s="3">
        <v>8.1999999999999993</v>
      </c>
      <c r="I809" s="3">
        <v>3736.26</v>
      </c>
      <c r="J809" s="1" t="s">
        <v>87</v>
      </c>
      <c r="K809" s="1" t="s">
        <v>94</v>
      </c>
      <c r="L809" t="str">
        <f>VLOOKUP(D809, Products!A:C, 3, FALSE)</f>
        <v>Grocery</v>
      </c>
      <c r="M809" t="str">
        <f>VLOOKUP(C809, Customers!A:E, 5, FALSE)</f>
        <v>Retail</v>
      </c>
      <c r="N809">
        <f>VLOOKUP(C809, Customers!A:E, 3, FALSE)</f>
        <v>26</v>
      </c>
      <c r="O809" s="93" t="str">
        <f>VLOOKUP(E809, Sales_Reps!A:C, 3, FALSE)</f>
        <v>East</v>
      </c>
      <c r="P809">
        <f>VLOOKUP(D809, Products!A:E, 4, FALSE)</f>
        <v>2027</v>
      </c>
      <c r="Q809">
        <f>IF(COUNTIF($A$2:A809, A809)=2, 1, 0)</f>
        <v>0</v>
      </c>
      <c r="R809">
        <f>IF(ISNA(MATCH(C809, Customers!$A:$A, 0)), 1, 0)</f>
        <v>0</v>
      </c>
      <c r="S809" s="94" t="b">
        <f>VLOOKUP(D809, Products!A:F, 6, FALSE)</f>
        <v>1</v>
      </c>
    </row>
    <row r="810" spans="1:19">
      <c r="A810" s="102" t="s">
        <v>1282</v>
      </c>
      <c r="B810" s="2">
        <v>45347</v>
      </c>
      <c r="C810" s="1" t="s">
        <v>1234</v>
      </c>
      <c r="D810" s="1" t="s">
        <v>110</v>
      </c>
      <c r="E810" s="1" t="s">
        <v>192</v>
      </c>
      <c r="F810" s="83">
        <v>9</v>
      </c>
      <c r="G810" s="92">
        <v>370</v>
      </c>
      <c r="H810" s="3">
        <v>19.8</v>
      </c>
      <c r="I810" s="3">
        <v>2670.66</v>
      </c>
      <c r="J810" s="1" t="s">
        <v>87</v>
      </c>
      <c r="K810" s="1" t="s">
        <v>112</v>
      </c>
      <c r="L810" t="str">
        <f>VLOOKUP(D810, Products!A:C, 3, FALSE)</f>
        <v>Home</v>
      </c>
      <c r="M810" t="str">
        <f>VLOOKUP(C810, Customers!A:E, 5, FALSE)</f>
        <v>Retail</v>
      </c>
      <c r="N810">
        <f>VLOOKUP(C810, Customers!A:E, 3, FALSE)</f>
        <v>29</v>
      </c>
      <c r="O810" s="93" t="str">
        <f>VLOOKUP(E810, Sales_Reps!A:C, 3, FALSE)</f>
        <v>East</v>
      </c>
      <c r="P810">
        <f>VLOOKUP(D810, Products!A:E, 4, FALSE)</f>
        <v>288</v>
      </c>
      <c r="Q810">
        <f>IF(COUNTIF($A$2:A810, A810)=2, 1, 0)</f>
        <v>0</v>
      </c>
      <c r="R810">
        <f>IF(ISNA(MATCH(C810, Customers!$A:$A, 0)), 1, 0)</f>
        <v>0</v>
      </c>
      <c r="S810" s="94" t="b">
        <f>VLOOKUP(D810, Products!A:F, 6, FALSE)</f>
        <v>1</v>
      </c>
    </row>
    <row r="811" spans="1:19">
      <c r="A811" s="102" t="s">
        <v>1283</v>
      </c>
      <c r="B811" s="2">
        <v>45544</v>
      </c>
      <c r="C811" s="1" t="s">
        <v>883</v>
      </c>
      <c r="D811" s="1" t="s">
        <v>127</v>
      </c>
      <c r="E811" s="1" t="s">
        <v>192</v>
      </c>
      <c r="F811" s="83">
        <v>6</v>
      </c>
      <c r="G811" s="92">
        <v>970</v>
      </c>
      <c r="H811" s="3">
        <v>16.2</v>
      </c>
      <c r="I811" s="3">
        <v>4877.16</v>
      </c>
      <c r="J811" s="1" t="s">
        <v>87</v>
      </c>
      <c r="K811" s="1" t="s">
        <v>133</v>
      </c>
      <c r="L811" t="str">
        <f>VLOOKUP(D811, Products!A:C, 3, FALSE)</f>
        <v>Grocery</v>
      </c>
      <c r="M811" t="str">
        <f>VLOOKUP(C811, Customers!A:E, 5, FALSE)</f>
        <v>SMB</v>
      </c>
      <c r="N811">
        <f>VLOOKUP(C811, Customers!A:E, 3, FALSE)</f>
        <v>28</v>
      </c>
      <c r="O811" s="93" t="str">
        <f>VLOOKUP(E811, Sales_Reps!A:C, 3, FALSE)</f>
        <v>East</v>
      </c>
      <c r="P811">
        <f>VLOOKUP(D811, Products!A:E, 4, FALSE)</f>
        <v>434</v>
      </c>
      <c r="Q811">
        <f>IF(COUNTIF($A$2:A811, A811)=2, 1, 0)</f>
        <v>0</v>
      </c>
      <c r="R811">
        <f>IF(ISNA(MATCH(C811, Customers!$A:$A, 0)), 1, 0)</f>
        <v>0</v>
      </c>
      <c r="S811" s="94" t="b">
        <f>VLOOKUP(D811, Products!A:F, 6, FALSE)</f>
        <v>1</v>
      </c>
    </row>
    <row r="812" spans="1:19">
      <c r="A812" s="102" t="s">
        <v>1284</v>
      </c>
      <c r="B812" s="2">
        <v>45633</v>
      </c>
      <c r="C812" s="1" t="s">
        <v>316</v>
      </c>
      <c r="D812" s="1" t="s">
        <v>173</v>
      </c>
      <c r="E812" s="1" t="s">
        <v>121</v>
      </c>
      <c r="F812" s="83">
        <v>10</v>
      </c>
      <c r="G812" s="92">
        <v>2720</v>
      </c>
      <c r="H812" s="3">
        <v>3</v>
      </c>
      <c r="I812" s="3">
        <v>26384</v>
      </c>
      <c r="J812" s="1" t="s">
        <v>93</v>
      </c>
      <c r="K812" s="1" t="s">
        <v>88</v>
      </c>
      <c r="L812" t="str">
        <f>VLOOKUP(D812, Products!A:C, 3, FALSE)</f>
        <v>Apparel</v>
      </c>
      <c r="M812" t="str">
        <f>VLOOKUP(C812, Customers!A:E, 5, FALSE)</f>
        <v>SMB</v>
      </c>
      <c r="N812">
        <f>VLOOKUP(C812, Customers!A:E, 3, FALSE)</f>
        <v>60</v>
      </c>
      <c r="O812" s="93" t="str">
        <f>VLOOKUP(E812, Sales_Reps!A:C, 3, FALSE)</f>
        <v>East</v>
      </c>
      <c r="P812">
        <f>VLOOKUP(D812, Products!A:E, 4, FALSE)</f>
        <v>1962</v>
      </c>
      <c r="Q812">
        <f>IF(COUNTIF($A$2:A812, A812)=2, 1, 0)</f>
        <v>0</v>
      </c>
      <c r="R812">
        <f>IF(ISNA(MATCH(C812, Customers!$A:$A, 0)), 1, 0)</f>
        <v>0</v>
      </c>
      <c r="S812" s="94" t="b">
        <f>VLOOKUP(D812, Products!A:F, 6, FALSE)</f>
        <v>1</v>
      </c>
    </row>
    <row r="813" spans="1:19">
      <c r="A813" s="102" t="s">
        <v>1285</v>
      </c>
      <c r="B813" s="2">
        <v>45293</v>
      </c>
      <c r="C813" s="1" t="s">
        <v>757</v>
      </c>
      <c r="D813" s="1" t="s">
        <v>151</v>
      </c>
      <c r="E813" s="1" t="s">
        <v>98</v>
      </c>
      <c r="F813" s="83">
        <v>7</v>
      </c>
      <c r="G813" s="92">
        <v>2400</v>
      </c>
      <c r="H813" s="3">
        <v>29.4</v>
      </c>
      <c r="I813" s="3">
        <v>11860.8</v>
      </c>
      <c r="J813" s="1" t="s">
        <v>87</v>
      </c>
      <c r="K813" s="1" t="s">
        <v>117</v>
      </c>
      <c r="L813" t="str">
        <f>VLOOKUP(D813, Products!A:C, 3, FALSE)</f>
        <v>Sports</v>
      </c>
      <c r="M813" t="str">
        <f>VLOOKUP(C813, Customers!A:E, 5, FALSE)</f>
        <v>Corporate</v>
      </c>
      <c r="N813">
        <f>VLOOKUP(C813, Customers!A:E, 3, FALSE)</f>
        <v>43</v>
      </c>
      <c r="O813" s="93" t="str">
        <f>VLOOKUP(E813, Sales_Reps!A:C, 3, FALSE)</f>
        <v>South</v>
      </c>
      <c r="P813">
        <f>VLOOKUP(D813, Products!A:E, 4, FALSE)</f>
        <v>974</v>
      </c>
      <c r="Q813">
        <f>IF(COUNTIF($A$2:A813, A813)=2, 1, 0)</f>
        <v>0</v>
      </c>
      <c r="R813">
        <f>IF(ISNA(MATCH(C813, Customers!$A:$A, 0)), 1, 0)</f>
        <v>0</v>
      </c>
      <c r="S813" s="94" t="b">
        <f>VLOOKUP(D813, Products!A:F, 6, FALSE)</f>
        <v>1</v>
      </c>
    </row>
    <row r="814" spans="1:19">
      <c r="A814" s="102" t="s">
        <v>1286</v>
      </c>
      <c r="B814" s="2">
        <v>45564</v>
      </c>
      <c r="C814" s="1" t="s">
        <v>442</v>
      </c>
      <c r="D814" s="1" t="s">
        <v>659</v>
      </c>
      <c r="E814" s="1" t="s">
        <v>325</v>
      </c>
      <c r="F814" s="83">
        <v>8</v>
      </c>
      <c r="G814" s="92">
        <v>3560</v>
      </c>
      <c r="H814" s="3">
        <v>21.7</v>
      </c>
      <c r="I814" s="3">
        <v>22299.84</v>
      </c>
      <c r="J814" s="1" t="s">
        <v>87</v>
      </c>
      <c r="K814" s="1" t="s">
        <v>88</v>
      </c>
      <c r="L814" t="str">
        <f>VLOOKUP(D814, Products!A:C, 3, FALSE)</f>
        <v>Apparel</v>
      </c>
      <c r="M814" t="str">
        <f>VLOOKUP(C814, Customers!A:E, 5, FALSE)</f>
        <v>Retail</v>
      </c>
      <c r="N814">
        <f>VLOOKUP(C814, Customers!A:E, 3, FALSE)</f>
        <v>65</v>
      </c>
      <c r="O814" s="93" t="str">
        <f>VLOOKUP(E814, Sales_Reps!A:C, 3, FALSE)</f>
        <v>South</v>
      </c>
      <c r="P814">
        <f>VLOOKUP(D814, Products!A:E, 4, FALSE)</f>
        <v>2629</v>
      </c>
      <c r="Q814">
        <f>IF(COUNTIF($A$2:A814, A814)=2, 1, 0)</f>
        <v>0</v>
      </c>
      <c r="R814">
        <f>IF(ISNA(MATCH(C814, Customers!$A:$A, 0)), 1, 0)</f>
        <v>0</v>
      </c>
      <c r="S814" s="94" t="b">
        <f>VLOOKUP(D814, Products!A:F, 6, FALSE)</f>
        <v>1</v>
      </c>
    </row>
    <row r="815" spans="1:19">
      <c r="A815" s="102" t="s">
        <v>1287</v>
      </c>
      <c r="B815" s="2">
        <v>45385</v>
      </c>
      <c r="C815" s="1" t="s">
        <v>781</v>
      </c>
      <c r="D815" s="1" t="s">
        <v>264</v>
      </c>
      <c r="E815" s="1" t="s">
        <v>188</v>
      </c>
      <c r="F815" s="83">
        <v>7</v>
      </c>
      <c r="G815" s="92">
        <v>4070</v>
      </c>
      <c r="H815" s="3">
        <v>10.5</v>
      </c>
      <c r="I815" s="3">
        <v>25498.55</v>
      </c>
      <c r="J815" s="1" t="s">
        <v>87</v>
      </c>
      <c r="K815" s="1" t="s">
        <v>99</v>
      </c>
      <c r="L815" t="str">
        <f>VLOOKUP(D815, Products!A:C, 3, FALSE)</f>
        <v>Grocery</v>
      </c>
      <c r="M815" t="str">
        <f>VLOOKUP(C815, Customers!A:E, 5, FALSE)</f>
        <v>SMB</v>
      </c>
      <c r="N815">
        <f>VLOOKUP(C815, Customers!A:E, 3, FALSE)</f>
        <v>29</v>
      </c>
      <c r="O815" s="93" t="str">
        <f>VLOOKUP(E815, Sales_Reps!A:C, 3, FALSE)</f>
        <v>South</v>
      </c>
      <c r="P815">
        <f>VLOOKUP(D815, Products!A:E, 4, FALSE)</f>
        <v>2027</v>
      </c>
      <c r="Q815">
        <f>IF(COUNTIF($A$2:A815, A815)=2, 1, 0)</f>
        <v>0</v>
      </c>
      <c r="R815">
        <f>IF(ISNA(MATCH(C815, Customers!$A:$A, 0)), 1, 0)</f>
        <v>0</v>
      </c>
      <c r="S815" s="94" t="b">
        <f>VLOOKUP(D815, Products!A:F, 6, FALSE)</f>
        <v>1</v>
      </c>
    </row>
    <row r="816" spans="1:19">
      <c r="A816" s="102" t="s">
        <v>1288</v>
      </c>
      <c r="B816" s="2">
        <v>45299</v>
      </c>
      <c r="C816" s="1" t="s">
        <v>615</v>
      </c>
      <c r="D816" s="1" t="s">
        <v>360</v>
      </c>
      <c r="E816" s="1" t="s">
        <v>107</v>
      </c>
      <c r="F816" s="83">
        <v>3</v>
      </c>
      <c r="G816" s="92">
        <v>5410</v>
      </c>
      <c r="H816" s="3">
        <v>0.2</v>
      </c>
      <c r="I816" s="3">
        <v>16197.54</v>
      </c>
      <c r="J816" s="1" t="s">
        <v>87</v>
      </c>
      <c r="K816" s="1" t="s">
        <v>112</v>
      </c>
      <c r="L816" t="str">
        <f>VLOOKUP(D816, Products!A:C, 3, FALSE)</f>
        <v>Sports</v>
      </c>
      <c r="M816" t="str">
        <f>VLOOKUP(C816, Customers!A:E, 5, FALSE)</f>
        <v>Retail</v>
      </c>
      <c r="N816">
        <f>VLOOKUP(C816, Customers!A:E, 3, FALSE)</f>
        <v>53</v>
      </c>
      <c r="O816" s="93" t="str">
        <f>VLOOKUP(E816, Sales_Reps!A:C, 3, FALSE)</f>
        <v>North</v>
      </c>
      <c r="P816">
        <f>VLOOKUP(D816, Products!A:E, 4, FALSE)</f>
        <v>2265</v>
      </c>
      <c r="Q816">
        <f>IF(COUNTIF($A$2:A816, A816)=2, 1, 0)</f>
        <v>0</v>
      </c>
      <c r="R816">
        <f>IF(ISNA(MATCH(C816, Customers!$A:$A, 0)), 1, 0)</f>
        <v>0</v>
      </c>
      <c r="S816" s="94" t="b">
        <f>VLOOKUP(D816, Products!A:F, 6, FALSE)</f>
        <v>1</v>
      </c>
    </row>
    <row r="817" spans="1:19">
      <c r="A817" s="102" t="s">
        <v>1289</v>
      </c>
      <c r="B817" s="2">
        <v>45651</v>
      </c>
      <c r="C817" s="1" t="s">
        <v>533</v>
      </c>
      <c r="D817" s="1" t="s">
        <v>200</v>
      </c>
      <c r="E817" s="1" t="s">
        <v>128</v>
      </c>
      <c r="F817" s="83">
        <v>4</v>
      </c>
      <c r="G817" s="92">
        <v>2760</v>
      </c>
      <c r="H817" s="3">
        <v>27.5</v>
      </c>
      <c r="I817" s="3">
        <v>8004</v>
      </c>
      <c r="J817" s="1" t="s">
        <v>140</v>
      </c>
      <c r="K817" s="1" t="s">
        <v>99</v>
      </c>
      <c r="L817" t="str">
        <f>VLOOKUP(D817, Products!A:C, 3, FALSE)</f>
        <v>Grocery</v>
      </c>
      <c r="M817" t="str">
        <f>VLOOKUP(C817, Customers!A:E, 5, FALSE)</f>
        <v>SMB</v>
      </c>
      <c r="N817">
        <f>VLOOKUP(C817, Customers!A:E, 3, FALSE)</f>
        <v>48</v>
      </c>
      <c r="O817" s="93" t="str">
        <f>VLOOKUP(E817, Sales_Reps!A:C, 3, FALSE)</f>
        <v>West</v>
      </c>
      <c r="P817">
        <f>VLOOKUP(D817, Products!A:E, 4, FALSE)</f>
        <v>1435</v>
      </c>
      <c r="Q817">
        <f>IF(COUNTIF($A$2:A817, A817)=2, 1, 0)</f>
        <v>0</v>
      </c>
      <c r="R817">
        <f>IF(ISNA(MATCH(C817, Customers!$A:$A, 0)), 1, 0)</f>
        <v>0</v>
      </c>
      <c r="S817" s="94" t="b">
        <f>VLOOKUP(D817, Products!A:F, 6, FALSE)</f>
        <v>1</v>
      </c>
    </row>
    <row r="818" spans="1:19">
      <c r="A818" s="102" t="s">
        <v>1290</v>
      </c>
      <c r="B818" s="2">
        <v>45474</v>
      </c>
      <c r="C818" s="1" t="s">
        <v>457</v>
      </c>
      <c r="D818" s="1" t="s">
        <v>443</v>
      </c>
      <c r="E818" s="1" t="s">
        <v>252</v>
      </c>
      <c r="F818" s="83">
        <v>3</v>
      </c>
      <c r="G818" s="92">
        <v>5080</v>
      </c>
      <c r="H818" s="3">
        <v>27.2</v>
      </c>
      <c r="I818" s="3">
        <v>11094.72</v>
      </c>
      <c r="J818" s="1" t="s">
        <v>87</v>
      </c>
      <c r="K818" s="1" t="s">
        <v>88</v>
      </c>
      <c r="L818" t="str">
        <f>VLOOKUP(D818, Products!A:C, 3, FALSE)</f>
        <v>Home</v>
      </c>
      <c r="M818" t="str">
        <f>VLOOKUP(C818, Customers!A:E, 5, FALSE)</f>
        <v>Retail</v>
      </c>
      <c r="N818">
        <f>VLOOKUP(C818, Customers!A:E, 3, FALSE)</f>
        <v>29</v>
      </c>
      <c r="O818" s="93" t="str">
        <f>VLOOKUP(E818, Sales_Reps!A:C, 3, FALSE)</f>
        <v>South</v>
      </c>
      <c r="P818">
        <f>VLOOKUP(D818, Products!A:E, 4, FALSE)</f>
        <v>2459</v>
      </c>
      <c r="Q818">
        <f>IF(COUNTIF($A$2:A818, A818)=2, 1, 0)</f>
        <v>0</v>
      </c>
      <c r="R818">
        <f>IF(ISNA(MATCH(C818, Customers!$A:$A, 0)), 1, 0)</f>
        <v>0</v>
      </c>
      <c r="S818" s="94" t="b">
        <f>VLOOKUP(D818, Products!A:F, 6, FALSE)</f>
        <v>1</v>
      </c>
    </row>
    <row r="819" spans="1:19">
      <c r="A819" s="102" t="s">
        <v>1291</v>
      </c>
      <c r="B819" s="2">
        <v>45391</v>
      </c>
      <c r="C819" s="1" t="s">
        <v>1172</v>
      </c>
      <c r="D819" s="1" t="s">
        <v>502</v>
      </c>
      <c r="E819" s="1" t="s">
        <v>238</v>
      </c>
      <c r="F819" s="83">
        <v>5</v>
      </c>
      <c r="G819" s="92">
        <v>1090</v>
      </c>
      <c r="H819" s="3">
        <v>3.3</v>
      </c>
      <c r="I819" s="3">
        <v>5270.15</v>
      </c>
      <c r="J819" s="1" t="s">
        <v>87</v>
      </c>
      <c r="K819" s="1" t="s">
        <v>88</v>
      </c>
      <c r="L819" t="str">
        <f>VLOOKUP(D819, Products!A:C, 3, FALSE)</f>
        <v>Home</v>
      </c>
      <c r="M819" t="str">
        <f>VLOOKUP(C819, Customers!A:E, 5, FALSE)</f>
        <v>Retail</v>
      </c>
      <c r="N819">
        <f>VLOOKUP(C819, Customers!A:E, 3, FALSE)</f>
        <v>39</v>
      </c>
      <c r="O819" s="93" t="str">
        <f>VLOOKUP(E819, Sales_Reps!A:C, 3, FALSE)</f>
        <v>East</v>
      </c>
      <c r="P819">
        <f>VLOOKUP(D819, Products!A:E, 4, FALSE)</f>
        <v>464</v>
      </c>
      <c r="Q819">
        <f>IF(COUNTIF($A$2:A819, A819)=2, 1, 0)</f>
        <v>0</v>
      </c>
      <c r="R819">
        <f>IF(ISNA(MATCH(C819, Customers!$A:$A, 0)), 1, 0)</f>
        <v>0</v>
      </c>
      <c r="S819" s="94" t="b">
        <f>VLOOKUP(D819, Products!A:F, 6, FALSE)</f>
        <v>1</v>
      </c>
    </row>
    <row r="820" spans="1:19">
      <c r="A820" s="102" t="s">
        <v>1292</v>
      </c>
      <c r="B820" s="2">
        <v>45328</v>
      </c>
      <c r="C820" s="1" t="s">
        <v>841</v>
      </c>
      <c r="D820" s="1" t="s">
        <v>367</v>
      </c>
      <c r="E820" s="1" t="s">
        <v>229</v>
      </c>
      <c r="F820" s="83">
        <v>10</v>
      </c>
      <c r="G820" s="92">
        <v>2380</v>
      </c>
      <c r="H820" s="3">
        <v>7</v>
      </c>
      <c r="I820" s="3">
        <v>22134</v>
      </c>
      <c r="J820" s="1" t="s">
        <v>87</v>
      </c>
      <c r="K820" s="1" t="s">
        <v>117</v>
      </c>
      <c r="L820" t="str">
        <f>VLOOKUP(D820, Products!A:C, 3, FALSE)</f>
        <v>Grocery</v>
      </c>
      <c r="M820" t="str">
        <f>VLOOKUP(C820, Customers!A:E, 5, FALSE)</f>
        <v>Corporate</v>
      </c>
      <c r="N820">
        <f>VLOOKUP(C820, Customers!A:E, 3, FALSE)</f>
        <v>41</v>
      </c>
      <c r="O820" s="93" t="str">
        <f>VLOOKUP(E820, Sales_Reps!A:C, 3, FALSE)</f>
        <v>West</v>
      </c>
      <c r="P820">
        <f>VLOOKUP(D820, Products!A:E, 4, FALSE)</f>
        <v>1182</v>
      </c>
      <c r="Q820">
        <f>IF(COUNTIF($A$2:A820, A820)=2, 1, 0)</f>
        <v>0</v>
      </c>
      <c r="R820">
        <f>IF(ISNA(MATCH(C820, Customers!$A:$A, 0)), 1, 0)</f>
        <v>0</v>
      </c>
      <c r="S820" s="94" t="b">
        <f>VLOOKUP(D820, Products!A:F, 6, FALSE)</f>
        <v>1</v>
      </c>
    </row>
    <row r="821" spans="1:19">
      <c r="A821" s="102" t="s">
        <v>1293</v>
      </c>
      <c r="B821" s="2">
        <v>45490</v>
      </c>
      <c r="C821" s="1" t="s">
        <v>1294</v>
      </c>
      <c r="D821" s="1" t="s">
        <v>106</v>
      </c>
      <c r="E821" s="1" t="s">
        <v>201</v>
      </c>
      <c r="F821" s="83">
        <v>5</v>
      </c>
      <c r="G821" s="92">
        <v>3160</v>
      </c>
      <c r="H821" s="3">
        <v>25.6</v>
      </c>
      <c r="I821" s="3">
        <v>11755.2</v>
      </c>
      <c r="J821" s="1" t="s">
        <v>87</v>
      </c>
      <c r="K821" s="1" t="s">
        <v>94</v>
      </c>
      <c r="L821" t="str">
        <f>VLOOKUP(D821, Products!A:C, 3, FALSE)</f>
        <v>Apparel</v>
      </c>
      <c r="M821" t="str">
        <f>VLOOKUP(C821, Customers!A:E, 5, FALSE)</f>
        <v>SMB</v>
      </c>
      <c r="N821">
        <f>VLOOKUP(C821, Customers!A:E, 3, FALSE)</f>
        <v>43</v>
      </c>
      <c r="O821" s="93" t="str">
        <f>VLOOKUP(E821, Sales_Reps!A:C, 3, FALSE)</f>
        <v>West</v>
      </c>
      <c r="P821">
        <f>VLOOKUP(D821, Products!A:E, 4, FALSE)</f>
        <v>1886</v>
      </c>
      <c r="Q821">
        <f>IF(COUNTIF($A$2:A821, A821)=2, 1, 0)</f>
        <v>0</v>
      </c>
      <c r="R821">
        <f>IF(ISNA(MATCH(C821, Customers!$A:$A, 0)), 1, 0)</f>
        <v>0</v>
      </c>
      <c r="S821" s="94" t="b">
        <f>VLOOKUP(D821, Products!A:F, 6, FALSE)</f>
        <v>1</v>
      </c>
    </row>
    <row r="822" spans="1:19">
      <c r="A822" s="102" t="s">
        <v>1295</v>
      </c>
      <c r="B822" s="2">
        <v>45362</v>
      </c>
      <c r="C822" s="1" t="s">
        <v>905</v>
      </c>
      <c r="D822" s="1" t="s">
        <v>151</v>
      </c>
      <c r="E822" s="1" t="s">
        <v>229</v>
      </c>
      <c r="F822" s="83">
        <v>9</v>
      </c>
      <c r="G822" s="92">
        <v>2400</v>
      </c>
      <c r="H822" s="3">
        <v>8.4</v>
      </c>
      <c r="I822" s="3">
        <v>19785.599999999999</v>
      </c>
      <c r="J822" s="1" t="s">
        <v>87</v>
      </c>
      <c r="K822" s="1" t="s">
        <v>112</v>
      </c>
      <c r="L822" t="str">
        <f>VLOOKUP(D822, Products!A:C, 3, FALSE)</f>
        <v>Sports</v>
      </c>
      <c r="M822" t="str">
        <f>VLOOKUP(C822, Customers!A:E, 5, FALSE)</f>
        <v>SMB</v>
      </c>
      <c r="N822">
        <f>VLOOKUP(C822, Customers!A:E, 3, FALSE)</f>
        <v>43</v>
      </c>
      <c r="O822" s="93" t="str">
        <f>VLOOKUP(E822, Sales_Reps!A:C, 3, FALSE)</f>
        <v>West</v>
      </c>
      <c r="P822">
        <f>VLOOKUP(D822, Products!A:E, 4, FALSE)</f>
        <v>974</v>
      </c>
      <c r="Q822">
        <f>IF(COUNTIF($A$2:A822, A822)=2, 1, 0)</f>
        <v>0</v>
      </c>
      <c r="R822">
        <f>IF(ISNA(MATCH(C822, Customers!$A:$A, 0)), 1, 0)</f>
        <v>0</v>
      </c>
      <c r="S822" s="94" t="b">
        <f>VLOOKUP(D822, Products!A:F, 6, FALSE)</f>
        <v>1</v>
      </c>
    </row>
    <row r="823" spans="1:19">
      <c r="A823" s="102" t="s">
        <v>1296</v>
      </c>
      <c r="B823" s="2">
        <v>45449</v>
      </c>
      <c r="C823" s="1" t="s">
        <v>1297</v>
      </c>
      <c r="D823" s="1" t="s">
        <v>138</v>
      </c>
      <c r="E823" s="1" t="s">
        <v>192</v>
      </c>
      <c r="F823" s="83">
        <v>4</v>
      </c>
      <c r="G823" s="92">
        <v>2600</v>
      </c>
      <c r="H823" s="3">
        <v>4.2</v>
      </c>
      <c r="I823" s="3">
        <v>9963.2000000000007</v>
      </c>
      <c r="J823" s="1" t="s">
        <v>87</v>
      </c>
      <c r="K823" s="1" t="s">
        <v>112</v>
      </c>
      <c r="L823" t="str">
        <f>VLOOKUP(D823, Products!A:C, 3, FALSE)</f>
        <v>Electronics</v>
      </c>
      <c r="M823" t="str">
        <f>VLOOKUP(C823, Customers!A:E, 5, FALSE)</f>
        <v>Retail</v>
      </c>
      <c r="N823">
        <f>VLOOKUP(C823, Customers!A:E, 3, FALSE)</f>
        <v>38</v>
      </c>
      <c r="O823" s="93" t="str">
        <f>VLOOKUP(E823, Sales_Reps!A:C, 3, FALSE)</f>
        <v>East</v>
      </c>
      <c r="P823">
        <f>VLOOKUP(D823, Products!A:E, 4, FALSE)</f>
        <v>1052</v>
      </c>
      <c r="Q823">
        <f>IF(COUNTIF($A$2:A823, A823)=2, 1, 0)</f>
        <v>0</v>
      </c>
      <c r="R823">
        <f>IF(ISNA(MATCH(C823, Customers!$A:$A, 0)), 1, 0)</f>
        <v>0</v>
      </c>
      <c r="S823" s="94" t="b">
        <f>VLOOKUP(D823, Products!A:F, 6, FALSE)</f>
        <v>1</v>
      </c>
    </row>
    <row r="824" spans="1:19">
      <c r="A824" s="102" t="s">
        <v>1298</v>
      </c>
      <c r="B824" s="2">
        <v>45409</v>
      </c>
      <c r="C824" s="1" t="s">
        <v>1299</v>
      </c>
      <c r="D824" s="1" t="s">
        <v>131</v>
      </c>
      <c r="E824" s="1" t="s">
        <v>154</v>
      </c>
      <c r="F824" s="83">
        <v>5</v>
      </c>
      <c r="G824" s="92">
        <v>2270</v>
      </c>
      <c r="H824" s="3">
        <v>0.1</v>
      </c>
      <c r="I824" s="3">
        <v>11338.65</v>
      </c>
      <c r="J824" s="1" t="s">
        <v>87</v>
      </c>
      <c r="K824" s="1" t="s">
        <v>112</v>
      </c>
      <c r="L824" t="str">
        <f>VLOOKUP(D824, Products!A:C, 3, FALSE)</f>
        <v>Grocery</v>
      </c>
      <c r="M824" t="e">
        <f>VLOOKUP(C824, Customers!A:E, 5, FALSE)</f>
        <v>#N/A</v>
      </c>
      <c r="N824" t="e">
        <f>VLOOKUP(C824, Customers!A:E, 3, FALSE)</f>
        <v>#N/A</v>
      </c>
      <c r="O824" s="93" t="str">
        <f>VLOOKUP(E824, Sales_Reps!A:C, 3, FALSE)</f>
        <v>East</v>
      </c>
      <c r="P824">
        <f>VLOOKUP(D824, Products!A:E, 4, FALSE)</f>
        <v>1203</v>
      </c>
      <c r="Q824">
        <f>IF(COUNTIF($A$2:A824, A824)=2, 1, 0)</f>
        <v>0</v>
      </c>
      <c r="R824">
        <f>IF(ISNA(MATCH(C824, Customers!$A:$A, 0)), 1, 0)</f>
        <v>1</v>
      </c>
      <c r="S824" s="94" t="b">
        <f>VLOOKUP(D824, Products!A:F, 6, FALSE)</f>
        <v>1</v>
      </c>
    </row>
    <row r="825" spans="1:19">
      <c r="A825" s="102" t="s">
        <v>1300</v>
      </c>
      <c r="B825" s="2">
        <v>45465</v>
      </c>
      <c r="C825" s="1" t="s">
        <v>841</v>
      </c>
      <c r="D825" s="1" t="s">
        <v>124</v>
      </c>
      <c r="E825" s="1" t="s">
        <v>192</v>
      </c>
      <c r="F825" s="83">
        <v>7</v>
      </c>
      <c r="G825" s="92">
        <v>5490</v>
      </c>
      <c r="H825" s="3">
        <v>14.9</v>
      </c>
      <c r="I825" s="3">
        <v>32703.93</v>
      </c>
      <c r="J825" s="1" t="s">
        <v>87</v>
      </c>
      <c r="K825" s="1" t="s">
        <v>117</v>
      </c>
      <c r="L825" t="str">
        <f>VLOOKUP(D825, Products!A:C, 3, FALSE)</f>
        <v>Home</v>
      </c>
      <c r="M825" t="str">
        <f>VLOOKUP(C825, Customers!A:E, 5, FALSE)</f>
        <v>Corporate</v>
      </c>
      <c r="N825">
        <f>VLOOKUP(C825, Customers!A:E, 3, FALSE)</f>
        <v>41</v>
      </c>
      <c r="O825" s="93" t="str">
        <f>VLOOKUP(E825, Sales_Reps!A:C, 3, FALSE)</f>
        <v>East</v>
      </c>
      <c r="P825">
        <f>VLOOKUP(D825, Products!A:E, 4, FALSE)</f>
        <v>2549</v>
      </c>
      <c r="Q825">
        <f>IF(COUNTIF($A$2:A825, A825)=2, 1, 0)</f>
        <v>0</v>
      </c>
      <c r="R825">
        <f>IF(ISNA(MATCH(C825, Customers!$A:$A, 0)), 1, 0)</f>
        <v>0</v>
      </c>
      <c r="S825" s="94" t="b">
        <f>VLOOKUP(D825, Products!A:F, 6, FALSE)</f>
        <v>1</v>
      </c>
    </row>
    <row r="826" spans="1:19">
      <c r="A826" s="102" t="s">
        <v>1301</v>
      </c>
      <c r="B826" s="2">
        <v>45415</v>
      </c>
      <c r="C826" s="1" t="s">
        <v>676</v>
      </c>
      <c r="D826" s="1" t="s">
        <v>248</v>
      </c>
      <c r="E826" s="1" t="s">
        <v>204</v>
      </c>
      <c r="F826" s="83">
        <v>5</v>
      </c>
      <c r="G826" s="92">
        <v>3870</v>
      </c>
      <c r="H826" s="3">
        <v>13.3</v>
      </c>
      <c r="I826" s="3">
        <v>16776.45</v>
      </c>
      <c r="J826" s="1" t="s">
        <v>140</v>
      </c>
      <c r="K826" s="1" t="s">
        <v>88</v>
      </c>
      <c r="L826" t="str">
        <f>VLOOKUP(D826, Products!A:C, 3, FALSE)</f>
        <v>Electronics</v>
      </c>
      <c r="M826" t="str">
        <f>VLOOKUP(C826, Customers!A:E, 5, FALSE)</f>
        <v>SMB</v>
      </c>
      <c r="N826">
        <f>VLOOKUP(C826, Customers!A:E, 3, FALSE)</f>
        <v>35</v>
      </c>
      <c r="O826" s="93" t="str">
        <f>VLOOKUP(E826, Sales_Reps!A:C, 3, FALSE)</f>
        <v>South</v>
      </c>
      <c r="P826">
        <f>VLOOKUP(D826, Products!A:E, 4, FALSE)</f>
        <v>1559</v>
      </c>
      <c r="Q826">
        <f>IF(COUNTIF($A$2:A826, A826)=2, 1, 0)</f>
        <v>0</v>
      </c>
      <c r="R826">
        <f>IF(ISNA(MATCH(C826, Customers!$A:$A, 0)), 1, 0)</f>
        <v>0</v>
      </c>
      <c r="S826" s="94" t="b">
        <f>VLOOKUP(D826, Products!A:F, 6, FALSE)</f>
        <v>1</v>
      </c>
    </row>
    <row r="827" spans="1:19">
      <c r="A827" s="102" t="s">
        <v>1302</v>
      </c>
      <c r="B827" s="2">
        <v>45372</v>
      </c>
      <c r="C827" s="1" t="s">
        <v>689</v>
      </c>
      <c r="D827" s="1" t="s">
        <v>380</v>
      </c>
      <c r="E827" s="1" t="s">
        <v>116</v>
      </c>
      <c r="F827" s="83">
        <v>2</v>
      </c>
      <c r="G827" s="92">
        <v>960</v>
      </c>
      <c r="H827" s="3">
        <v>17.5</v>
      </c>
      <c r="I827" s="3">
        <v>1584</v>
      </c>
      <c r="J827" s="1" t="s">
        <v>87</v>
      </c>
      <c r="K827" s="1" t="s">
        <v>133</v>
      </c>
      <c r="L827" t="str">
        <f>VLOOKUP(D827, Products!A:C, 3, FALSE)</f>
        <v>Beauty</v>
      </c>
      <c r="M827" t="str">
        <f>VLOOKUP(C827, Customers!A:E, 5, FALSE)</f>
        <v>Retail</v>
      </c>
      <c r="N827">
        <f>VLOOKUP(C827, Customers!A:E, 3, FALSE)</f>
        <v>28</v>
      </c>
      <c r="O827" s="93" t="str">
        <f>VLOOKUP(E827, Sales_Reps!A:C, 3, FALSE)</f>
        <v>West</v>
      </c>
      <c r="P827">
        <f>VLOOKUP(D827, Products!A:E, 4, FALSE)</f>
        <v>675</v>
      </c>
      <c r="Q827">
        <f>IF(COUNTIF($A$2:A827, A827)=2, 1, 0)</f>
        <v>0</v>
      </c>
      <c r="R827">
        <f>IF(ISNA(MATCH(C827, Customers!$A:$A, 0)), 1, 0)</f>
        <v>0</v>
      </c>
      <c r="S827" s="94" t="b">
        <f>VLOOKUP(D827, Products!A:F, 6, FALSE)</f>
        <v>1</v>
      </c>
    </row>
    <row r="828" spans="1:19">
      <c r="A828" s="102" t="s">
        <v>1303</v>
      </c>
      <c r="B828" s="2">
        <v>45405</v>
      </c>
      <c r="C828" s="1" t="s">
        <v>1055</v>
      </c>
      <c r="D828" s="1" t="s">
        <v>184</v>
      </c>
      <c r="E828" s="1" t="s">
        <v>215</v>
      </c>
      <c r="F828" s="83">
        <v>4</v>
      </c>
      <c r="G828" s="92">
        <v>4880</v>
      </c>
      <c r="H828" s="3">
        <v>12.2</v>
      </c>
      <c r="I828" s="3">
        <v>17138.560000000001</v>
      </c>
      <c r="J828" s="1" t="s">
        <v>140</v>
      </c>
      <c r="K828" s="1" t="s">
        <v>112</v>
      </c>
      <c r="L828" t="str">
        <f>VLOOKUP(D828, Products!A:C, 3, FALSE)</f>
        <v>Beauty</v>
      </c>
      <c r="M828" t="str">
        <f>VLOOKUP(C828, Customers!A:E, 5, FALSE)</f>
        <v>Retail</v>
      </c>
      <c r="N828">
        <f>VLOOKUP(C828, Customers!A:E, 3, FALSE)</f>
        <v>37</v>
      </c>
      <c r="O828" s="93" t="str">
        <f>VLOOKUP(E828, Sales_Reps!A:C, 3, FALSE)</f>
        <v>North</v>
      </c>
      <c r="P828">
        <f>VLOOKUP(D828, Products!A:E, 4, FALSE)</f>
        <v>2768</v>
      </c>
      <c r="Q828">
        <f>IF(COUNTIF($A$2:A828, A828)=2, 1, 0)</f>
        <v>0</v>
      </c>
      <c r="R828">
        <f>IF(ISNA(MATCH(C828, Customers!$A:$A, 0)), 1, 0)</f>
        <v>0</v>
      </c>
      <c r="S828" s="94" t="b">
        <f>VLOOKUP(D828, Products!A:F, 6, FALSE)</f>
        <v>1</v>
      </c>
    </row>
    <row r="829" spans="1:19">
      <c r="A829" s="102" t="s">
        <v>1304</v>
      </c>
      <c r="B829" s="2">
        <v>45419</v>
      </c>
      <c r="C829" s="1" t="s">
        <v>643</v>
      </c>
      <c r="D829" s="1" t="s">
        <v>151</v>
      </c>
      <c r="E829" s="1" t="s">
        <v>107</v>
      </c>
      <c r="F829" s="83">
        <v>5</v>
      </c>
      <c r="G829" s="92">
        <v>2400</v>
      </c>
      <c r="H829" s="3">
        <v>15</v>
      </c>
      <c r="I829" s="3">
        <v>10200</v>
      </c>
      <c r="J829" s="1" t="s">
        <v>87</v>
      </c>
      <c r="K829" s="1" t="s">
        <v>112</v>
      </c>
      <c r="L829" t="str">
        <f>VLOOKUP(D829, Products!A:C, 3, FALSE)</f>
        <v>Sports</v>
      </c>
      <c r="M829" t="str">
        <f>VLOOKUP(C829, Customers!A:E, 5, FALSE)</f>
        <v>SMB</v>
      </c>
      <c r="N829">
        <f>VLOOKUP(C829, Customers!A:E, 3, FALSE)</f>
        <v>27</v>
      </c>
      <c r="O829" s="93" t="str">
        <f>VLOOKUP(E829, Sales_Reps!A:C, 3, FALSE)</f>
        <v>North</v>
      </c>
      <c r="P829">
        <f>VLOOKUP(D829, Products!A:E, 4, FALSE)</f>
        <v>974</v>
      </c>
      <c r="Q829">
        <f>IF(COUNTIF($A$2:A829, A829)=2, 1, 0)</f>
        <v>0</v>
      </c>
      <c r="R829">
        <f>IF(ISNA(MATCH(C829, Customers!$A:$A, 0)), 1, 0)</f>
        <v>0</v>
      </c>
      <c r="S829" s="94" t="b">
        <f>VLOOKUP(D829, Products!A:F, 6, FALSE)</f>
        <v>1</v>
      </c>
    </row>
    <row r="830" spans="1:19">
      <c r="A830" s="102" t="s">
        <v>1305</v>
      </c>
      <c r="B830" s="2">
        <v>45522</v>
      </c>
      <c r="C830" s="1" t="s">
        <v>308</v>
      </c>
      <c r="D830" s="1" t="s">
        <v>292</v>
      </c>
      <c r="E830" s="1" t="s">
        <v>188</v>
      </c>
      <c r="F830" s="83">
        <v>9</v>
      </c>
      <c r="G830" s="92">
        <v>620</v>
      </c>
      <c r="H830" s="3">
        <v>20.399999999999999</v>
      </c>
      <c r="I830" s="3">
        <v>4441.68</v>
      </c>
      <c r="J830" s="1" t="s">
        <v>93</v>
      </c>
      <c r="K830" s="1" t="s">
        <v>88</v>
      </c>
      <c r="L830" t="str">
        <f>VLOOKUP(D830, Products!A:C, 3, FALSE)</f>
        <v>Apparel</v>
      </c>
      <c r="M830" t="str">
        <f>VLOOKUP(C830, Customers!A:E, 5, FALSE)</f>
        <v>SMB</v>
      </c>
      <c r="N830">
        <f>VLOOKUP(C830, Customers!A:E, 3, FALSE)</f>
        <v>54</v>
      </c>
      <c r="O830" s="93" t="str">
        <f>VLOOKUP(E830, Sales_Reps!A:C, 3, FALSE)</f>
        <v>South</v>
      </c>
      <c r="P830">
        <f>VLOOKUP(D830, Products!A:E, 4, FALSE)</f>
        <v>396</v>
      </c>
      <c r="Q830">
        <f>IF(COUNTIF($A$2:A830, A830)=2, 1, 0)</f>
        <v>0</v>
      </c>
      <c r="R830">
        <f>IF(ISNA(MATCH(C830, Customers!$A:$A, 0)), 1, 0)</f>
        <v>0</v>
      </c>
      <c r="S830" s="94" t="b">
        <f>VLOOKUP(D830, Products!A:F, 6, FALSE)</f>
        <v>1</v>
      </c>
    </row>
    <row r="831" spans="1:19">
      <c r="A831" s="102" t="s">
        <v>1306</v>
      </c>
      <c r="B831" s="2">
        <v>45513</v>
      </c>
      <c r="C831" s="1" t="s">
        <v>738</v>
      </c>
      <c r="D831" s="1" t="s">
        <v>270</v>
      </c>
      <c r="E831" s="1" t="s">
        <v>252</v>
      </c>
      <c r="F831" s="83">
        <v>1</v>
      </c>
      <c r="G831" s="92">
        <v>4610</v>
      </c>
      <c r="H831" s="3">
        <v>1.8</v>
      </c>
      <c r="I831" s="3">
        <v>4527.0200000000004</v>
      </c>
      <c r="J831" s="1" t="s">
        <v>93</v>
      </c>
      <c r="K831" s="1" t="s">
        <v>88</v>
      </c>
      <c r="L831" t="str">
        <f>VLOOKUP(D831, Products!A:C, 3, FALSE)</f>
        <v>Home</v>
      </c>
      <c r="M831" t="str">
        <f>VLOOKUP(C831, Customers!A:E, 5, FALSE)</f>
        <v>Retail</v>
      </c>
      <c r="N831">
        <f>VLOOKUP(C831, Customers!A:E, 3, FALSE)</f>
        <v>36</v>
      </c>
      <c r="O831" s="93" t="str">
        <f>VLOOKUP(E831, Sales_Reps!A:C, 3, FALSE)</f>
        <v>South</v>
      </c>
      <c r="P831">
        <f>VLOOKUP(D831, Products!A:E, 4, FALSE)</f>
        <v>1850</v>
      </c>
      <c r="Q831">
        <f>IF(COUNTIF($A$2:A831, A831)=2, 1, 0)</f>
        <v>0</v>
      </c>
      <c r="R831">
        <f>IF(ISNA(MATCH(C831, Customers!$A:$A, 0)), 1, 0)</f>
        <v>0</v>
      </c>
      <c r="S831" s="94" t="b">
        <f>VLOOKUP(D831, Products!A:F, 6, FALSE)</f>
        <v>1</v>
      </c>
    </row>
    <row r="832" spans="1:19">
      <c r="A832" s="102" t="s">
        <v>1307</v>
      </c>
      <c r="B832" s="2">
        <v>45500</v>
      </c>
      <c r="C832" s="1" t="s">
        <v>1308</v>
      </c>
      <c r="D832" s="1" t="s">
        <v>270</v>
      </c>
      <c r="E832" s="1" t="s">
        <v>98</v>
      </c>
      <c r="F832" s="83">
        <v>7</v>
      </c>
      <c r="G832" s="92">
        <v>4610</v>
      </c>
      <c r="H832" s="3">
        <v>27</v>
      </c>
      <c r="I832" s="3">
        <v>23557.1</v>
      </c>
      <c r="J832" s="1" t="s">
        <v>87</v>
      </c>
      <c r="K832" s="1" t="s">
        <v>94</v>
      </c>
      <c r="L832" t="str">
        <f>VLOOKUP(D832, Products!A:C, 3, FALSE)</f>
        <v>Home</v>
      </c>
      <c r="M832" t="str">
        <f>VLOOKUP(C832, Customers!A:E, 5, FALSE)</f>
        <v>SMB</v>
      </c>
      <c r="N832">
        <f>VLOOKUP(C832, Customers!A:E, 3, FALSE)</f>
        <v>51</v>
      </c>
      <c r="O832" s="93" t="str">
        <f>VLOOKUP(E832, Sales_Reps!A:C, 3, FALSE)</f>
        <v>South</v>
      </c>
      <c r="P832">
        <f>VLOOKUP(D832, Products!A:E, 4, FALSE)</f>
        <v>1850</v>
      </c>
      <c r="Q832">
        <f>IF(COUNTIF($A$2:A832, A832)=2, 1, 0)</f>
        <v>0</v>
      </c>
      <c r="R832">
        <f>IF(ISNA(MATCH(C832, Customers!$A:$A, 0)), 1, 0)</f>
        <v>0</v>
      </c>
      <c r="S832" s="94" t="b">
        <f>VLOOKUP(D832, Products!A:F, 6, FALSE)</f>
        <v>1</v>
      </c>
    </row>
    <row r="833" spans="1:19">
      <c r="A833" s="102" t="s">
        <v>1309</v>
      </c>
      <c r="B833" s="2">
        <v>45608</v>
      </c>
      <c r="C833" s="1" t="s">
        <v>966</v>
      </c>
      <c r="D833" s="1" t="s">
        <v>127</v>
      </c>
      <c r="E833" s="1" t="s">
        <v>229</v>
      </c>
      <c r="F833" s="83">
        <v>6</v>
      </c>
      <c r="G833" s="92">
        <v>970</v>
      </c>
      <c r="H833" s="3">
        <v>4.7</v>
      </c>
      <c r="I833" s="3">
        <v>5546.46</v>
      </c>
      <c r="J833" s="1" t="s">
        <v>140</v>
      </c>
      <c r="K833" s="1" t="s">
        <v>133</v>
      </c>
      <c r="L833" t="str">
        <f>VLOOKUP(D833, Products!A:C, 3, FALSE)</f>
        <v>Grocery</v>
      </c>
      <c r="M833" t="str">
        <f>VLOOKUP(C833, Customers!A:E, 5, FALSE)</f>
        <v>SMB</v>
      </c>
      <c r="N833">
        <f>VLOOKUP(C833, Customers!A:E, 3, FALSE)</f>
        <v>31</v>
      </c>
      <c r="O833" s="93" t="str">
        <f>VLOOKUP(E833, Sales_Reps!A:C, 3, FALSE)</f>
        <v>West</v>
      </c>
      <c r="P833">
        <f>VLOOKUP(D833, Products!A:E, 4, FALSE)</f>
        <v>434</v>
      </c>
      <c r="Q833">
        <f>IF(COUNTIF($A$2:A833, A833)=2, 1, 0)</f>
        <v>0</v>
      </c>
      <c r="R833">
        <f>IF(ISNA(MATCH(C833, Customers!$A:$A, 0)), 1, 0)</f>
        <v>0</v>
      </c>
      <c r="S833" s="94" t="b">
        <f>VLOOKUP(D833, Products!A:F, 6, FALSE)</f>
        <v>1</v>
      </c>
    </row>
    <row r="834" spans="1:19">
      <c r="A834" s="102" t="s">
        <v>1310</v>
      </c>
      <c r="B834" s="2">
        <v>45362</v>
      </c>
      <c r="C834" s="1" t="s">
        <v>472</v>
      </c>
      <c r="D834" s="1" t="s">
        <v>120</v>
      </c>
      <c r="E834" s="1" t="s">
        <v>201</v>
      </c>
      <c r="F834" s="83">
        <v>8</v>
      </c>
      <c r="G834" s="92">
        <v>1430</v>
      </c>
      <c r="H834" s="3">
        <v>8.6999999999999993</v>
      </c>
      <c r="I834" s="3">
        <v>10444.719999999999</v>
      </c>
      <c r="J834" s="1" t="s">
        <v>87</v>
      </c>
      <c r="K834" s="1" t="s">
        <v>94</v>
      </c>
      <c r="L834" t="str">
        <f>VLOOKUP(D834, Products!A:C, 3, FALSE)</f>
        <v>Electronics</v>
      </c>
      <c r="M834" t="str">
        <f>VLOOKUP(C834, Customers!A:E, 5, FALSE)</f>
        <v>Corporate</v>
      </c>
      <c r="N834">
        <f>VLOOKUP(C834, Customers!A:E, 3, FALSE)</f>
        <v>35</v>
      </c>
      <c r="O834" s="93" t="str">
        <f>VLOOKUP(E834, Sales_Reps!A:C, 3, FALSE)</f>
        <v>West</v>
      </c>
      <c r="P834">
        <f>VLOOKUP(D834, Products!A:E, 4, FALSE)</f>
        <v>861</v>
      </c>
      <c r="Q834">
        <f>IF(COUNTIF($A$2:A834, A834)=2, 1, 0)</f>
        <v>0</v>
      </c>
      <c r="R834">
        <f>IF(ISNA(MATCH(C834, Customers!$A:$A, 0)), 1, 0)</f>
        <v>0</v>
      </c>
      <c r="S834" s="94" t="b">
        <f>VLOOKUP(D834, Products!A:F, 6, FALSE)</f>
        <v>1</v>
      </c>
    </row>
    <row r="835" spans="1:19">
      <c r="A835" s="102" t="s">
        <v>1311</v>
      </c>
      <c r="B835" s="2">
        <v>45348</v>
      </c>
      <c r="C835" s="1" t="s">
        <v>219</v>
      </c>
      <c r="D835" s="1" t="s">
        <v>234</v>
      </c>
      <c r="E835" s="1" t="s">
        <v>273</v>
      </c>
      <c r="F835" s="83">
        <v>5</v>
      </c>
      <c r="G835" s="92">
        <v>3780</v>
      </c>
      <c r="H835" s="3">
        <v>2.9</v>
      </c>
      <c r="I835" s="3">
        <v>18351.900000000001</v>
      </c>
      <c r="J835" s="1" t="s">
        <v>87</v>
      </c>
      <c r="K835" s="1" t="s">
        <v>99</v>
      </c>
      <c r="L835" t="str">
        <f>VLOOKUP(D835, Products!A:C, 3, FALSE)</f>
        <v>Grocery</v>
      </c>
      <c r="M835" t="str">
        <f>VLOOKUP(C835, Customers!A:E, 5, FALSE)</f>
        <v>SMB</v>
      </c>
      <c r="N835">
        <f>VLOOKUP(C835, Customers!A:E, 3, FALSE)</f>
        <v>50</v>
      </c>
      <c r="O835" s="93" t="str">
        <f>VLOOKUP(E835, Sales_Reps!A:C, 3, FALSE)</f>
        <v>South</v>
      </c>
      <c r="P835">
        <f>VLOOKUP(D835, Products!A:E, 4, FALSE)</f>
        <v>2436</v>
      </c>
      <c r="Q835">
        <f>IF(COUNTIF($A$2:A835, A835)=2, 1, 0)</f>
        <v>0</v>
      </c>
      <c r="R835">
        <f>IF(ISNA(MATCH(C835, Customers!$A:$A, 0)), 1, 0)</f>
        <v>0</v>
      </c>
      <c r="S835" s="94" t="b">
        <f>VLOOKUP(D835, Products!A:F, 6, FALSE)</f>
        <v>1</v>
      </c>
    </row>
    <row r="836" spans="1:19">
      <c r="A836" s="102" t="s">
        <v>1312</v>
      </c>
      <c r="B836" s="2">
        <v>45532</v>
      </c>
      <c r="C836" s="1" t="s">
        <v>501</v>
      </c>
      <c r="D836" s="1" t="s">
        <v>259</v>
      </c>
      <c r="E836" s="1" t="s">
        <v>154</v>
      </c>
      <c r="F836" s="83">
        <v>2</v>
      </c>
      <c r="G836" s="92">
        <v>1540</v>
      </c>
      <c r="H836" s="3">
        <v>12.7</v>
      </c>
      <c r="I836" s="3">
        <v>2688.84</v>
      </c>
      <c r="J836" s="1" t="s">
        <v>87</v>
      </c>
      <c r="K836" s="1" t="s">
        <v>133</v>
      </c>
      <c r="L836" t="str">
        <f>VLOOKUP(D836, Products!A:C, 3, FALSE)</f>
        <v>Beauty</v>
      </c>
      <c r="M836" t="str">
        <f>VLOOKUP(C836, Customers!A:E, 5, FALSE)</f>
        <v>SMB</v>
      </c>
      <c r="N836">
        <f>VLOOKUP(C836, Customers!A:E, 3, FALSE)</f>
        <v>65</v>
      </c>
      <c r="O836" s="93" t="str">
        <f>VLOOKUP(E836, Sales_Reps!A:C, 3, FALSE)</f>
        <v>East</v>
      </c>
      <c r="P836">
        <f>VLOOKUP(D836, Products!A:E, 4, FALSE)</f>
        <v>647</v>
      </c>
      <c r="Q836">
        <f>IF(COUNTIF($A$2:A836, A836)=2, 1, 0)</f>
        <v>0</v>
      </c>
      <c r="R836">
        <f>IF(ISNA(MATCH(C836, Customers!$A:$A, 0)), 1, 0)</f>
        <v>0</v>
      </c>
      <c r="S836" s="94" t="b">
        <f>VLOOKUP(D836, Products!A:F, 6, FALSE)</f>
        <v>0</v>
      </c>
    </row>
    <row r="837" spans="1:19">
      <c r="A837" s="102" t="s">
        <v>1313</v>
      </c>
      <c r="B837" s="2">
        <v>45492</v>
      </c>
      <c r="C837" s="1" t="s">
        <v>1172</v>
      </c>
      <c r="D837" s="1" t="s">
        <v>164</v>
      </c>
      <c r="E837" s="1" t="s">
        <v>192</v>
      </c>
      <c r="F837" s="83">
        <v>9</v>
      </c>
      <c r="G837" s="92">
        <v>1080</v>
      </c>
      <c r="H837" s="3">
        <v>11.2</v>
      </c>
      <c r="I837" s="3">
        <v>8631.36</v>
      </c>
      <c r="J837" s="1" t="s">
        <v>140</v>
      </c>
      <c r="K837" s="1" t="s">
        <v>88</v>
      </c>
      <c r="L837" t="str">
        <f>VLOOKUP(D837, Products!A:C, 3, FALSE)</f>
        <v>Home</v>
      </c>
      <c r="M837" t="str">
        <f>VLOOKUP(C837, Customers!A:E, 5, FALSE)</f>
        <v>Retail</v>
      </c>
      <c r="N837">
        <f>VLOOKUP(C837, Customers!A:E, 3, FALSE)</f>
        <v>39</v>
      </c>
      <c r="O837" s="93" t="str">
        <f>VLOOKUP(E837, Sales_Reps!A:C, 3, FALSE)</f>
        <v>East</v>
      </c>
      <c r="P837">
        <f>VLOOKUP(D837, Products!A:E, 4, FALSE)</f>
        <v>519</v>
      </c>
      <c r="Q837">
        <f>IF(COUNTIF($A$2:A837, A837)=2, 1, 0)</f>
        <v>0</v>
      </c>
      <c r="R837">
        <f>IF(ISNA(MATCH(C837, Customers!$A:$A, 0)), 1, 0)</f>
        <v>0</v>
      </c>
      <c r="S837" s="94" t="b">
        <f>VLOOKUP(D837, Products!A:F, 6, FALSE)</f>
        <v>1</v>
      </c>
    </row>
    <row r="838" spans="1:19">
      <c r="A838" s="102" t="s">
        <v>1314</v>
      </c>
      <c r="B838" s="2">
        <v>45368</v>
      </c>
      <c r="C838" s="1" t="s">
        <v>948</v>
      </c>
      <c r="D838" s="1" t="s">
        <v>151</v>
      </c>
      <c r="E838" s="1" t="s">
        <v>86</v>
      </c>
      <c r="F838" s="83">
        <v>3</v>
      </c>
      <c r="G838" s="92">
        <v>2400</v>
      </c>
      <c r="H838" s="3">
        <v>28.6</v>
      </c>
      <c r="I838" s="3">
        <v>5140.8</v>
      </c>
      <c r="J838" s="1" t="s">
        <v>87</v>
      </c>
      <c r="K838" s="1" t="s">
        <v>88</v>
      </c>
      <c r="L838" t="str">
        <f>VLOOKUP(D838, Products!A:C, 3, FALSE)</f>
        <v>Sports</v>
      </c>
      <c r="M838" t="str">
        <f>VLOOKUP(C838, Customers!A:E, 5, FALSE)</f>
        <v>Retail</v>
      </c>
      <c r="N838">
        <f>VLOOKUP(C838, Customers!A:E, 3, FALSE)</f>
        <v>65</v>
      </c>
      <c r="O838" s="93" t="str">
        <f>VLOOKUP(E838, Sales_Reps!A:C, 3, FALSE)</f>
        <v>North</v>
      </c>
      <c r="P838">
        <f>VLOOKUP(D838, Products!A:E, 4, FALSE)</f>
        <v>974</v>
      </c>
      <c r="Q838">
        <f>IF(COUNTIF($A$2:A838, A838)=2, 1, 0)</f>
        <v>0</v>
      </c>
      <c r="R838">
        <f>IF(ISNA(MATCH(C838, Customers!$A:$A, 0)), 1, 0)</f>
        <v>0</v>
      </c>
      <c r="S838" s="94" t="b">
        <f>VLOOKUP(D838, Products!A:F, 6, FALSE)</f>
        <v>1</v>
      </c>
    </row>
    <row r="839" spans="1:19">
      <c r="A839" s="102" t="s">
        <v>1315</v>
      </c>
      <c r="B839" s="2">
        <v>45448</v>
      </c>
      <c r="C839" s="1" t="s">
        <v>153</v>
      </c>
      <c r="D839" s="1" t="s">
        <v>164</v>
      </c>
      <c r="E839" s="1" t="s">
        <v>303</v>
      </c>
      <c r="F839" s="83">
        <v>5</v>
      </c>
      <c r="G839" s="92">
        <v>1080</v>
      </c>
      <c r="H839" s="3">
        <v>18.3</v>
      </c>
      <c r="I839" s="3">
        <v>4411.8</v>
      </c>
      <c r="J839" s="1" t="s">
        <v>87</v>
      </c>
      <c r="K839" s="1" t="s">
        <v>117</v>
      </c>
      <c r="L839" t="str">
        <f>VLOOKUP(D839, Products!A:C, 3, FALSE)</f>
        <v>Home</v>
      </c>
      <c r="M839" t="str">
        <f>VLOOKUP(C839, Customers!A:E, 5, FALSE)</f>
        <v>SMB</v>
      </c>
      <c r="N839">
        <f>VLOOKUP(C839, Customers!A:E, 3, FALSE)</f>
        <v>46</v>
      </c>
      <c r="O839" s="93" t="str">
        <f>VLOOKUP(E839, Sales_Reps!A:C, 3, FALSE)</f>
        <v>East</v>
      </c>
      <c r="P839">
        <f>VLOOKUP(D839, Products!A:E, 4, FALSE)</f>
        <v>519</v>
      </c>
      <c r="Q839">
        <f>IF(COUNTIF($A$2:A839, A839)=2, 1, 0)</f>
        <v>0</v>
      </c>
      <c r="R839">
        <f>IF(ISNA(MATCH(C839, Customers!$A:$A, 0)), 1, 0)</f>
        <v>0</v>
      </c>
      <c r="S839" s="94" t="b">
        <f>VLOOKUP(D839, Products!A:F, 6, FALSE)</f>
        <v>1</v>
      </c>
    </row>
    <row r="840" spans="1:19">
      <c r="A840" s="102" t="s">
        <v>1316</v>
      </c>
      <c r="B840" s="2">
        <v>45610</v>
      </c>
      <c r="C840" s="1" t="s">
        <v>401</v>
      </c>
      <c r="D840" s="1" t="s">
        <v>131</v>
      </c>
      <c r="E840" s="1" t="s">
        <v>343</v>
      </c>
      <c r="F840" s="83">
        <v>7</v>
      </c>
      <c r="G840" s="92">
        <v>2270</v>
      </c>
      <c r="H840" s="3">
        <v>1.7</v>
      </c>
      <c r="I840" s="3">
        <v>15619.87</v>
      </c>
      <c r="J840" s="1" t="s">
        <v>140</v>
      </c>
      <c r="K840" s="1" t="s">
        <v>94</v>
      </c>
      <c r="L840" t="str">
        <f>VLOOKUP(D840, Products!A:C, 3, FALSE)</f>
        <v>Grocery</v>
      </c>
      <c r="M840" t="str">
        <f>VLOOKUP(C840, Customers!A:E, 5, FALSE)</f>
        <v>SMB</v>
      </c>
      <c r="N840">
        <f>VLOOKUP(C840, Customers!A:E, 3, FALSE)</f>
        <v>51</v>
      </c>
      <c r="O840" s="93" t="str">
        <f>VLOOKUP(E840, Sales_Reps!A:C, 3, FALSE)</f>
        <v>West</v>
      </c>
      <c r="P840">
        <f>VLOOKUP(D840, Products!A:E, 4, FALSE)</f>
        <v>1203</v>
      </c>
      <c r="Q840">
        <f>IF(COUNTIF($A$2:A840, A840)=2, 1, 0)</f>
        <v>0</v>
      </c>
      <c r="R840">
        <f>IF(ISNA(MATCH(C840, Customers!$A:$A, 0)), 1, 0)</f>
        <v>0</v>
      </c>
      <c r="S840" s="94" t="b">
        <f>VLOOKUP(D840, Products!A:F, 6, FALSE)</f>
        <v>1</v>
      </c>
    </row>
    <row r="841" spans="1:19">
      <c r="A841" s="102" t="s">
        <v>1317</v>
      </c>
      <c r="B841" s="2">
        <v>45438</v>
      </c>
      <c r="C841" s="1" t="s">
        <v>643</v>
      </c>
      <c r="D841" s="1" t="s">
        <v>102</v>
      </c>
      <c r="E841" s="1" t="s">
        <v>201</v>
      </c>
      <c r="F841" s="83">
        <v>8</v>
      </c>
      <c r="G841" s="92">
        <v>3660</v>
      </c>
      <c r="H841" s="3">
        <v>19.100000000000001</v>
      </c>
      <c r="I841" s="3">
        <v>23687.52</v>
      </c>
      <c r="J841" s="1" t="s">
        <v>140</v>
      </c>
      <c r="K841" s="1" t="s">
        <v>112</v>
      </c>
      <c r="L841" t="str">
        <f>VLOOKUP(D841, Products!A:C, 3, FALSE)</f>
        <v>Grocery</v>
      </c>
      <c r="M841" t="str">
        <f>VLOOKUP(C841, Customers!A:E, 5, FALSE)</f>
        <v>SMB</v>
      </c>
      <c r="N841">
        <f>VLOOKUP(C841, Customers!A:E, 3, FALSE)</f>
        <v>27</v>
      </c>
      <c r="O841" s="93" t="str">
        <f>VLOOKUP(E841, Sales_Reps!A:C, 3, FALSE)</f>
        <v>West</v>
      </c>
      <c r="P841">
        <f>VLOOKUP(D841, Products!A:E, 4, FALSE)</f>
        <v>2214</v>
      </c>
      <c r="Q841">
        <f>IF(COUNTIF($A$2:A841, A841)=2, 1, 0)</f>
        <v>0</v>
      </c>
      <c r="R841">
        <f>IF(ISNA(MATCH(C841, Customers!$A:$A, 0)), 1, 0)</f>
        <v>0</v>
      </c>
      <c r="S841" s="94" t="b">
        <f>VLOOKUP(D841, Products!A:F, 6, FALSE)</f>
        <v>0</v>
      </c>
    </row>
    <row r="842" spans="1:19">
      <c r="A842" s="102" t="s">
        <v>1318</v>
      </c>
      <c r="B842" s="2">
        <v>45477</v>
      </c>
      <c r="C842" s="1" t="s">
        <v>533</v>
      </c>
      <c r="D842" s="1" t="s">
        <v>143</v>
      </c>
      <c r="E842" s="1" t="s">
        <v>148</v>
      </c>
      <c r="F842" s="83">
        <v>5</v>
      </c>
      <c r="G842" s="92">
        <v>3250</v>
      </c>
      <c r="H842" s="3">
        <v>12.9</v>
      </c>
      <c r="I842" s="3">
        <v>14153.75</v>
      </c>
      <c r="J842" s="1" t="s">
        <v>87</v>
      </c>
      <c r="K842" s="1" t="s">
        <v>99</v>
      </c>
      <c r="L842" t="str">
        <f>VLOOKUP(D842, Products!A:C, 3, FALSE)</f>
        <v>Home</v>
      </c>
      <c r="M842" t="str">
        <f>VLOOKUP(C842, Customers!A:E, 5, FALSE)</f>
        <v>SMB</v>
      </c>
      <c r="N842">
        <f>VLOOKUP(C842, Customers!A:E, 3, FALSE)</f>
        <v>48</v>
      </c>
      <c r="O842" s="93" t="str">
        <f>VLOOKUP(E842, Sales_Reps!A:C, 3, FALSE)</f>
        <v>North</v>
      </c>
      <c r="P842">
        <f>VLOOKUP(D842, Products!A:E, 4, FALSE)</f>
        <v>1556</v>
      </c>
      <c r="Q842">
        <f>IF(COUNTIF($A$2:A842, A842)=2, 1, 0)</f>
        <v>0</v>
      </c>
      <c r="R842">
        <f>IF(ISNA(MATCH(C842, Customers!$A:$A, 0)), 1, 0)</f>
        <v>0</v>
      </c>
      <c r="S842" s="94" t="b">
        <f>VLOOKUP(D842, Products!A:F, 6, FALSE)</f>
        <v>1</v>
      </c>
    </row>
    <row r="843" spans="1:19">
      <c r="A843" s="102" t="s">
        <v>1319</v>
      </c>
      <c r="B843" s="2">
        <v>45328</v>
      </c>
      <c r="C843" s="1" t="s">
        <v>563</v>
      </c>
      <c r="D843" s="1" t="s">
        <v>176</v>
      </c>
      <c r="E843" s="1" t="s">
        <v>325</v>
      </c>
      <c r="F843" s="83">
        <v>4</v>
      </c>
      <c r="G843" s="92">
        <v>1650</v>
      </c>
      <c r="H843" s="3">
        <v>4.0999999999999996</v>
      </c>
      <c r="I843" s="3">
        <v>6329.4</v>
      </c>
      <c r="J843" s="1" t="s">
        <v>87</v>
      </c>
      <c r="K843" s="1" t="s">
        <v>88</v>
      </c>
      <c r="L843" t="str">
        <f>VLOOKUP(D843, Products!A:C, 3, FALSE)</f>
        <v>Beauty</v>
      </c>
      <c r="M843" t="str">
        <f>VLOOKUP(C843, Customers!A:E, 5, FALSE)</f>
        <v>SMB</v>
      </c>
      <c r="N843">
        <f>VLOOKUP(C843, Customers!A:E, 3, FALSE)</f>
        <v>24</v>
      </c>
      <c r="O843" s="93" t="str">
        <f>VLOOKUP(E843, Sales_Reps!A:C, 3, FALSE)</f>
        <v>South</v>
      </c>
      <c r="P843">
        <f>VLOOKUP(D843, Products!A:E, 4, FALSE)</f>
        <v>1222</v>
      </c>
      <c r="Q843">
        <f>IF(COUNTIF($A$2:A843, A843)=2, 1, 0)</f>
        <v>0</v>
      </c>
      <c r="R843">
        <f>IF(ISNA(MATCH(C843, Customers!$A:$A, 0)), 1, 0)</f>
        <v>0</v>
      </c>
      <c r="S843" s="94" t="b">
        <f>VLOOKUP(D843, Products!A:F, 6, FALSE)</f>
        <v>1</v>
      </c>
    </row>
    <row r="844" spans="1:19">
      <c r="A844" s="102" t="s">
        <v>1320</v>
      </c>
      <c r="B844" s="2">
        <v>45624</v>
      </c>
      <c r="C844" s="1" t="s">
        <v>294</v>
      </c>
      <c r="D844" s="1" t="s">
        <v>443</v>
      </c>
      <c r="E844" s="1" t="s">
        <v>148</v>
      </c>
      <c r="F844" s="83">
        <v>6</v>
      </c>
      <c r="G844" s="92">
        <v>5080</v>
      </c>
      <c r="H844" s="3">
        <v>3</v>
      </c>
      <c r="I844" s="3">
        <v>29565.599999999999</v>
      </c>
      <c r="J844" s="1" t="s">
        <v>87</v>
      </c>
      <c r="K844" s="1" t="s">
        <v>133</v>
      </c>
      <c r="L844" t="str">
        <f>VLOOKUP(D844, Products!A:C, 3, FALSE)</f>
        <v>Home</v>
      </c>
      <c r="M844" t="str">
        <f>VLOOKUP(C844, Customers!A:E, 5, FALSE)</f>
        <v>SMB</v>
      </c>
      <c r="N844">
        <f>VLOOKUP(C844, Customers!A:E, 3, FALSE)</f>
        <v>43</v>
      </c>
      <c r="O844" s="93" t="str">
        <f>VLOOKUP(E844, Sales_Reps!A:C, 3, FALSE)</f>
        <v>North</v>
      </c>
      <c r="P844">
        <f>VLOOKUP(D844, Products!A:E, 4, FALSE)</f>
        <v>2459</v>
      </c>
      <c r="Q844">
        <f>IF(COUNTIF($A$2:A844, A844)=2, 1, 0)</f>
        <v>0</v>
      </c>
      <c r="R844">
        <f>IF(ISNA(MATCH(C844, Customers!$A:$A, 0)), 1, 0)</f>
        <v>0</v>
      </c>
      <c r="S844" s="94" t="b">
        <f>VLOOKUP(D844, Products!A:F, 6, FALSE)</f>
        <v>1</v>
      </c>
    </row>
    <row r="845" spans="1:19">
      <c r="A845" s="102" t="s">
        <v>1321</v>
      </c>
      <c r="B845" s="2">
        <v>45614</v>
      </c>
      <c r="C845" s="1" t="s">
        <v>990</v>
      </c>
      <c r="D845" s="1" t="s">
        <v>161</v>
      </c>
      <c r="E845" s="1" t="s">
        <v>343</v>
      </c>
      <c r="F845" s="83">
        <v>8</v>
      </c>
      <c r="G845" s="92">
        <v>3450</v>
      </c>
      <c r="H845" s="3">
        <v>20.9</v>
      </c>
      <c r="I845" s="3">
        <v>21831.599999999999</v>
      </c>
      <c r="J845" s="1" t="s">
        <v>87</v>
      </c>
      <c r="K845" s="1" t="s">
        <v>117</v>
      </c>
      <c r="L845" t="str">
        <f>VLOOKUP(D845, Products!A:C, 3, FALSE)</f>
        <v>Sports</v>
      </c>
      <c r="M845" t="str">
        <f>VLOOKUP(C845, Customers!A:E, 5, FALSE)</f>
        <v>Retail</v>
      </c>
      <c r="N845">
        <f>VLOOKUP(C845, Customers!A:E, 3, FALSE)</f>
        <v>61</v>
      </c>
      <c r="O845" s="93" t="str">
        <f>VLOOKUP(E845, Sales_Reps!A:C, 3, FALSE)</f>
        <v>West</v>
      </c>
      <c r="P845">
        <f>VLOOKUP(D845, Products!A:E, 4, FALSE)</f>
        <v>2467</v>
      </c>
      <c r="Q845">
        <f>IF(COUNTIF($A$2:A845, A845)=2, 1, 0)</f>
        <v>0</v>
      </c>
      <c r="R845">
        <f>IF(ISNA(MATCH(C845, Customers!$A:$A, 0)), 1, 0)</f>
        <v>0</v>
      </c>
      <c r="S845" s="94" t="b">
        <f>VLOOKUP(D845, Products!A:F, 6, FALSE)</f>
        <v>1</v>
      </c>
    </row>
    <row r="846" spans="1:19">
      <c r="A846" s="102" t="s">
        <v>1322</v>
      </c>
      <c r="B846" s="2">
        <v>45429</v>
      </c>
      <c r="C846" s="1" t="s">
        <v>301</v>
      </c>
      <c r="D846" s="1" t="s">
        <v>179</v>
      </c>
      <c r="E846" s="1" t="s">
        <v>303</v>
      </c>
      <c r="F846" s="83">
        <v>6</v>
      </c>
      <c r="G846" s="92">
        <v>3350</v>
      </c>
      <c r="H846" s="3">
        <v>24.8</v>
      </c>
      <c r="I846" s="3">
        <v>15115.2</v>
      </c>
      <c r="J846" s="1" t="s">
        <v>87</v>
      </c>
      <c r="K846" s="1" t="s">
        <v>94</v>
      </c>
      <c r="L846" t="str">
        <f>VLOOKUP(D846, Products!A:C, 3, FALSE)</f>
        <v>Beauty</v>
      </c>
      <c r="M846" t="str">
        <f>VLOOKUP(C846, Customers!A:E, 5, FALSE)</f>
        <v>Retail</v>
      </c>
      <c r="N846">
        <f>VLOOKUP(C846, Customers!A:E, 3, FALSE)</f>
        <v>41</v>
      </c>
      <c r="O846" s="93" t="str">
        <f>VLOOKUP(E846, Sales_Reps!A:C, 3, FALSE)</f>
        <v>East</v>
      </c>
      <c r="P846">
        <f>VLOOKUP(D846, Products!A:E, 4, FALSE)</f>
        <v>1728</v>
      </c>
      <c r="Q846">
        <f>IF(COUNTIF($A$2:A846, A846)=2, 1, 0)</f>
        <v>0</v>
      </c>
      <c r="R846">
        <f>IF(ISNA(MATCH(C846, Customers!$A:$A, 0)), 1, 0)</f>
        <v>0</v>
      </c>
      <c r="S846" s="94" t="b">
        <f>VLOOKUP(D846, Products!A:F, 6, FALSE)</f>
        <v>1</v>
      </c>
    </row>
    <row r="847" spans="1:19">
      <c r="A847" s="102" t="s">
        <v>1323</v>
      </c>
      <c r="B847" s="2">
        <v>45451</v>
      </c>
      <c r="C847" s="1" t="s">
        <v>669</v>
      </c>
      <c r="D847" s="1" t="s">
        <v>338</v>
      </c>
      <c r="E847" s="1" t="s">
        <v>343</v>
      </c>
      <c r="F847" s="83">
        <v>10</v>
      </c>
      <c r="G847" s="92">
        <v>2210</v>
      </c>
      <c r="H847" s="3">
        <v>4.2</v>
      </c>
      <c r="I847" s="3">
        <v>21171.8</v>
      </c>
      <c r="J847" s="1" t="s">
        <v>87</v>
      </c>
      <c r="K847" s="1" t="s">
        <v>133</v>
      </c>
      <c r="L847" t="str">
        <f>VLOOKUP(D847, Products!A:C, 3, FALSE)</f>
        <v>Grocery</v>
      </c>
      <c r="M847" t="str">
        <f>VLOOKUP(C847, Customers!A:E, 5, FALSE)</f>
        <v>Retail</v>
      </c>
      <c r="N847">
        <f>VLOOKUP(C847, Customers!A:E, 3, FALSE)</f>
        <v>31</v>
      </c>
      <c r="O847" s="93" t="str">
        <f>VLOOKUP(E847, Sales_Reps!A:C, 3, FALSE)</f>
        <v>West</v>
      </c>
      <c r="P847">
        <f>VLOOKUP(D847, Products!A:E, 4, FALSE)</f>
        <v>1010</v>
      </c>
      <c r="Q847">
        <f>IF(COUNTIF($A$2:A847, A847)=2, 1, 0)</f>
        <v>0</v>
      </c>
      <c r="R847">
        <f>IF(ISNA(MATCH(C847, Customers!$A:$A, 0)), 1, 0)</f>
        <v>0</v>
      </c>
      <c r="S847" s="94" t="b">
        <f>VLOOKUP(D847, Products!A:F, 6, FALSE)</f>
        <v>1</v>
      </c>
    </row>
    <row r="848" spans="1:19">
      <c r="A848" s="102" t="s">
        <v>1324</v>
      </c>
      <c r="B848" s="2">
        <v>45444</v>
      </c>
      <c r="C848" s="1" t="s">
        <v>638</v>
      </c>
      <c r="D848" s="1" t="s">
        <v>184</v>
      </c>
      <c r="E848" s="1" t="s">
        <v>103</v>
      </c>
      <c r="F848" s="83">
        <v>10</v>
      </c>
      <c r="G848" s="92">
        <v>4880</v>
      </c>
      <c r="H848" s="3">
        <v>0.7</v>
      </c>
      <c r="I848" s="3">
        <v>48458.400000000001</v>
      </c>
      <c r="J848" s="1" t="s">
        <v>87</v>
      </c>
      <c r="K848" s="1" t="s">
        <v>99</v>
      </c>
      <c r="L848" t="str">
        <f>VLOOKUP(D848, Products!A:C, 3, FALSE)</f>
        <v>Beauty</v>
      </c>
      <c r="M848" t="str">
        <f>VLOOKUP(C848, Customers!A:E, 5, FALSE)</f>
        <v>Retail</v>
      </c>
      <c r="N848">
        <f>VLOOKUP(C848, Customers!A:E, 3, FALSE)</f>
        <v>43</v>
      </c>
      <c r="O848" s="93" t="str">
        <f>VLOOKUP(E848, Sales_Reps!A:C, 3, FALSE)</f>
        <v>North</v>
      </c>
      <c r="P848">
        <f>VLOOKUP(D848, Products!A:E, 4, FALSE)</f>
        <v>2768</v>
      </c>
      <c r="Q848">
        <f>IF(COUNTIF($A$2:A848, A848)=2, 1, 0)</f>
        <v>0</v>
      </c>
      <c r="R848">
        <f>IF(ISNA(MATCH(C848, Customers!$A:$A, 0)), 1, 0)</f>
        <v>0</v>
      </c>
      <c r="S848" s="94" t="b">
        <f>VLOOKUP(D848, Products!A:F, 6, FALSE)</f>
        <v>1</v>
      </c>
    </row>
    <row r="849" spans="1:19">
      <c r="A849" s="102" t="s">
        <v>1325</v>
      </c>
      <c r="B849" s="2">
        <v>45369</v>
      </c>
      <c r="C849" s="1" t="s">
        <v>163</v>
      </c>
      <c r="D849" s="1" t="s">
        <v>195</v>
      </c>
      <c r="E849" s="1" t="s">
        <v>139</v>
      </c>
      <c r="F849" s="83">
        <v>7</v>
      </c>
      <c r="G849" s="92">
        <v>2860</v>
      </c>
      <c r="H849" s="3">
        <v>28.1</v>
      </c>
      <c r="I849" s="3">
        <v>14394.38</v>
      </c>
      <c r="J849" s="1" t="s">
        <v>93</v>
      </c>
      <c r="K849" s="1" t="s">
        <v>94</v>
      </c>
      <c r="L849" t="str">
        <f>VLOOKUP(D849, Products!A:C, 3, FALSE)</f>
        <v>Sports</v>
      </c>
      <c r="M849" t="str">
        <f>VLOOKUP(C849, Customers!A:E, 5, FALSE)</f>
        <v>Retail</v>
      </c>
      <c r="N849">
        <f>VLOOKUP(C849, Customers!A:E, 3, FALSE)</f>
        <v>49</v>
      </c>
      <c r="O849" s="93" t="str">
        <f>VLOOKUP(E849, Sales_Reps!A:C, 3, FALSE)</f>
        <v>North</v>
      </c>
      <c r="P849">
        <f>VLOOKUP(D849, Products!A:E, 4, FALSE)</f>
        <v>2028</v>
      </c>
      <c r="Q849">
        <f>IF(COUNTIF($A$2:A849, A849)=2, 1, 0)</f>
        <v>0</v>
      </c>
      <c r="R849">
        <f>IF(ISNA(MATCH(C849, Customers!$A:$A, 0)), 1, 0)</f>
        <v>0</v>
      </c>
      <c r="S849" s="94" t="b">
        <f>VLOOKUP(D849, Products!A:F, 6, FALSE)</f>
        <v>1</v>
      </c>
    </row>
    <row r="850" spans="1:19">
      <c r="A850" s="102" t="s">
        <v>1326</v>
      </c>
      <c r="B850" s="2">
        <v>45581</v>
      </c>
      <c r="C850" s="1" t="s">
        <v>442</v>
      </c>
      <c r="D850" s="1" t="s">
        <v>127</v>
      </c>
      <c r="E850" s="1" t="s">
        <v>92</v>
      </c>
      <c r="F850" s="83">
        <v>3</v>
      </c>
      <c r="G850" s="92">
        <v>970</v>
      </c>
      <c r="H850" s="3">
        <v>28.3</v>
      </c>
      <c r="I850" s="3">
        <v>2086.4699999999998</v>
      </c>
      <c r="J850" s="1" t="s">
        <v>87</v>
      </c>
      <c r="K850" s="1" t="s">
        <v>88</v>
      </c>
      <c r="L850" t="str">
        <f>VLOOKUP(D850, Products!A:C, 3, FALSE)</f>
        <v>Grocery</v>
      </c>
      <c r="M850" t="str">
        <f>VLOOKUP(C850, Customers!A:E, 5, FALSE)</f>
        <v>Retail</v>
      </c>
      <c r="N850">
        <f>VLOOKUP(C850, Customers!A:E, 3, FALSE)</f>
        <v>65</v>
      </c>
      <c r="O850" s="93" t="str">
        <f>VLOOKUP(E850, Sales_Reps!A:C, 3, FALSE)</f>
        <v>North</v>
      </c>
      <c r="P850">
        <f>VLOOKUP(D850, Products!A:E, 4, FALSE)</f>
        <v>434</v>
      </c>
      <c r="Q850">
        <f>IF(COUNTIF($A$2:A850, A850)=2, 1, 0)</f>
        <v>0</v>
      </c>
      <c r="R850">
        <f>IF(ISNA(MATCH(C850, Customers!$A:$A, 0)), 1, 0)</f>
        <v>0</v>
      </c>
      <c r="S850" s="94" t="b">
        <f>VLOOKUP(D850, Products!A:F, 6, FALSE)</f>
        <v>1</v>
      </c>
    </row>
    <row r="851" spans="1:19">
      <c r="A851" s="102" t="s">
        <v>1327</v>
      </c>
      <c r="B851" s="2">
        <v>45494</v>
      </c>
      <c r="C851" s="1" t="s">
        <v>977</v>
      </c>
      <c r="D851" s="1" t="s">
        <v>245</v>
      </c>
      <c r="E851" s="1" t="s">
        <v>107</v>
      </c>
      <c r="F851" s="83">
        <v>1</v>
      </c>
      <c r="G851" s="92">
        <v>2270</v>
      </c>
      <c r="H851" s="3">
        <v>15.1</v>
      </c>
      <c r="I851" s="3">
        <v>1927.23</v>
      </c>
      <c r="J851" s="1" t="s">
        <v>87</v>
      </c>
      <c r="K851" s="1" t="s">
        <v>88</v>
      </c>
      <c r="L851" t="str">
        <f>VLOOKUP(D851, Products!A:C, 3, FALSE)</f>
        <v>Grocery</v>
      </c>
      <c r="M851" t="str">
        <f>VLOOKUP(C851, Customers!A:E, 5, FALSE)</f>
        <v>Corporate</v>
      </c>
      <c r="N851">
        <f>VLOOKUP(C851, Customers!A:E, 3, FALSE)</f>
        <v>29</v>
      </c>
      <c r="O851" s="93" t="str">
        <f>VLOOKUP(E851, Sales_Reps!A:C, 3, FALSE)</f>
        <v>North</v>
      </c>
      <c r="P851">
        <f>VLOOKUP(D851, Products!A:E, 4, FALSE)</f>
        <v>1412</v>
      </c>
      <c r="Q851">
        <f>IF(COUNTIF($A$2:A851, A851)=2, 1, 0)</f>
        <v>0</v>
      </c>
      <c r="R851">
        <f>IF(ISNA(MATCH(C851, Customers!$A:$A, 0)), 1, 0)</f>
        <v>0</v>
      </c>
      <c r="S851" s="94" t="b">
        <f>VLOOKUP(D851, Products!A:F, 6, FALSE)</f>
        <v>1</v>
      </c>
    </row>
    <row r="852" spans="1:19">
      <c r="A852" s="102" t="s">
        <v>1328</v>
      </c>
      <c r="B852" s="2">
        <v>45324</v>
      </c>
      <c r="C852" s="1" t="s">
        <v>369</v>
      </c>
      <c r="D852" s="1" t="s">
        <v>659</v>
      </c>
      <c r="E852" s="1" t="s">
        <v>188</v>
      </c>
      <c r="F852" s="83">
        <v>5</v>
      </c>
      <c r="G852" s="92">
        <v>3560</v>
      </c>
      <c r="H852" s="3">
        <v>11.5</v>
      </c>
      <c r="I852" s="3">
        <v>15753</v>
      </c>
      <c r="J852" s="1" t="s">
        <v>87</v>
      </c>
      <c r="K852" s="1" t="s">
        <v>94</v>
      </c>
      <c r="L852" t="str">
        <f>VLOOKUP(D852, Products!A:C, 3, FALSE)</f>
        <v>Apparel</v>
      </c>
      <c r="M852" t="str">
        <f>VLOOKUP(C852, Customers!A:E, 5, FALSE)</f>
        <v>SMB</v>
      </c>
      <c r="N852">
        <f>VLOOKUP(C852, Customers!A:E, 3, FALSE)</f>
        <v>62</v>
      </c>
      <c r="O852" s="93" t="str">
        <f>VLOOKUP(E852, Sales_Reps!A:C, 3, FALSE)</f>
        <v>South</v>
      </c>
      <c r="P852">
        <f>VLOOKUP(D852, Products!A:E, 4, FALSE)</f>
        <v>2629</v>
      </c>
      <c r="Q852">
        <f>IF(COUNTIF($A$2:A852, A852)=2, 1, 0)</f>
        <v>0</v>
      </c>
      <c r="R852">
        <f>IF(ISNA(MATCH(C852, Customers!$A:$A, 0)), 1, 0)</f>
        <v>0</v>
      </c>
      <c r="S852" s="94" t="b">
        <f>VLOOKUP(D852, Products!A:F, 6, FALSE)</f>
        <v>1</v>
      </c>
    </row>
    <row r="853" spans="1:19">
      <c r="A853" s="102" t="s">
        <v>1329</v>
      </c>
      <c r="B853" s="2">
        <v>45419</v>
      </c>
      <c r="C853" s="1" t="s">
        <v>178</v>
      </c>
      <c r="D853" s="1" t="s">
        <v>360</v>
      </c>
      <c r="E853" s="1" t="s">
        <v>132</v>
      </c>
      <c r="F853" s="83">
        <v>2</v>
      </c>
      <c r="G853" s="92">
        <v>5410</v>
      </c>
      <c r="H853" s="3">
        <v>14.8</v>
      </c>
      <c r="I853" s="3">
        <v>9218.64</v>
      </c>
      <c r="J853" s="1" t="s">
        <v>93</v>
      </c>
      <c r="K853" s="1" t="s">
        <v>94</v>
      </c>
      <c r="L853" t="str">
        <f>VLOOKUP(D853, Products!A:C, 3, FALSE)</f>
        <v>Sports</v>
      </c>
      <c r="M853" t="str">
        <f>VLOOKUP(C853, Customers!A:E, 5, FALSE)</f>
        <v>Corporate</v>
      </c>
      <c r="N853">
        <f>VLOOKUP(C853, Customers!A:E, 3, FALSE)</f>
        <v>55</v>
      </c>
      <c r="O853" s="93" t="str">
        <f>VLOOKUP(E853, Sales_Reps!A:C, 3, FALSE)</f>
        <v>South</v>
      </c>
      <c r="P853">
        <f>VLOOKUP(D853, Products!A:E, 4, FALSE)</f>
        <v>2265</v>
      </c>
      <c r="Q853">
        <f>IF(COUNTIF($A$2:A853, A853)=2, 1, 0)</f>
        <v>0</v>
      </c>
      <c r="R853">
        <f>IF(ISNA(MATCH(C853, Customers!$A:$A, 0)), 1, 0)</f>
        <v>0</v>
      </c>
      <c r="S853" s="94" t="b">
        <f>VLOOKUP(D853, Products!A:F, 6, FALSE)</f>
        <v>1</v>
      </c>
    </row>
    <row r="854" spans="1:19">
      <c r="A854" s="102" t="s">
        <v>1330</v>
      </c>
      <c r="B854" s="2">
        <v>45656</v>
      </c>
      <c r="C854" s="1" t="s">
        <v>921</v>
      </c>
      <c r="D854" s="1" t="s">
        <v>167</v>
      </c>
      <c r="E854" s="1" t="s">
        <v>103</v>
      </c>
      <c r="F854" s="83">
        <v>2</v>
      </c>
      <c r="G854" s="92">
        <v>2480</v>
      </c>
      <c r="H854" s="3">
        <v>27.2</v>
      </c>
      <c r="I854" s="3">
        <v>3610.88</v>
      </c>
      <c r="J854" s="1" t="s">
        <v>87</v>
      </c>
      <c r="K854" s="1" t="s">
        <v>117</v>
      </c>
      <c r="L854" t="str">
        <f>VLOOKUP(D854, Products!A:C, 3, FALSE)</f>
        <v>Apparel</v>
      </c>
      <c r="M854" t="str">
        <f>VLOOKUP(C854, Customers!A:E, 5, FALSE)</f>
        <v>Retail</v>
      </c>
      <c r="N854">
        <f>VLOOKUP(C854, Customers!A:E, 3, FALSE)</f>
        <v>28</v>
      </c>
      <c r="O854" s="93" t="str">
        <f>VLOOKUP(E854, Sales_Reps!A:C, 3, FALSE)</f>
        <v>North</v>
      </c>
      <c r="P854">
        <f>VLOOKUP(D854, Products!A:E, 4, FALSE)</f>
        <v>1173</v>
      </c>
      <c r="Q854">
        <f>IF(COUNTIF($A$2:A854, A854)=2, 1, 0)</f>
        <v>0</v>
      </c>
      <c r="R854">
        <f>IF(ISNA(MATCH(C854, Customers!$A:$A, 0)), 1, 0)</f>
        <v>0</v>
      </c>
      <c r="S854" s="94" t="b">
        <f>VLOOKUP(D854, Products!A:F, 6, FALSE)</f>
        <v>1</v>
      </c>
    </row>
    <row r="855" spans="1:19">
      <c r="A855" s="102" t="s">
        <v>1331</v>
      </c>
      <c r="B855" s="2">
        <v>45350</v>
      </c>
      <c r="C855" s="1" t="s">
        <v>530</v>
      </c>
      <c r="D855" s="1" t="s">
        <v>91</v>
      </c>
      <c r="E855" s="1" t="s">
        <v>98</v>
      </c>
      <c r="F855" s="83">
        <v>6</v>
      </c>
      <c r="G855" s="92">
        <v>820</v>
      </c>
      <c r="H855" s="3">
        <v>6.6</v>
      </c>
      <c r="I855" s="3">
        <v>4595.28</v>
      </c>
      <c r="J855" s="1" t="s">
        <v>87</v>
      </c>
      <c r="K855" s="1" t="s">
        <v>99</v>
      </c>
      <c r="L855" t="str">
        <f>VLOOKUP(D855, Products!A:C, 3, FALSE)</f>
        <v>Apparel</v>
      </c>
      <c r="M855" t="str">
        <f>VLOOKUP(C855, Customers!A:E, 5, FALSE)</f>
        <v>Retail</v>
      </c>
      <c r="N855">
        <f>VLOOKUP(C855, Customers!A:E, 3, FALSE)</f>
        <v>45</v>
      </c>
      <c r="O855" s="93" t="str">
        <f>VLOOKUP(E855, Sales_Reps!A:C, 3, FALSE)</f>
        <v>South</v>
      </c>
      <c r="P855">
        <f>VLOOKUP(D855, Products!A:E, 4, FALSE)</f>
        <v>391</v>
      </c>
      <c r="Q855">
        <f>IF(COUNTIF($A$2:A855, A855)=2, 1, 0)</f>
        <v>0</v>
      </c>
      <c r="R855">
        <f>IF(ISNA(MATCH(C855, Customers!$A:$A, 0)), 1, 0)</f>
        <v>0</v>
      </c>
      <c r="S855" s="94" t="b">
        <f>VLOOKUP(D855, Products!A:F, 6, FALSE)</f>
        <v>1</v>
      </c>
    </row>
    <row r="856" spans="1:19">
      <c r="A856" s="102" t="s">
        <v>1332</v>
      </c>
      <c r="B856" s="2">
        <v>45434</v>
      </c>
      <c r="C856" s="1" t="s">
        <v>247</v>
      </c>
      <c r="D856" s="1" t="s">
        <v>364</v>
      </c>
      <c r="E856" s="1" t="s">
        <v>188</v>
      </c>
      <c r="F856" s="83">
        <v>10</v>
      </c>
      <c r="G856" s="92">
        <v>5330</v>
      </c>
      <c r="H856" s="3">
        <v>16.100000000000001</v>
      </c>
      <c r="I856" s="3">
        <v>44718.7</v>
      </c>
      <c r="J856" s="1" t="s">
        <v>87</v>
      </c>
      <c r="K856" s="1" t="s">
        <v>117</v>
      </c>
      <c r="L856" t="str">
        <f>VLOOKUP(D856, Products!A:C, 3, FALSE)</f>
        <v>Electronics</v>
      </c>
      <c r="M856" t="str">
        <f>VLOOKUP(C856, Customers!A:E, 5, FALSE)</f>
        <v>Retail</v>
      </c>
      <c r="N856">
        <f>VLOOKUP(C856, Customers!A:E, 3, FALSE)</f>
        <v>34</v>
      </c>
      <c r="O856" s="93" t="str">
        <f>VLOOKUP(E856, Sales_Reps!A:C, 3, FALSE)</f>
        <v>South</v>
      </c>
      <c r="P856">
        <f>VLOOKUP(D856, Products!A:E, 4, FALSE)</f>
        <v>2405</v>
      </c>
      <c r="Q856">
        <f>IF(COUNTIF($A$2:A856, A856)=2, 1, 0)</f>
        <v>0</v>
      </c>
      <c r="R856">
        <f>IF(ISNA(MATCH(C856, Customers!$A:$A, 0)), 1, 0)</f>
        <v>0</v>
      </c>
      <c r="S856" s="94" t="b">
        <f>VLOOKUP(D856, Products!A:F, 6, FALSE)</f>
        <v>1</v>
      </c>
    </row>
    <row r="857" spans="1:19">
      <c r="A857" s="102" t="s">
        <v>1333</v>
      </c>
      <c r="B857" s="2">
        <v>45438</v>
      </c>
      <c r="C857" s="1" t="s">
        <v>744</v>
      </c>
      <c r="D857" s="1" t="s">
        <v>157</v>
      </c>
      <c r="E857" s="1" t="s">
        <v>139</v>
      </c>
      <c r="F857" s="83">
        <v>2</v>
      </c>
      <c r="G857" s="92">
        <v>3450</v>
      </c>
      <c r="H857" s="3">
        <v>11.3</v>
      </c>
      <c r="I857" s="3">
        <v>6120.3</v>
      </c>
      <c r="J857" s="1" t="s">
        <v>93</v>
      </c>
      <c r="K857" s="1" t="s">
        <v>133</v>
      </c>
      <c r="L857" t="str">
        <f>VLOOKUP(D857, Products!A:C, 3, FALSE)</f>
        <v>Beauty</v>
      </c>
      <c r="M857" t="str">
        <f>VLOOKUP(C857, Customers!A:E, 5, FALSE)</f>
        <v>Retail</v>
      </c>
      <c r="N857">
        <f>VLOOKUP(C857, Customers!A:E, 3, FALSE)</f>
        <v>64</v>
      </c>
      <c r="O857" s="93" t="str">
        <f>VLOOKUP(E857, Sales_Reps!A:C, 3, FALSE)</f>
        <v>North</v>
      </c>
      <c r="P857">
        <f>VLOOKUP(D857, Products!A:E, 4, FALSE)</f>
        <v>2420</v>
      </c>
      <c r="Q857">
        <f>IF(COUNTIF($A$2:A857, A857)=2, 1, 0)</f>
        <v>0</v>
      </c>
      <c r="R857">
        <f>IF(ISNA(MATCH(C857, Customers!$A:$A, 0)), 1, 0)</f>
        <v>0</v>
      </c>
      <c r="S857" s="94" t="b">
        <f>VLOOKUP(D857, Products!A:F, 6, FALSE)</f>
        <v>1</v>
      </c>
    </row>
    <row r="858" spans="1:19">
      <c r="A858" s="102" t="s">
        <v>1334</v>
      </c>
      <c r="B858" s="2">
        <v>45486</v>
      </c>
      <c r="C858" s="1" t="s">
        <v>301</v>
      </c>
      <c r="D858" s="1" t="s">
        <v>380</v>
      </c>
      <c r="E858" s="1" t="s">
        <v>154</v>
      </c>
      <c r="F858" s="83">
        <v>7</v>
      </c>
      <c r="G858" s="92">
        <v>960</v>
      </c>
      <c r="H858" s="3">
        <v>17.100000000000001</v>
      </c>
      <c r="I858" s="3">
        <v>5570.88</v>
      </c>
      <c r="J858" s="1" t="s">
        <v>87</v>
      </c>
      <c r="K858" s="1" t="s">
        <v>94</v>
      </c>
      <c r="L858" t="str">
        <f>VLOOKUP(D858, Products!A:C, 3, FALSE)</f>
        <v>Beauty</v>
      </c>
      <c r="M858" t="str">
        <f>VLOOKUP(C858, Customers!A:E, 5, FALSE)</f>
        <v>Retail</v>
      </c>
      <c r="N858">
        <f>VLOOKUP(C858, Customers!A:E, 3, FALSE)</f>
        <v>41</v>
      </c>
      <c r="O858" s="93" t="str">
        <f>VLOOKUP(E858, Sales_Reps!A:C, 3, FALSE)</f>
        <v>East</v>
      </c>
      <c r="P858">
        <f>VLOOKUP(D858, Products!A:E, 4, FALSE)</f>
        <v>675</v>
      </c>
      <c r="Q858">
        <f>IF(COUNTIF($A$2:A858, A858)=2, 1, 0)</f>
        <v>0</v>
      </c>
      <c r="R858">
        <f>IF(ISNA(MATCH(C858, Customers!$A:$A, 0)), 1, 0)</f>
        <v>0</v>
      </c>
      <c r="S858" s="94" t="b">
        <f>VLOOKUP(D858, Products!A:F, 6, FALSE)</f>
        <v>1</v>
      </c>
    </row>
    <row r="859" spans="1:19">
      <c r="A859" s="102" t="s">
        <v>1335</v>
      </c>
      <c r="B859" s="2">
        <v>45623</v>
      </c>
      <c r="C859" s="1" t="s">
        <v>294</v>
      </c>
      <c r="D859" s="1" t="s">
        <v>452</v>
      </c>
      <c r="E859" s="1" t="s">
        <v>148</v>
      </c>
      <c r="F859" s="83">
        <v>5</v>
      </c>
      <c r="G859" s="92">
        <v>3450</v>
      </c>
      <c r="H859" s="3">
        <v>22.9</v>
      </c>
      <c r="I859" s="3">
        <v>13299.75</v>
      </c>
      <c r="J859" s="1" t="s">
        <v>87</v>
      </c>
      <c r="K859" s="1" t="s">
        <v>133</v>
      </c>
      <c r="L859" t="str">
        <f>VLOOKUP(D859, Products!A:C, 3, FALSE)</f>
        <v>Apparel</v>
      </c>
      <c r="M859" t="str">
        <f>VLOOKUP(C859, Customers!A:E, 5, FALSE)</f>
        <v>SMB</v>
      </c>
      <c r="N859">
        <f>VLOOKUP(C859, Customers!A:E, 3, FALSE)</f>
        <v>43</v>
      </c>
      <c r="O859" s="93" t="str">
        <f>VLOOKUP(E859, Sales_Reps!A:C, 3, FALSE)</f>
        <v>North</v>
      </c>
      <c r="P859">
        <f>VLOOKUP(D859, Products!A:E, 4, FALSE)</f>
        <v>1748</v>
      </c>
      <c r="Q859">
        <f>IF(COUNTIF($A$2:A859, A859)=2, 1, 0)</f>
        <v>0</v>
      </c>
      <c r="R859">
        <f>IF(ISNA(MATCH(C859, Customers!$A:$A, 0)), 1, 0)</f>
        <v>0</v>
      </c>
      <c r="S859" s="94" t="b">
        <f>VLOOKUP(D859, Products!A:F, 6, FALSE)</f>
        <v>1</v>
      </c>
    </row>
    <row r="860" spans="1:19">
      <c r="A860" s="102" t="s">
        <v>1336</v>
      </c>
      <c r="B860" s="2">
        <v>45634</v>
      </c>
      <c r="C860" s="1" t="s">
        <v>856</v>
      </c>
      <c r="D860" s="1" t="s">
        <v>267</v>
      </c>
      <c r="E860" s="1" t="s">
        <v>107</v>
      </c>
      <c r="F860" s="83">
        <v>5</v>
      </c>
      <c r="G860" s="92">
        <v>1220</v>
      </c>
      <c r="H860" s="3">
        <v>0.3</v>
      </c>
      <c r="I860" s="3">
        <v>6081.7</v>
      </c>
      <c r="J860" s="1" t="s">
        <v>87</v>
      </c>
      <c r="K860" s="1" t="s">
        <v>88</v>
      </c>
      <c r="L860" t="str">
        <f>VLOOKUP(D860, Products!A:C, 3, FALSE)</f>
        <v>Electronics</v>
      </c>
      <c r="M860" t="str">
        <f>VLOOKUP(C860, Customers!A:E, 5, FALSE)</f>
        <v>SMB</v>
      </c>
      <c r="N860">
        <f>VLOOKUP(C860, Customers!A:E, 3, FALSE)</f>
        <v>59</v>
      </c>
      <c r="O860" s="93" t="str">
        <f>VLOOKUP(E860, Sales_Reps!A:C, 3, FALSE)</f>
        <v>North</v>
      </c>
      <c r="P860">
        <f>VLOOKUP(D860, Products!A:E, 4, FALSE)</f>
        <v>517</v>
      </c>
      <c r="Q860">
        <f>IF(COUNTIF($A$2:A860, A860)=2, 1, 0)</f>
        <v>0</v>
      </c>
      <c r="R860">
        <f>IF(ISNA(MATCH(C860, Customers!$A:$A, 0)), 1, 0)</f>
        <v>0</v>
      </c>
      <c r="S860" s="94" t="b">
        <f>VLOOKUP(D860, Products!A:F, 6, FALSE)</f>
        <v>1</v>
      </c>
    </row>
    <row r="861" spans="1:19">
      <c r="A861" s="102" t="s">
        <v>1337</v>
      </c>
      <c r="B861" s="2">
        <v>45308</v>
      </c>
      <c r="C861" s="1" t="s">
        <v>1172</v>
      </c>
      <c r="D861" s="1" t="s">
        <v>364</v>
      </c>
      <c r="E861" s="1" t="s">
        <v>86</v>
      </c>
      <c r="F861" s="83">
        <v>5</v>
      </c>
      <c r="G861" s="92">
        <v>5330</v>
      </c>
      <c r="H861" s="3">
        <v>29</v>
      </c>
      <c r="I861" s="3">
        <v>18921.5</v>
      </c>
      <c r="J861" s="1" t="s">
        <v>87</v>
      </c>
      <c r="K861" s="1" t="s">
        <v>88</v>
      </c>
      <c r="L861" t="str">
        <f>VLOOKUP(D861, Products!A:C, 3, FALSE)</f>
        <v>Electronics</v>
      </c>
      <c r="M861" t="str">
        <f>VLOOKUP(C861, Customers!A:E, 5, FALSE)</f>
        <v>Retail</v>
      </c>
      <c r="N861">
        <f>VLOOKUP(C861, Customers!A:E, 3, FALSE)</f>
        <v>39</v>
      </c>
      <c r="O861" s="93" t="str">
        <f>VLOOKUP(E861, Sales_Reps!A:C, 3, FALSE)</f>
        <v>North</v>
      </c>
      <c r="P861">
        <f>VLOOKUP(D861, Products!A:E, 4, FALSE)</f>
        <v>2405</v>
      </c>
      <c r="Q861">
        <f>IF(COUNTIF($A$2:A861, A861)=2, 1, 0)</f>
        <v>0</v>
      </c>
      <c r="R861">
        <f>IF(ISNA(MATCH(C861, Customers!$A:$A, 0)), 1, 0)</f>
        <v>0</v>
      </c>
      <c r="S861" s="94" t="b">
        <f>VLOOKUP(D861, Products!A:F, 6, FALSE)</f>
        <v>1</v>
      </c>
    </row>
    <row r="862" spans="1:19">
      <c r="A862" s="102" t="s">
        <v>1338</v>
      </c>
      <c r="B862" s="2">
        <v>45641</v>
      </c>
      <c r="C862" s="1" t="s">
        <v>759</v>
      </c>
      <c r="D862" s="1" t="s">
        <v>187</v>
      </c>
      <c r="E862" s="1" t="s">
        <v>128</v>
      </c>
      <c r="F862" s="83">
        <v>3</v>
      </c>
      <c r="G862" s="92">
        <v>3570</v>
      </c>
      <c r="H862" s="3">
        <v>20</v>
      </c>
      <c r="I862" s="3">
        <v>8568</v>
      </c>
      <c r="J862" s="1" t="s">
        <v>140</v>
      </c>
      <c r="K862" s="1" t="s">
        <v>117</v>
      </c>
      <c r="L862" t="str">
        <f>VLOOKUP(D862, Products!A:C, 3, FALSE)</f>
        <v>Electronics</v>
      </c>
      <c r="M862" t="str">
        <f>VLOOKUP(C862, Customers!A:E, 5, FALSE)</f>
        <v>Retail</v>
      </c>
      <c r="N862">
        <f>VLOOKUP(C862, Customers!A:E, 3, FALSE)</f>
        <v>29</v>
      </c>
      <c r="O862" s="93" t="str">
        <f>VLOOKUP(E862, Sales_Reps!A:C, 3, FALSE)</f>
        <v>West</v>
      </c>
      <c r="P862">
        <f>VLOOKUP(D862, Products!A:E, 4, FALSE)</f>
        <v>1665</v>
      </c>
      <c r="Q862">
        <f>IF(COUNTIF($A$2:A862, A862)=2, 1, 0)</f>
        <v>0</v>
      </c>
      <c r="R862">
        <f>IF(ISNA(MATCH(C862, Customers!$A:$A, 0)), 1, 0)</f>
        <v>0</v>
      </c>
      <c r="S862" s="94" t="b">
        <f>VLOOKUP(D862, Products!A:F, 6, FALSE)</f>
        <v>1</v>
      </c>
    </row>
    <row r="863" spans="1:19">
      <c r="A863" s="102" t="s">
        <v>1339</v>
      </c>
      <c r="B863" s="2">
        <v>45396</v>
      </c>
      <c r="C863" s="1" t="s">
        <v>729</v>
      </c>
      <c r="D863" s="1" t="s">
        <v>338</v>
      </c>
      <c r="E863" s="1" t="s">
        <v>201</v>
      </c>
      <c r="F863" s="83">
        <v>9</v>
      </c>
      <c r="G863" s="92">
        <v>2210</v>
      </c>
      <c r="H863" s="3">
        <v>12.4</v>
      </c>
      <c r="I863" s="3">
        <v>17423.64</v>
      </c>
      <c r="J863" s="1" t="s">
        <v>87</v>
      </c>
      <c r="K863" s="1" t="s">
        <v>112</v>
      </c>
      <c r="L863" t="str">
        <f>VLOOKUP(D863, Products!A:C, 3, FALSE)</f>
        <v>Grocery</v>
      </c>
      <c r="M863" t="str">
        <f>VLOOKUP(C863, Customers!A:E, 5, FALSE)</f>
        <v>Retail</v>
      </c>
      <c r="N863">
        <f>VLOOKUP(C863, Customers!A:E, 3, FALSE)</f>
        <v>56</v>
      </c>
      <c r="O863" s="93" t="str">
        <f>VLOOKUP(E863, Sales_Reps!A:C, 3, FALSE)</f>
        <v>West</v>
      </c>
      <c r="P863">
        <f>VLOOKUP(D863, Products!A:E, 4, FALSE)</f>
        <v>1010</v>
      </c>
      <c r="Q863">
        <f>IF(COUNTIF($A$2:A863, A863)=2, 1, 0)</f>
        <v>0</v>
      </c>
      <c r="R863">
        <f>IF(ISNA(MATCH(C863, Customers!$A:$A, 0)), 1, 0)</f>
        <v>0</v>
      </c>
      <c r="S863" s="94" t="b">
        <f>VLOOKUP(D863, Products!A:F, 6, FALSE)</f>
        <v>1</v>
      </c>
    </row>
    <row r="864" spans="1:19">
      <c r="A864" s="102" t="s">
        <v>1340</v>
      </c>
      <c r="B864" s="2">
        <v>45302</v>
      </c>
      <c r="C864" s="1" t="s">
        <v>142</v>
      </c>
      <c r="D864" s="1" t="s">
        <v>461</v>
      </c>
      <c r="E864" s="1" t="s">
        <v>229</v>
      </c>
      <c r="F864" s="83">
        <v>5</v>
      </c>
      <c r="G864" s="92">
        <v>3780</v>
      </c>
      <c r="H864" s="3">
        <v>3.9</v>
      </c>
      <c r="I864" s="3">
        <v>18162.900000000001</v>
      </c>
      <c r="J864" s="1" t="s">
        <v>87</v>
      </c>
      <c r="K864" s="1" t="s">
        <v>88</v>
      </c>
      <c r="L864" t="str">
        <f>VLOOKUP(D864, Products!A:C, 3, FALSE)</f>
        <v>Sports</v>
      </c>
      <c r="M864" t="str">
        <f>VLOOKUP(C864, Customers!A:E, 5, FALSE)</f>
        <v>SMB</v>
      </c>
      <c r="N864">
        <f>VLOOKUP(C864, Customers!A:E, 3, FALSE)</f>
        <v>39</v>
      </c>
      <c r="O864" s="93" t="str">
        <f>VLOOKUP(E864, Sales_Reps!A:C, 3, FALSE)</f>
        <v>West</v>
      </c>
      <c r="P864">
        <f>VLOOKUP(D864, Products!A:E, 4, FALSE)</f>
        <v>1860</v>
      </c>
      <c r="Q864">
        <f>IF(COUNTIF($A$2:A864, A864)=2, 1, 0)</f>
        <v>0</v>
      </c>
      <c r="R864">
        <f>IF(ISNA(MATCH(C864, Customers!$A:$A, 0)), 1, 0)</f>
        <v>0</v>
      </c>
      <c r="S864" s="94" t="b">
        <f>VLOOKUP(D864, Products!A:F, 6, FALSE)</f>
        <v>1</v>
      </c>
    </row>
    <row r="865" spans="1:19">
      <c r="A865" s="102" t="s">
        <v>1341</v>
      </c>
      <c r="B865" s="2">
        <v>45626</v>
      </c>
      <c r="C865" s="1" t="s">
        <v>169</v>
      </c>
      <c r="D865" s="1" t="s">
        <v>135</v>
      </c>
      <c r="E865" s="1" t="s">
        <v>107</v>
      </c>
      <c r="F865" s="83">
        <v>10</v>
      </c>
      <c r="G865" s="92">
        <v>2640</v>
      </c>
      <c r="H865" s="3">
        <v>17.8</v>
      </c>
      <c r="I865" s="3">
        <v>21700.799999999999</v>
      </c>
      <c r="J865" s="1" t="s">
        <v>144</v>
      </c>
      <c r="K865" s="1" t="s">
        <v>112</v>
      </c>
      <c r="L865" t="str">
        <f>VLOOKUP(D865, Products!A:C, 3, FALSE)</f>
        <v>Electronics</v>
      </c>
      <c r="M865" t="str">
        <f>VLOOKUP(C865, Customers!A:E, 5, FALSE)</f>
        <v>Retail</v>
      </c>
      <c r="N865">
        <f>VLOOKUP(C865, Customers!A:E, 3, FALSE)</f>
        <v>34</v>
      </c>
      <c r="O865" s="93" t="str">
        <f>VLOOKUP(E865, Sales_Reps!A:C, 3, FALSE)</f>
        <v>North</v>
      </c>
      <c r="P865">
        <f>VLOOKUP(D865, Products!A:E, 4, FALSE)</f>
        <v>1149</v>
      </c>
      <c r="Q865">
        <f>IF(COUNTIF($A$2:A865, A865)=2, 1, 0)</f>
        <v>0</v>
      </c>
      <c r="R865">
        <f>IF(ISNA(MATCH(C865, Customers!$A:$A, 0)), 1, 0)</f>
        <v>0</v>
      </c>
      <c r="S865" s="94" t="b">
        <f>VLOOKUP(D865, Products!A:F, 6, FALSE)</f>
        <v>1</v>
      </c>
    </row>
    <row r="866" spans="1:19">
      <c r="A866" s="102" t="s">
        <v>1342</v>
      </c>
      <c r="B866" s="2">
        <v>45352</v>
      </c>
      <c r="C866" s="1" t="s">
        <v>610</v>
      </c>
      <c r="D866" s="1" t="s">
        <v>282</v>
      </c>
      <c r="E866" s="1" t="s">
        <v>116</v>
      </c>
      <c r="F866" s="83">
        <v>5</v>
      </c>
      <c r="G866" s="92">
        <v>300</v>
      </c>
      <c r="H866" s="3">
        <v>12.9</v>
      </c>
      <c r="I866" s="3">
        <v>1306.5</v>
      </c>
      <c r="J866" s="1" t="s">
        <v>87</v>
      </c>
      <c r="K866" s="1" t="s">
        <v>117</v>
      </c>
      <c r="L866" t="str">
        <f>VLOOKUP(D866, Products!A:C, 3, FALSE)</f>
        <v>Electronics</v>
      </c>
      <c r="M866" t="str">
        <f>VLOOKUP(C866, Customers!A:E, 5, FALSE)</f>
        <v>SMB</v>
      </c>
      <c r="N866">
        <f>VLOOKUP(C866, Customers!A:E, 3, FALSE)</f>
        <v>42</v>
      </c>
      <c r="O866" s="93" t="str">
        <f>VLOOKUP(E866, Sales_Reps!A:C, 3, FALSE)</f>
        <v>West</v>
      </c>
      <c r="P866">
        <f>VLOOKUP(D866, Products!A:E, 4, FALSE)</f>
        <v>128</v>
      </c>
      <c r="Q866">
        <f>IF(COUNTIF($A$2:A866, A866)=2, 1, 0)</f>
        <v>0</v>
      </c>
      <c r="R866">
        <f>IF(ISNA(MATCH(C866, Customers!$A:$A, 0)), 1, 0)</f>
        <v>0</v>
      </c>
      <c r="S866" s="94" t="b">
        <f>VLOOKUP(D866, Products!A:F, 6, FALSE)</f>
        <v>1</v>
      </c>
    </row>
    <row r="867" spans="1:19">
      <c r="A867" s="102" t="s">
        <v>1343</v>
      </c>
      <c r="B867" s="2">
        <v>45588</v>
      </c>
      <c r="C867" s="1" t="s">
        <v>294</v>
      </c>
      <c r="D867" s="1" t="s">
        <v>151</v>
      </c>
      <c r="E867" s="1" t="s">
        <v>252</v>
      </c>
      <c r="F867" s="83">
        <v>2</v>
      </c>
      <c r="G867" s="92">
        <v>2400</v>
      </c>
      <c r="H867" s="3">
        <v>17.100000000000001</v>
      </c>
      <c r="I867" s="3">
        <v>3979.2</v>
      </c>
      <c r="J867" s="1" t="s">
        <v>93</v>
      </c>
      <c r="K867" s="1" t="s">
        <v>133</v>
      </c>
      <c r="L867" t="str">
        <f>VLOOKUP(D867, Products!A:C, 3, FALSE)</f>
        <v>Sports</v>
      </c>
      <c r="M867" t="str">
        <f>VLOOKUP(C867, Customers!A:E, 5, FALSE)</f>
        <v>SMB</v>
      </c>
      <c r="N867">
        <f>VLOOKUP(C867, Customers!A:E, 3, FALSE)</f>
        <v>43</v>
      </c>
      <c r="O867" s="93" t="str">
        <f>VLOOKUP(E867, Sales_Reps!A:C, 3, FALSE)</f>
        <v>South</v>
      </c>
      <c r="P867">
        <f>VLOOKUP(D867, Products!A:E, 4, FALSE)</f>
        <v>974</v>
      </c>
      <c r="Q867">
        <f>IF(COUNTIF($A$2:A867, A867)=2, 1, 0)</f>
        <v>0</v>
      </c>
      <c r="R867">
        <f>IF(ISNA(MATCH(C867, Customers!$A:$A, 0)), 1, 0)</f>
        <v>0</v>
      </c>
      <c r="S867" s="94" t="b">
        <f>VLOOKUP(D867, Products!A:F, 6, FALSE)</f>
        <v>1</v>
      </c>
    </row>
    <row r="868" spans="1:19">
      <c r="A868" s="102" t="s">
        <v>1344</v>
      </c>
      <c r="B868" s="2">
        <v>45583</v>
      </c>
      <c r="C868" s="1" t="s">
        <v>299</v>
      </c>
      <c r="D868" s="1" t="s">
        <v>164</v>
      </c>
      <c r="E868" s="1" t="s">
        <v>201</v>
      </c>
      <c r="F868" s="83">
        <v>5</v>
      </c>
      <c r="G868" s="92">
        <v>1080</v>
      </c>
      <c r="H868" s="3">
        <v>15.7</v>
      </c>
      <c r="I868" s="3">
        <v>4552.2</v>
      </c>
      <c r="J868" s="1" t="s">
        <v>93</v>
      </c>
      <c r="K868" s="1" t="s">
        <v>133</v>
      </c>
      <c r="L868" t="str">
        <f>VLOOKUP(D868, Products!A:C, 3, FALSE)</f>
        <v>Home</v>
      </c>
      <c r="M868" t="str">
        <f>VLOOKUP(C868, Customers!A:E, 5, FALSE)</f>
        <v>Retail</v>
      </c>
      <c r="N868">
        <f>VLOOKUP(C868, Customers!A:E, 3, FALSE)</f>
        <v>29</v>
      </c>
      <c r="O868" s="93" t="str">
        <f>VLOOKUP(E868, Sales_Reps!A:C, 3, FALSE)</f>
        <v>West</v>
      </c>
      <c r="P868">
        <f>VLOOKUP(D868, Products!A:E, 4, FALSE)</f>
        <v>519</v>
      </c>
      <c r="Q868">
        <f>IF(COUNTIF($A$2:A868, A868)=2, 1, 0)</f>
        <v>0</v>
      </c>
      <c r="R868">
        <f>IF(ISNA(MATCH(C868, Customers!$A:$A, 0)), 1, 0)</f>
        <v>0</v>
      </c>
      <c r="S868" s="94" t="b">
        <f>VLOOKUP(D868, Products!A:F, 6, FALSE)</f>
        <v>1</v>
      </c>
    </row>
    <row r="869" spans="1:19">
      <c r="A869" s="102" t="s">
        <v>1345</v>
      </c>
      <c r="B869" s="2">
        <v>45528</v>
      </c>
      <c r="C869" s="1" t="s">
        <v>714</v>
      </c>
      <c r="D869" s="1" t="s">
        <v>143</v>
      </c>
      <c r="E869" s="1" t="s">
        <v>148</v>
      </c>
      <c r="F869" s="83">
        <v>1</v>
      </c>
      <c r="G869" s="92">
        <v>3250</v>
      </c>
      <c r="H869" s="3">
        <v>14.7</v>
      </c>
      <c r="I869" s="3">
        <v>2772.25</v>
      </c>
      <c r="J869" s="1" t="s">
        <v>87</v>
      </c>
      <c r="K869" s="1" t="s">
        <v>99</v>
      </c>
      <c r="L869" t="str">
        <f>VLOOKUP(D869, Products!A:C, 3, FALSE)</f>
        <v>Home</v>
      </c>
      <c r="M869" t="str">
        <f>VLOOKUP(C869, Customers!A:E, 5, FALSE)</f>
        <v>Retail</v>
      </c>
      <c r="N869">
        <f>VLOOKUP(C869, Customers!A:E, 3, FALSE)</f>
        <v>24</v>
      </c>
      <c r="O869" s="93" t="str">
        <f>VLOOKUP(E869, Sales_Reps!A:C, 3, FALSE)</f>
        <v>North</v>
      </c>
      <c r="P869">
        <f>VLOOKUP(D869, Products!A:E, 4, FALSE)</f>
        <v>1556</v>
      </c>
      <c r="Q869">
        <f>IF(COUNTIF($A$2:A869, A869)=2, 1, 0)</f>
        <v>0</v>
      </c>
      <c r="R869">
        <f>IF(ISNA(MATCH(C869, Customers!$A:$A, 0)), 1, 0)</f>
        <v>0</v>
      </c>
      <c r="S869" s="94" t="b">
        <f>VLOOKUP(D869, Products!A:F, 6, FALSE)</f>
        <v>1</v>
      </c>
    </row>
    <row r="870" spans="1:19">
      <c r="A870" s="102" t="s">
        <v>1346</v>
      </c>
      <c r="B870" s="2">
        <v>45400</v>
      </c>
      <c r="C870" s="1" t="s">
        <v>416</v>
      </c>
      <c r="D870" s="1" t="s">
        <v>110</v>
      </c>
      <c r="E870" s="1" t="s">
        <v>158</v>
      </c>
      <c r="F870" s="83">
        <v>7</v>
      </c>
      <c r="G870" s="92">
        <v>370</v>
      </c>
      <c r="H870" s="3">
        <v>6</v>
      </c>
      <c r="I870" s="3">
        <v>2434.6</v>
      </c>
      <c r="J870" s="1" t="s">
        <v>140</v>
      </c>
      <c r="K870" s="1" t="s">
        <v>117</v>
      </c>
      <c r="L870" t="str">
        <f>VLOOKUP(D870, Products!A:C, 3, FALSE)</f>
        <v>Home</v>
      </c>
      <c r="M870" t="str">
        <f>VLOOKUP(C870, Customers!A:E, 5, FALSE)</f>
        <v>Corporate</v>
      </c>
      <c r="N870">
        <f>VLOOKUP(C870, Customers!A:E, 3, FALSE)</f>
        <v>42</v>
      </c>
      <c r="O870" s="93" t="str">
        <f>VLOOKUP(E870, Sales_Reps!A:C, 3, FALSE)</f>
        <v>East</v>
      </c>
      <c r="P870">
        <f>VLOOKUP(D870, Products!A:E, 4, FALSE)</f>
        <v>288</v>
      </c>
      <c r="Q870">
        <f>IF(COUNTIF($A$2:A870, A870)=2, 1, 0)</f>
        <v>0</v>
      </c>
      <c r="R870">
        <f>IF(ISNA(MATCH(C870, Customers!$A:$A, 0)), 1, 0)</f>
        <v>0</v>
      </c>
      <c r="S870" s="94" t="b">
        <f>VLOOKUP(D870, Products!A:F, 6, FALSE)</f>
        <v>1</v>
      </c>
    </row>
    <row r="871" spans="1:19">
      <c r="A871" s="102" t="s">
        <v>1347</v>
      </c>
      <c r="B871" s="2">
        <v>45337</v>
      </c>
      <c r="C871" s="1" t="s">
        <v>1348</v>
      </c>
      <c r="D871" s="1" t="s">
        <v>124</v>
      </c>
      <c r="E871" s="1" t="s">
        <v>229</v>
      </c>
      <c r="F871" s="83">
        <v>7</v>
      </c>
      <c r="G871" s="92">
        <v>5490</v>
      </c>
      <c r="H871" s="3">
        <v>10.199999999999999</v>
      </c>
      <c r="I871" s="3">
        <v>34510.14</v>
      </c>
      <c r="J871" s="1" t="s">
        <v>87</v>
      </c>
      <c r="K871" s="1" t="s">
        <v>88</v>
      </c>
      <c r="L871" t="str">
        <f>VLOOKUP(D871, Products!A:C, 3, FALSE)</f>
        <v>Home</v>
      </c>
      <c r="M871" t="e">
        <f>VLOOKUP(C871, Customers!A:E, 5, FALSE)</f>
        <v>#N/A</v>
      </c>
      <c r="N871" t="e">
        <f>VLOOKUP(C871, Customers!A:E, 3, FALSE)</f>
        <v>#N/A</v>
      </c>
      <c r="O871" s="93" t="str">
        <f>VLOOKUP(E871, Sales_Reps!A:C, 3, FALSE)</f>
        <v>West</v>
      </c>
      <c r="P871">
        <f>VLOOKUP(D871, Products!A:E, 4, FALSE)</f>
        <v>2549</v>
      </c>
      <c r="Q871">
        <f>IF(COUNTIF($A$2:A871, A871)=2, 1, 0)</f>
        <v>0</v>
      </c>
      <c r="R871">
        <f>IF(ISNA(MATCH(C871, Customers!$A:$A, 0)), 1, 0)</f>
        <v>1</v>
      </c>
      <c r="S871" s="94" t="b">
        <f>VLOOKUP(D871, Products!A:F, 6, FALSE)</f>
        <v>1</v>
      </c>
    </row>
    <row r="872" spans="1:19">
      <c r="A872" s="102" t="s">
        <v>1349</v>
      </c>
      <c r="B872" s="2">
        <v>45482</v>
      </c>
      <c r="C872" s="1" t="s">
        <v>1350</v>
      </c>
      <c r="D872" s="1" t="s">
        <v>408</v>
      </c>
      <c r="E872" s="1" t="s">
        <v>128</v>
      </c>
      <c r="F872" s="83">
        <v>3</v>
      </c>
      <c r="G872" s="92">
        <v>3970</v>
      </c>
      <c r="H872" s="3">
        <v>2.4</v>
      </c>
      <c r="I872" s="3">
        <v>11624.16</v>
      </c>
      <c r="J872" s="1" t="s">
        <v>87</v>
      </c>
      <c r="K872" s="1" t="s">
        <v>112</v>
      </c>
      <c r="L872" t="str">
        <f>VLOOKUP(D872, Products!A:C, 3, FALSE)</f>
        <v>Electronics</v>
      </c>
      <c r="M872" t="str">
        <f>VLOOKUP(C872, Customers!A:E, 5, FALSE)</f>
        <v>Retail</v>
      </c>
      <c r="N872">
        <f>VLOOKUP(C872, Customers!A:E, 3, FALSE)</f>
        <v>38</v>
      </c>
      <c r="O872" s="93" t="str">
        <f>VLOOKUP(E872, Sales_Reps!A:C, 3, FALSE)</f>
        <v>West</v>
      </c>
      <c r="P872">
        <f>VLOOKUP(D872, Products!A:E, 4, FALSE)</f>
        <v>2865</v>
      </c>
      <c r="Q872">
        <f>IF(COUNTIF($A$2:A872, A872)=2, 1, 0)</f>
        <v>0</v>
      </c>
      <c r="R872">
        <f>IF(ISNA(MATCH(C872, Customers!$A:$A, 0)), 1, 0)</f>
        <v>0</v>
      </c>
      <c r="S872" s="94" t="b">
        <f>VLOOKUP(D872, Products!A:F, 6, FALSE)</f>
        <v>1</v>
      </c>
    </row>
    <row r="873" spans="1:19">
      <c r="A873" s="102" t="s">
        <v>1351</v>
      </c>
      <c r="B873" s="2">
        <v>45583</v>
      </c>
      <c r="C873" s="1" t="s">
        <v>762</v>
      </c>
      <c r="D873" s="1" t="s">
        <v>267</v>
      </c>
      <c r="E873" s="1" t="s">
        <v>86</v>
      </c>
      <c r="F873" s="83">
        <v>4</v>
      </c>
      <c r="G873" s="92">
        <v>1220</v>
      </c>
      <c r="H873" s="3">
        <v>25.3</v>
      </c>
      <c r="I873" s="3">
        <v>3645.36</v>
      </c>
      <c r="J873" s="1" t="s">
        <v>87</v>
      </c>
      <c r="K873" s="1" t="s">
        <v>133</v>
      </c>
      <c r="L873" t="str">
        <f>VLOOKUP(D873, Products!A:C, 3, FALSE)</f>
        <v>Electronics</v>
      </c>
      <c r="M873" t="str">
        <f>VLOOKUP(C873, Customers!A:E, 5, FALSE)</f>
        <v>Retail</v>
      </c>
      <c r="N873">
        <f>VLOOKUP(C873, Customers!A:E, 3, FALSE)</f>
        <v>52</v>
      </c>
      <c r="O873" s="93" t="str">
        <f>VLOOKUP(E873, Sales_Reps!A:C, 3, FALSE)</f>
        <v>North</v>
      </c>
      <c r="P873">
        <f>VLOOKUP(D873, Products!A:E, 4, FALSE)</f>
        <v>517</v>
      </c>
      <c r="Q873">
        <f>IF(COUNTIF($A$2:A873, A873)=2, 1, 0)</f>
        <v>0</v>
      </c>
      <c r="R873">
        <f>IF(ISNA(MATCH(C873, Customers!$A:$A, 0)), 1, 0)</f>
        <v>0</v>
      </c>
      <c r="S873" s="94" t="b">
        <f>VLOOKUP(D873, Products!A:F, 6, FALSE)</f>
        <v>1</v>
      </c>
    </row>
    <row r="874" spans="1:19">
      <c r="A874" s="102" t="s">
        <v>1352</v>
      </c>
      <c r="B874" s="2">
        <v>45409</v>
      </c>
      <c r="C874" s="1" t="s">
        <v>744</v>
      </c>
      <c r="D874" s="1" t="s">
        <v>106</v>
      </c>
      <c r="E874" s="1" t="s">
        <v>201</v>
      </c>
      <c r="F874" s="83">
        <v>3</v>
      </c>
      <c r="G874" s="92">
        <v>3160</v>
      </c>
      <c r="H874" s="3">
        <v>19.8</v>
      </c>
      <c r="I874" s="3">
        <v>7602.96</v>
      </c>
      <c r="J874" s="1" t="s">
        <v>87</v>
      </c>
      <c r="K874" s="1" t="s">
        <v>133</v>
      </c>
      <c r="L874" t="str">
        <f>VLOOKUP(D874, Products!A:C, 3, FALSE)</f>
        <v>Apparel</v>
      </c>
      <c r="M874" t="str">
        <f>VLOOKUP(C874, Customers!A:E, 5, FALSE)</f>
        <v>Retail</v>
      </c>
      <c r="N874">
        <f>VLOOKUP(C874, Customers!A:E, 3, FALSE)</f>
        <v>64</v>
      </c>
      <c r="O874" s="93" t="str">
        <f>VLOOKUP(E874, Sales_Reps!A:C, 3, FALSE)</f>
        <v>West</v>
      </c>
      <c r="P874">
        <f>VLOOKUP(D874, Products!A:E, 4, FALSE)</f>
        <v>1886</v>
      </c>
      <c r="Q874">
        <f>IF(COUNTIF($A$2:A874, A874)=2, 1, 0)</f>
        <v>0</v>
      </c>
      <c r="R874">
        <f>IF(ISNA(MATCH(C874, Customers!$A:$A, 0)), 1, 0)</f>
        <v>0</v>
      </c>
      <c r="S874" s="94" t="b">
        <f>VLOOKUP(D874, Products!A:F, 6, FALSE)</f>
        <v>1</v>
      </c>
    </row>
    <row r="875" spans="1:19">
      <c r="A875" s="102" t="s">
        <v>1353</v>
      </c>
      <c r="B875" s="2">
        <v>45430</v>
      </c>
      <c r="C875" s="1" t="s">
        <v>613</v>
      </c>
      <c r="D875" s="1" t="s">
        <v>282</v>
      </c>
      <c r="E875" s="1" t="s">
        <v>107</v>
      </c>
      <c r="F875" s="83">
        <v>1</v>
      </c>
      <c r="G875" s="92">
        <v>300</v>
      </c>
      <c r="H875" s="3">
        <v>24.5</v>
      </c>
      <c r="I875" s="3">
        <v>226.5</v>
      </c>
      <c r="J875" s="1" t="s">
        <v>87</v>
      </c>
      <c r="K875" s="1" t="s">
        <v>112</v>
      </c>
      <c r="L875" t="str">
        <f>VLOOKUP(D875, Products!A:C, 3, FALSE)</f>
        <v>Electronics</v>
      </c>
      <c r="M875" t="str">
        <f>VLOOKUP(C875, Customers!A:E, 5, FALSE)</f>
        <v>Retail</v>
      </c>
      <c r="N875">
        <f>VLOOKUP(C875, Customers!A:E, 3, FALSE)</f>
        <v>44</v>
      </c>
      <c r="O875" s="93" t="str">
        <f>VLOOKUP(E875, Sales_Reps!A:C, 3, FALSE)</f>
        <v>North</v>
      </c>
      <c r="P875">
        <f>VLOOKUP(D875, Products!A:E, 4, FALSE)</f>
        <v>128</v>
      </c>
      <c r="Q875">
        <f>IF(COUNTIF($A$2:A875, A875)=2, 1, 0)</f>
        <v>0</v>
      </c>
      <c r="R875">
        <f>IF(ISNA(MATCH(C875, Customers!$A:$A, 0)), 1, 0)</f>
        <v>0</v>
      </c>
      <c r="S875" s="94" t="b">
        <f>VLOOKUP(D875, Products!A:F, 6, FALSE)</f>
        <v>1</v>
      </c>
    </row>
    <row r="876" spans="1:19">
      <c r="A876" s="102" t="s">
        <v>1354</v>
      </c>
      <c r="B876" s="2">
        <v>45654</v>
      </c>
      <c r="C876" s="1" t="s">
        <v>1308</v>
      </c>
      <c r="D876" s="1" t="s">
        <v>157</v>
      </c>
      <c r="E876" s="1" t="s">
        <v>229</v>
      </c>
      <c r="F876" s="83">
        <v>5</v>
      </c>
      <c r="G876" s="92">
        <v>3450</v>
      </c>
      <c r="H876" s="3">
        <v>13.4</v>
      </c>
      <c r="I876" s="3">
        <v>14938.5</v>
      </c>
      <c r="J876" s="1" t="s">
        <v>93</v>
      </c>
      <c r="K876" s="1" t="s">
        <v>94</v>
      </c>
      <c r="L876" t="str">
        <f>VLOOKUP(D876, Products!A:C, 3, FALSE)</f>
        <v>Beauty</v>
      </c>
      <c r="M876" t="str">
        <f>VLOOKUP(C876, Customers!A:E, 5, FALSE)</f>
        <v>SMB</v>
      </c>
      <c r="N876">
        <f>VLOOKUP(C876, Customers!A:E, 3, FALSE)</f>
        <v>51</v>
      </c>
      <c r="O876" s="93" t="str">
        <f>VLOOKUP(E876, Sales_Reps!A:C, 3, FALSE)</f>
        <v>West</v>
      </c>
      <c r="P876">
        <f>VLOOKUP(D876, Products!A:E, 4, FALSE)</f>
        <v>2420</v>
      </c>
      <c r="Q876">
        <f>IF(COUNTIF($A$2:A876, A876)=2, 1, 0)</f>
        <v>0</v>
      </c>
      <c r="R876">
        <f>IF(ISNA(MATCH(C876, Customers!$A:$A, 0)), 1, 0)</f>
        <v>0</v>
      </c>
      <c r="S876" s="94" t="b">
        <f>VLOOKUP(D876, Products!A:F, 6, FALSE)</f>
        <v>1</v>
      </c>
    </row>
    <row r="877" spans="1:19">
      <c r="A877" s="102" t="s">
        <v>1355</v>
      </c>
      <c r="B877" s="2">
        <v>45397</v>
      </c>
      <c r="C877" s="1" t="s">
        <v>289</v>
      </c>
      <c r="D877" s="1" t="s">
        <v>85</v>
      </c>
      <c r="E877" s="1" t="s">
        <v>343</v>
      </c>
      <c r="F877" s="83">
        <v>7</v>
      </c>
      <c r="G877" s="92">
        <v>3620</v>
      </c>
      <c r="H877" s="3">
        <v>19.2</v>
      </c>
      <c r="I877" s="3">
        <v>20474.72</v>
      </c>
      <c r="J877" s="1" t="s">
        <v>87</v>
      </c>
      <c r="K877" s="1" t="s">
        <v>94</v>
      </c>
      <c r="L877" t="str">
        <f>VLOOKUP(D877, Products!A:C, 3, FALSE)</f>
        <v>Apparel</v>
      </c>
      <c r="M877" t="str">
        <f>VLOOKUP(C877, Customers!A:E, 5, FALSE)</f>
        <v>Retail</v>
      </c>
      <c r="N877">
        <f>VLOOKUP(C877, Customers!A:E, 3, FALSE)</f>
        <v>38</v>
      </c>
      <c r="O877" s="93" t="str">
        <f>VLOOKUP(E877, Sales_Reps!A:C, 3, FALSE)</f>
        <v>West</v>
      </c>
      <c r="P877">
        <f>VLOOKUP(D877, Products!A:E, 4, FALSE)</f>
        <v>2509</v>
      </c>
      <c r="Q877">
        <f>IF(COUNTIF($A$2:A877, A877)=2, 1, 0)</f>
        <v>0</v>
      </c>
      <c r="R877">
        <f>IF(ISNA(MATCH(C877, Customers!$A:$A, 0)), 1, 0)</f>
        <v>0</v>
      </c>
      <c r="S877" s="94" t="b">
        <f>VLOOKUP(D877, Products!A:F, 6, FALSE)</f>
        <v>1</v>
      </c>
    </row>
    <row r="878" spans="1:19">
      <c r="A878" s="102" t="s">
        <v>1356</v>
      </c>
      <c r="B878" s="2">
        <v>45505</v>
      </c>
      <c r="C878" s="1" t="s">
        <v>109</v>
      </c>
      <c r="D878" s="1" t="s">
        <v>131</v>
      </c>
      <c r="E878" s="1" t="s">
        <v>132</v>
      </c>
      <c r="F878" s="83">
        <v>10</v>
      </c>
      <c r="G878" s="92">
        <v>2270</v>
      </c>
      <c r="H878" s="3">
        <v>20.5</v>
      </c>
      <c r="I878" s="3">
        <v>18046.5</v>
      </c>
      <c r="J878" s="1" t="s">
        <v>87</v>
      </c>
      <c r="K878" s="1" t="s">
        <v>112</v>
      </c>
      <c r="L878" t="str">
        <f>VLOOKUP(D878, Products!A:C, 3, FALSE)</f>
        <v>Grocery</v>
      </c>
      <c r="M878" t="str">
        <f>VLOOKUP(C878, Customers!A:E, 5, FALSE)</f>
        <v>Retail</v>
      </c>
      <c r="N878">
        <f>VLOOKUP(C878, Customers!A:E, 3, FALSE)</f>
        <v>36</v>
      </c>
      <c r="O878" s="93" t="str">
        <f>VLOOKUP(E878, Sales_Reps!A:C, 3, FALSE)</f>
        <v>South</v>
      </c>
      <c r="P878">
        <f>VLOOKUP(D878, Products!A:E, 4, FALSE)</f>
        <v>1203</v>
      </c>
      <c r="Q878">
        <f>IF(COUNTIF($A$2:A878, A878)=2, 1, 0)</f>
        <v>0</v>
      </c>
      <c r="R878">
        <f>IF(ISNA(MATCH(C878, Customers!$A:$A, 0)), 1, 0)</f>
        <v>0</v>
      </c>
      <c r="S878" s="94" t="b">
        <f>VLOOKUP(D878, Products!A:F, 6, FALSE)</f>
        <v>1</v>
      </c>
    </row>
    <row r="879" spans="1:19">
      <c r="A879" s="102" t="s">
        <v>1357</v>
      </c>
      <c r="B879" s="2">
        <v>45386</v>
      </c>
      <c r="C879" s="1" t="s">
        <v>1358</v>
      </c>
      <c r="D879" s="1" t="s">
        <v>173</v>
      </c>
      <c r="E879" s="1" t="s">
        <v>116</v>
      </c>
      <c r="F879" s="83">
        <v>5</v>
      </c>
      <c r="G879" s="92">
        <v>2720</v>
      </c>
      <c r="H879" s="3">
        <v>29.3</v>
      </c>
      <c r="I879" s="3">
        <v>9615.2000000000007</v>
      </c>
      <c r="J879" s="1" t="s">
        <v>87</v>
      </c>
      <c r="K879" s="1" t="s">
        <v>112</v>
      </c>
      <c r="L879" t="str">
        <f>VLOOKUP(D879, Products!A:C, 3, FALSE)</f>
        <v>Apparel</v>
      </c>
      <c r="M879" t="str">
        <f>VLOOKUP(C879, Customers!A:E, 5, FALSE)</f>
        <v>Corporate</v>
      </c>
      <c r="N879">
        <f>VLOOKUP(C879, Customers!A:E, 3, FALSE)</f>
        <v>42</v>
      </c>
      <c r="O879" s="93" t="str">
        <f>VLOOKUP(E879, Sales_Reps!A:C, 3, FALSE)</f>
        <v>West</v>
      </c>
      <c r="P879">
        <f>VLOOKUP(D879, Products!A:E, 4, FALSE)</f>
        <v>1962</v>
      </c>
      <c r="Q879">
        <f>IF(COUNTIF($A$2:A879, A879)=2, 1, 0)</f>
        <v>0</v>
      </c>
      <c r="R879">
        <f>IF(ISNA(MATCH(C879, Customers!$A:$A, 0)), 1, 0)</f>
        <v>0</v>
      </c>
      <c r="S879" s="94" t="b">
        <f>VLOOKUP(D879, Products!A:F, 6, FALSE)</f>
        <v>1</v>
      </c>
    </row>
    <row r="880" spans="1:19">
      <c r="A880" s="102" t="s">
        <v>1359</v>
      </c>
      <c r="B880" s="2">
        <v>45499</v>
      </c>
      <c r="C880" s="1" t="s">
        <v>963</v>
      </c>
      <c r="D880" s="1" t="s">
        <v>234</v>
      </c>
      <c r="E880" s="1" t="s">
        <v>285</v>
      </c>
      <c r="F880" s="83">
        <v>9</v>
      </c>
      <c r="G880" s="92">
        <v>3780</v>
      </c>
      <c r="H880" s="3">
        <v>2.2999999999999998</v>
      </c>
      <c r="I880" s="3">
        <v>33237.54</v>
      </c>
      <c r="J880" s="1" t="s">
        <v>87</v>
      </c>
      <c r="K880" s="1" t="s">
        <v>94</v>
      </c>
      <c r="L880" t="str">
        <f>VLOOKUP(D880, Products!A:C, 3, FALSE)</f>
        <v>Grocery</v>
      </c>
      <c r="M880" t="str">
        <f>VLOOKUP(C880, Customers!A:E, 5, FALSE)</f>
        <v>Retail</v>
      </c>
      <c r="N880">
        <f>VLOOKUP(C880, Customers!A:E, 3, FALSE)</f>
        <v>31</v>
      </c>
      <c r="O880" s="93" t="str">
        <f>VLOOKUP(E880, Sales_Reps!A:C, 3, FALSE)</f>
        <v>East</v>
      </c>
      <c r="P880">
        <f>VLOOKUP(D880, Products!A:E, 4, FALSE)</f>
        <v>2436</v>
      </c>
      <c r="Q880">
        <f>IF(COUNTIF($A$2:A880, A880)=2, 1, 0)</f>
        <v>0</v>
      </c>
      <c r="R880">
        <f>IF(ISNA(MATCH(C880, Customers!$A:$A, 0)), 1, 0)</f>
        <v>0</v>
      </c>
      <c r="S880" s="94" t="b">
        <f>VLOOKUP(D880, Products!A:F, 6, FALSE)</f>
        <v>1</v>
      </c>
    </row>
    <row r="881" spans="1:19">
      <c r="A881" s="102" t="s">
        <v>1360</v>
      </c>
      <c r="B881" s="2">
        <v>45636</v>
      </c>
      <c r="C881" s="1" t="s">
        <v>1361</v>
      </c>
      <c r="D881" s="1" t="s">
        <v>351</v>
      </c>
      <c r="E881" s="1" t="s">
        <v>98</v>
      </c>
      <c r="F881" s="83">
        <v>9</v>
      </c>
      <c r="G881" s="92">
        <v>4060</v>
      </c>
      <c r="H881" s="3">
        <v>11.5</v>
      </c>
      <c r="I881" s="3">
        <v>32337.9</v>
      </c>
      <c r="J881" s="1" t="s">
        <v>87</v>
      </c>
      <c r="K881" s="1" t="s">
        <v>94</v>
      </c>
      <c r="L881" t="str">
        <f>VLOOKUP(D881, Products!A:C, 3, FALSE)</f>
        <v>Grocery</v>
      </c>
      <c r="M881" t="str">
        <f>VLOOKUP(C881, Customers!A:E, 5, FALSE)</f>
        <v>Retail</v>
      </c>
      <c r="N881">
        <f>VLOOKUP(C881, Customers!A:E, 3, FALSE)</f>
        <v>34</v>
      </c>
      <c r="O881" s="93" t="str">
        <f>VLOOKUP(E881, Sales_Reps!A:C, 3, FALSE)</f>
        <v>South</v>
      </c>
      <c r="P881">
        <f>VLOOKUP(D881, Products!A:E, 4, FALSE)</f>
        <v>2911</v>
      </c>
      <c r="Q881">
        <f>IF(COUNTIF($A$2:A881, A881)=2, 1, 0)</f>
        <v>0</v>
      </c>
      <c r="R881">
        <f>IF(ISNA(MATCH(C881, Customers!$A:$A, 0)), 1, 0)</f>
        <v>0</v>
      </c>
      <c r="S881" s="94" t="b">
        <f>VLOOKUP(D881, Products!A:F, 6, FALSE)</f>
        <v>1</v>
      </c>
    </row>
    <row r="882" spans="1:19">
      <c r="A882" s="102" t="s">
        <v>677</v>
      </c>
      <c r="B882" s="2">
        <v>45517</v>
      </c>
      <c r="C882" s="1" t="s">
        <v>420</v>
      </c>
      <c r="D882" s="1" t="s">
        <v>200</v>
      </c>
      <c r="E882" s="1" t="s">
        <v>325</v>
      </c>
      <c r="F882" s="83">
        <v>10</v>
      </c>
      <c r="G882" s="92">
        <v>2760</v>
      </c>
      <c r="H882" s="3">
        <v>3.9</v>
      </c>
      <c r="I882" s="3">
        <v>26523.599999999999</v>
      </c>
      <c r="J882" s="1" t="s">
        <v>144</v>
      </c>
      <c r="K882" s="1" t="s">
        <v>99</v>
      </c>
      <c r="L882" t="str">
        <f>VLOOKUP(D882, Products!A:C, 3, FALSE)</f>
        <v>Grocery</v>
      </c>
      <c r="M882" t="str">
        <f>VLOOKUP(C882, Customers!A:E, 5, FALSE)</f>
        <v>Retail</v>
      </c>
      <c r="N882">
        <f>VLOOKUP(C882, Customers!A:E, 3, FALSE)</f>
        <v>44</v>
      </c>
      <c r="O882" s="93" t="str">
        <f>VLOOKUP(E882, Sales_Reps!A:C, 3, FALSE)</f>
        <v>South</v>
      </c>
      <c r="P882">
        <f>VLOOKUP(D882, Products!A:E, 4, FALSE)</f>
        <v>1435</v>
      </c>
      <c r="Q882">
        <f>IF(COUNTIF($A$2:A882, A882)=2, 1, 0)</f>
        <v>1</v>
      </c>
      <c r="R882">
        <f>IF(ISNA(MATCH(C882, Customers!$A:$A, 0)), 1, 0)</f>
        <v>0</v>
      </c>
      <c r="S882" s="94" t="b">
        <f>VLOOKUP(D882, Products!A:F, 6, FALSE)</f>
        <v>1</v>
      </c>
    </row>
    <row r="883" spans="1:19">
      <c r="A883" s="102" t="s">
        <v>1362</v>
      </c>
      <c r="B883" s="2">
        <v>45593</v>
      </c>
      <c r="C883" s="1" t="s">
        <v>225</v>
      </c>
      <c r="D883" s="1" t="s">
        <v>164</v>
      </c>
      <c r="E883" s="1" t="s">
        <v>158</v>
      </c>
      <c r="F883" s="83">
        <v>10</v>
      </c>
      <c r="G883" s="92">
        <v>1080</v>
      </c>
      <c r="H883" s="3">
        <v>21.4</v>
      </c>
      <c r="I883" s="3">
        <v>8488.7999999999993</v>
      </c>
      <c r="J883" s="1" t="s">
        <v>87</v>
      </c>
      <c r="K883" s="1" t="s">
        <v>94</v>
      </c>
      <c r="L883" t="str">
        <f>VLOOKUP(D883, Products!A:C, 3, FALSE)</f>
        <v>Home</v>
      </c>
      <c r="M883" t="str">
        <f>VLOOKUP(C883, Customers!A:E, 5, FALSE)</f>
        <v>Retail</v>
      </c>
      <c r="N883">
        <f>VLOOKUP(C883, Customers!A:E, 3, FALSE)</f>
        <v>37</v>
      </c>
      <c r="O883" s="93" t="str">
        <f>VLOOKUP(E883, Sales_Reps!A:C, 3, FALSE)</f>
        <v>East</v>
      </c>
      <c r="P883">
        <f>VLOOKUP(D883, Products!A:E, 4, FALSE)</f>
        <v>519</v>
      </c>
      <c r="Q883">
        <f>IF(COUNTIF($A$2:A883, A883)=2, 1, 0)</f>
        <v>0</v>
      </c>
      <c r="R883">
        <f>IF(ISNA(MATCH(C883, Customers!$A:$A, 0)), 1, 0)</f>
        <v>0</v>
      </c>
      <c r="S883" s="94" t="b">
        <f>VLOOKUP(D883, Products!A:F, 6, FALSE)</f>
        <v>1</v>
      </c>
    </row>
    <row r="884" spans="1:19">
      <c r="A884" s="102" t="s">
        <v>1363</v>
      </c>
      <c r="B884" s="2">
        <v>45497</v>
      </c>
      <c r="C884" s="1" t="s">
        <v>1358</v>
      </c>
      <c r="D884" s="1" t="s">
        <v>443</v>
      </c>
      <c r="E884" s="1" t="s">
        <v>154</v>
      </c>
      <c r="F884" s="83">
        <v>6</v>
      </c>
      <c r="G884" s="92">
        <v>5080</v>
      </c>
      <c r="H884" s="3">
        <v>29.8</v>
      </c>
      <c r="I884" s="3">
        <v>21396.959999999999</v>
      </c>
      <c r="J884" s="1" t="s">
        <v>93</v>
      </c>
      <c r="K884" s="1" t="s">
        <v>112</v>
      </c>
      <c r="L884" t="str">
        <f>VLOOKUP(D884, Products!A:C, 3, FALSE)</f>
        <v>Home</v>
      </c>
      <c r="M884" t="str">
        <f>VLOOKUP(C884, Customers!A:E, 5, FALSE)</f>
        <v>Corporate</v>
      </c>
      <c r="N884">
        <f>VLOOKUP(C884, Customers!A:E, 3, FALSE)</f>
        <v>42</v>
      </c>
      <c r="O884" s="93" t="str">
        <f>VLOOKUP(E884, Sales_Reps!A:C, 3, FALSE)</f>
        <v>East</v>
      </c>
      <c r="P884">
        <f>VLOOKUP(D884, Products!A:E, 4, FALSE)</f>
        <v>2459</v>
      </c>
      <c r="Q884">
        <f>IF(COUNTIF($A$2:A884, A884)=2, 1, 0)</f>
        <v>0</v>
      </c>
      <c r="R884">
        <f>IF(ISNA(MATCH(C884, Customers!$A:$A, 0)), 1, 0)</f>
        <v>0</v>
      </c>
      <c r="S884" s="94" t="b">
        <f>VLOOKUP(D884, Products!A:F, 6, FALSE)</f>
        <v>1</v>
      </c>
    </row>
    <row r="885" spans="1:19">
      <c r="A885" s="102" t="s">
        <v>1364</v>
      </c>
      <c r="B885" s="2">
        <v>45293</v>
      </c>
      <c r="C885" s="1" t="s">
        <v>126</v>
      </c>
      <c r="D885" s="1" t="s">
        <v>184</v>
      </c>
      <c r="E885" s="1" t="s">
        <v>170</v>
      </c>
      <c r="F885" s="83">
        <v>1</v>
      </c>
      <c r="G885" s="92">
        <v>4880</v>
      </c>
      <c r="H885" s="3">
        <v>28.2</v>
      </c>
      <c r="I885" s="3">
        <v>3503.84</v>
      </c>
      <c r="J885" s="1" t="s">
        <v>87</v>
      </c>
      <c r="K885" s="1" t="s">
        <v>88</v>
      </c>
      <c r="L885" t="str">
        <f>VLOOKUP(D885, Products!A:C, 3, FALSE)</f>
        <v>Beauty</v>
      </c>
      <c r="M885" t="str">
        <f>VLOOKUP(C885, Customers!A:E, 5, FALSE)</f>
        <v>Retail</v>
      </c>
      <c r="N885">
        <f>VLOOKUP(C885, Customers!A:E, 3, FALSE)</f>
        <v>56</v>
      </c>
      <c r="O885" s="93" t="str">
        <f>VLOOKUP(E885, Sales_Reps!A:C, 3, FALSE)</f>
        <v>West</v>
      </c>
      <c r="P885">
        <f>VLOOKUP(D885, Products!A:E, 4, FALSE)</f>
        <v>2768</v>
      </c>
      <c r="Q885">
        <f>IF(COUNTIF($A$2:A885, A885)=2, 1, 0)</f>
        <v>0</v>
      </c>
      <c r="R885">
        <f>IF(ISNA(MATCH(C885, Customers!$A:$A, 0)), 1, 0)</f>
        <v>0</v>
      </c>
      <c r="S885" s="94" t="b">
        <f>VLOOKUP(D885, Products!A:F, 6, FALSE)</f>
        <v>1</v>
      </c>
    </row>
    <row r="886" spans="1:19">
      <c r="A886" s="102" t="s">
        <v>1365</v>
      </c>
      <c r="B886" s="2">
        <v>45562</v>
      </c>
      <c r="C886" s="1" t="s">
        <v>212</v>
      </c>
      <c r="D886" s="1" t="s">
        <v>245</v>
      </c>
      <c r="E886" s="1" t="s">
        <v>343</v>
      </c>
      <c r="F886" s="83">
        <v>1</v>
      </c>
      <c r="G886" s="92">
        <v>2270</v>
      </c>
      <c r="H886" s="3">
        <v>27.8</v>
      </c>
      <c r="I886" s="3">
        <v>1638.94</v>
      </c>
      <c r="J886" s="1" t="s">
        <v>87</v>
      </c>
      <c r="K886" s="1" t="s">
        <v>112</v>
      </c>
      <c r="L886" t="str">
        <f>VLOOKUP(D886, Products!A:C, 3, FALSE)</f>
        <v>Grocery</v>
      </c>
      <c r="M886" t="str">
        <f>VLOOKUP(C886, Customers!A:E, 5, FALSE)</f>
        <v>SMB</v>
      </c>
      <c r="N886">
        <f>VLOOKUP(C886, Customers!A:E, 3, FALSE)</f>
        <v>36</v>
      </c>
      <c r="O886" s="93" t="str">
        <f>VLOOKUP(E886, Sales_Reps!A:C, 3, FALSE)</f>
        <v>West</v>
      </c>
      <c r="P886">
        <f>VLOOKUP(D886, Products!A:E, 4, FALSE)</f>
        <v>1412</v>
      </c>
      <c r="Q886">
        <f>IF(COUNTIF($A$2:A886, A886)=2, 1, 0)</f>
        <v>0</v>
      </c>
      <c r="R886">
        <f>IF(ISNA(MATCH(C886, Customers!$A:$A, 0)), 1, 0)</f>
        <v>0</v>
      </c>
      <c r="S886" s="94" t="b">
        <f>VLOOKUP(D886, Products!A:F, 6, FALSE)</f>
        <v>1</v>
      </c>
    </row>
    <row r="887" spans="1:19">
      <c r="A887" s="102" t="s">
        <v>1366</v>
      </c>
      <c r="B887" s="2">
        <v>45638</v>
      </c>
      <c r="C887" s="1" t="s">
        <v>522</v>
      </c>
      <c r="D887" s="1" t="s">
        <v>408</v>
      </c>
      <c r="E887" s="1" t="s">
        <v>121</v>
      </c>
      <c r="F887" s="83">
        <v>9</v>
      </c>
      <c r="G887" s="92">
        <v>3970</v>
      </c>
      <c r="H887" s="3">
        <v>7</v>
      </c>
      <c r="I887" s="3">
        <v>33228.9</v>
      </c>
      <c r="J887" s="1" t="s">
        <v>87</v>
      </c>
      <c r="K887" s="1" t="s">
        <v>99</v>
      </c>
      <c r="L887" t="str">
        <f>VLOOKUP(D887, Products!A:C, 3, FALSE)</f>
        <v>Electronics</v>
      </c>
      <c r="M887" t="str">
        <f>VLOOKUP(C887, Customers!A:E, 5, FALSE)</f>
        <v>SMB</v>
      </c>
      <c r="N887">
        <f>VLOOKUP(C887, Customers!A:E, 3, FALSE)</f>
        <v>55</v>
      </c>
      <c r="O887" s="93" t="str">
        <f>VLOOKUP(E887, Sales_Reps!A:C, 3, FALSE)</f>
        <v>East</v>
      </c>
      <c r="P887">
        <f>VLOOKUP(D887, Products!A:E, 4, FALSE)</f>
        <v>2865</v>
      </c>
      <c r="Q887">
        <f>IF(COUNTIF($A$2:A887, A887)=2, 1, 0)</f>
        <v>0</v>
      </c>
      <c r="R887">
        <f>IF(ISNA(MATCH(C887, Customers!$A:$A, 0)), 1, 0)</f>
        <v>0</v>
      </c>
      <c r="S887" s="94" t="b">
        <f>VLOOKUP(D887, Products!A:F, 6, FALSE)</f>
        <v>1</v>
      </c>
    </row>
    <row r="888" spans="1:19">
      <c r="A888" s="102" t="s">
        <v>1367</v>
      </c>
      <c r="B888" s="2">
        <v>45408</v>
      </c>
      <c r="C888" s="1" t="s">
        <v>606</v>
      </c>
      <c r="D888" s="1" t="s">
        <v>191</v>
      </c>
      <c r="E888" s="1" t="s">
        <v>148</v>
      </c>
      <c r="F888" s="83">
        <v>9</v>
      </c>
      <c r="G888" s="92">
        <v>5100</v>
      </c>
      <c r="H888" s="3">
        <v>9.6999999999999993</v>
      </c>
      <c r="I888" s="3">
        <v>41447.699999999997</v>
      </c>
      <c r="J888" s="1" t="s">
        <v>87</v>
      </c>
      <c r="K888" s="1" t="s">
        <v>112</v>
      </c>
      <c r="L888" t="str">
        <f>VLOOKUP(D888, Products!A:C, 3, FALSE)</f>
        <v>Beauty</v>
      </c>
      <c r="M888" t="str">
        <f>VLOOKUP(C888, Customers!A:E, 5, FALSE)</f>
        <v>Retail</v>
      </c>
      <c r="N888">
        <f>VLOOKUP(C888, Customers!A:E, 3, FALSE)</f>
        <v>52</v>
      </c>
      <c r="O888" s="93" t="str">
        <f>VLOOKUP(E888, Sales_Reps!A:C, 3, FALSE)</f>
        <v>North</v>
      </c>
      <c r="P888">
        <f>VLOOKUP(D888, Products!A:E, 4, FALSE)</f>
        <v>2237</v>
      </c>
      <c r="Q888">
        <f>IF(COUNTIF($A$2:A888, A888)=2, 1, 0)</f>
        <v>0</v>
      </c>
      <c r="R888">
        <f>IF(ISNA(MATCH(C888, Customers!$A:$A, 0)), 1, 0)</f>
        <v>0</v>
      </c>
      <c r="S888" s="94" t="b">
        <f>VLOOKUP(D888, Products!A:F, 6, FALSE)</f>
        <v>1</v>
      </c>
    </row>
    <row r="889" spans="1:19">
      <c r="A889" s="102" t="s">
        <v>1368</v>
      </c>
      <c r="B889" s="2">
        <v>45498</v>
      </c>
      <c r="C889" s="1" t="s">
        <v>546</v>
      </c>
      <c r="D889" s="1" t="s">
        <v>147</v>
      </c>
      <c r="E889" s="1" t="s">
        <v>92</v>
      </c>
      <c r="F889" s="83">
        <v>8</v>
      </c>
      <c r="G889" s="92">
        <v>190</v>
      </c>
      <c r="H889" s="3">
        <v>10.199999999999999</v>
      </c>
      <c r="I889" s="3">
        <v>1364.96</v>
      </c>
      <c r="J889" s="1" t="s">
        <v>87</v>
      </c>
      <c r="K889" s="1" t="s">
        <v>99</v>
      </c>
      <c r="L889" t="str">
        <f>VLOOKUP(D889, Products!A:C, 3, FALSE)</f>
        <v>Sports</v>
      </c>
      <c r="M889" t="str">
        <f>VLOOKUP(C889, Customers!A:E, 5, FALSE)</f>
        <v>SMB</v>
      </c>
      <c r="N889">
        <f>VLOOKUP(C889, Customers!A:E, 3, FALSE)</f>
        <v>29</v>
      </c>
      <c r="O889" s="93" t="str">
        <f>VLOOKUP(E889, Sales_Reps!A:C, 3, FALSE)</f>
        <v>North</v>
      </c>
      <c r="P889">
        <f>VLOOKUP(D889, Products!A:E, 4, FALSE)</f>
        <v>147</v>
      </c>
      <c r="Q889">
        <f>IF(COUNTIF($A$2:A889, A889)=2, 1, 0)</f>
        <v>0</v>
      </c>
      <c r="R889">
        <f>IF(ISNA(MATCH(C889, Customers!$A:$A, 0)), 1, 0)</f>
        <v>0</v>
      </c>
      <c r="S889" s="94" t="b">
        <f>VLOOKUP(D889, Products!A:F, 6, FALSE)</f>
        <v>1</v>
      </c>
    </row>
    <row r="890" spans="1:19">
      <c r="A890" s="102" t="s">
        <v>1369</v>
      </c>
      <c r="B890" s="2">
        <v>45649</v>
      </c>
      <c r="C890" s="1" t="s">
        <v>371</v>
      </c>
      <c r="D890" s="1" t="s">
        <v>241</v>
      </c>
      <c r="E890" s="1" t="s">
        <v>201</v>
      </c>
      <c r="F890" s="83">
        <v>1</v>
      </c>
      <c r="G890" s="92">
        <v>6080</v>
      </c>
      <c r="H890" s="3">
        <v>5.6</v>
      </c>
      <c r="I890" s="3">
        <v>5739.52</v>
      </c>
      <c r="J890" s="1" t="s">
        <v>87</v>
      </c>
      <c r="K890" s="1" t="s">
        <v>112</v>
      </c>
      <c r="L890" t="str">
        <f>VLOOKUP(D890, Products!A:C, 3, FALSE)</f>
        <v>Beauty</v>
      </c>
      <c r="M890" t="str">
        <f>VLOOKUP(C890, Customers!A:E, 5, FALSE)</f>
        <v>Retail</v>
      </c>
      <c r="N890">
        <f>VLOOKUP(C890, Customers!A:E, 3, FALSE)</f>
        <v>42</v>
      </c>
      <c r="O890" s="93" t="str">
        <f>VLOOKUP(E890, Sales_Reps!A:C, 3, FALSE)</f>
        <v>West</v>
      </c>
      <c r="P890">
        <f>VLOOKUP(D890, Products!A:E, 4, FALSE)</f>
        <v>2617</v>
      </c>
      <c r="Q890">
        <f>IF(COUNTIF($A$2:A890, A890)=2, 1, 0)</f>
        <v>0</v>
      </c>
      <c r="R890">
        <f>IF(ISNA(MATCH(C890, Customers!$A:$A, 0)), 1, 0)</f>
        <v>0</v>
      </c>
      <c r="S890" s="94" t="b">
        <f>VLOOKUP(D890, Products!A:F, 6, FALSE)</f>
        <v>1</v>
      </c>
    </row>
    <row r="891" spans="1:19">
      <c r="A891" s="102" t="s">
        <v>1370</v>
      </c>
      <c r="B891" s="2">
        <v>45484</v>
      </c>
      <c r="C891" s="1" t="s">
        <v>597</v>
      </c>
      <c r="D891" s="1" t="s">
        <v>115</v>
      </c>
      <c r="E891" s="1" t="s">
        <v>192</v>
      </c>
      <c r="F891" s="83">
        <v>6</v>
      </c>
      <c r="G891" s="92">
        <v>960</v>
      </c>
      <c r="H891" s="3">
        <v>1.9</v>
      </c>
      <c r="I891" s="3">
        <v>5650.56</v>
      </c>
      <c r="J891" s="1" t="s">
        <v>87</v>
      </c>
      <c r="K891" s="1" t="s">
        <v>112</v>
      </c>
      <c r="L891" t="str">
        <f>VLOOKUP(D891, Products!A:C, 3, FALSE)</f>
        <v>Sports</v>
      </c>
      <c r="M891" t="str">
        <f>VLOOKUP(C891, Customers!A:E, 5, FALSE)</f>
        <v>Retail</v>
      </c>
      <c r="N891">
        <f>VLOOKUP(C891, Customers!A:E, 3, FALSE)</f>
        <v>39</v>
      </c>
      <c r="O891" s="93" t="str">
        <f>VLOOKUP(E891, Sales_Reps!A:C, 3, FALSE)</f>
        <v>East</v>
      </c>
      <c r="P891">
        <f>VLOOKUP(D891, Products!A:E, 4, FALSE)</f>
        <v>705</v>
      </c>
      <c r="Q891">
        <f>IF(COUNTIF($A$2:A891, A891)=2, 1, 0)</f>
        <v>0</v>
      </c>
      <c r="R891">
        <f>IF(ISNA(MATCH(C891, Customers!$A:$A, 0)), 1, 0)</f>
        <v>0</v>
      </c>
      <c r="S891" s="94" t="b">
        <f>VLOOKUP(D891, Products!A:F, 6, FALSE)</f>
        <v>1</v>
      </c>
    </row>
    <row r="892" spans="1:19">
      <c r="A892" s="102" t="s">
        <v>1371</v>
      </c>
      <c r="B892" s="2">
        <v>45316</v>
      </c>
      <c r="C892" s="1" t="s">
        <v>533</v>
      </c>
      <c r="D892" s="1" t="s">
        <v>259</v>
      </c>
      <c r="E892" s="1" t="s">
        <v>139</v>
      </c>
      <c r="F892" s="83">
        <v>7</v>
      </c>
      <c r="G892" s="92">
        <v>1540</v>
      </c>
      <c r="H892" s="3">
        <v>7.1</v>
      </c>
      <c r="I892" s="3">
        <v>10014.620000000001</v>
      </c>
      <c r="J892" s="1" t="s">
        <v>87</v>
      </c>
      <c r="K892" s="1" t="s">
        <v>99</v>
      </c>
      <c r="L892" t="str">
        <f>VLOOKUP(D892, Products!A:C, 3, FALSE)</f>
        <v>Beauty</v>
      </c>
      <c r="M892" t="str">
        <f>VLOOKUP(C892, Customers!A:E, 5, FALSE)</f>
        <v>SMB</v>
      </c>
      <c r="N892">
        <f>VLOOKUP(C892, Customers!A:E, 3, FALSE)</f>
        <v>48</v>
      </c>
      <c r="O892" s="93" t="str">
        <f>VLOOKUP(E892, Sales_Reps!A:C, 3, FALSE)</f>
        <v>North</v>
      </c>
      <c r="P892">
        <f>VLOOKUP(D892, Products!A:E, 4, FALSE)</f>
        <v>647</v>
      </c>
      <c r="Q892">
        <f>IF(COUNTIF($A$2:A892, A892)=2, 1, 0)</f>
        <v>0</v>
      </c>
      <c r="R892">
        <f>IF(ISNA(MATCH(C892, Customers!$A:$A, 0)), 1, 0)</f>
        <v>0</v>
      </c>
      <c r="S892" s="94" t="b">
        <f>VLOOKUP(D892, Products!A:F, 6, FALSE)</f>
        <v>0</v>
      </c>
    </row>
    <row r="893" spans="1:19">
      <c r="A893" s="102" t="s">
        <v>1372</v>
      </c>
      <c r="B893" s="2">
        <v>45328</v>
      </c>
      <c r="C893" s="1" t="s">
        <v>261</v>
      </c>
      <c r="D893" s="1" t="s">
        <v>282</v>
      </c>
      <c r="E893" s="1" t="s">
        <v>273</v>
      </c>
      <c r="F893" s="83">
        <v>10</v>
      </c>
      <c r="G893" s="92">
        <v>300</v>
      </c>
      <c r="H893" s="3">
        <v>12.8</v>
      </c>
      <c r="I893" s="3">
        <v>2616</v>
      </c>
      <c r="J893" s="1" t="s">
        <v>140</v>
      </c>
      <c r="K893" s="1" t="s">
        <v>99</v>
      </c>
      <c r="L893" t="str">
        <f>VLOOKUP(D893, Products!A:C, 3, FALSE)</f>
        <v>Electronics</v>
      </c>
      <c r="M893" t="str">
        <f>VLOOKUP(C893, Customers!A:E, 5, FALSE)</f>
        <v>Retail</v>
      </c>
      <c r="N893">
        <f>VLOOKUP(C893, Customers!A:E, 3, FALSE)</f>
        <v>54</v>
      </c>
      <c r="O893" s="93" t="str">
        <f>VLOOKUP(E893, Sales_Reps!A:C, 3, FALSE)</f>
        <v>South</v>
      </c>
      <c r="P893">
        <f>VLOOKUP(D893, Products!A:E, 4, FALSE)</f>
        <v>128</v>
      </c>
      <c r="Q893">
        <f>IF(COUNTIF($A$2:A893, A893)=2, 1, 0)</f>
        <v>0</v>
      </c>
      <c r="R893">
        <f>IF(ISNA(MATCH(C893, Customers!$A:$A, 0)), 1, 0)</f>
        <v>0</v>
      </c>
      <c r="S893" s="94" t="b">
        <f>VLOOKUP(D893, Products!A:F, 6, FALSE)</f>
        <v>1</v>
      </c>
    </row>
    <row r="894" spans="1:19">
      <c r="A894" s="102" t="s">
        <v>1373</v>
      </c>
      <c r="B894" s="2">
        <v>45456</v>
      </c>
      <c r="C894" s="1" t="s">
        <v>537</v>
      </c>
      <c r="D894" s="1" t="s">
        <v>184</v>
      </c>
      <c r="E894" s="1" t="s">
        <v>273</v>
      </c>
      <c r="F894" s="83">
        <v>4</v>
      </c>
      <c r="G894" s="92">
        <v>4880</v>
      </c>
      <c r="H894" s="3">
        <v>26.5</v>
      </c>
      <c r="I894" s="3">
        <v>14347.2</v>
      </c>
      <c r="J894" s="1" t="s">
        <v>87</v>
      </c>
      <c r="K894" s="1" t="s">
        <v>133</v>
      </c>
      <c r="L894" t="str">
        <f>VLOOKUP(D894, Products!A:C, 3, FALSE)</f>
        <v>Beauty</v>
      </c>
      <c r="M894" t="str">
        <f>VLOOKUP(C894, Customers!A:E, 5, FALSE)</f>
        <v>SMB</v>
      </c>
      <c r="N894">
        <f>VLOOKUP(C894, Customers!A:E, 3, FALSE)</f>
        <v>48</v>
      </c>
      <c r="O894" s="93" t="str">
        <f>VLOOKUP(E894, Sales_Reps!A:C, 3, FALSE)</f>
        <v>South</v>
      </c>
      <c r="P894">
        <f>VLOOKUP(D894, Products!A:E, 4, FALSE)</f>
        <v>2768</v>
      </c>
      <c r="Q894">
        <f>IF(COUNTIF($A$2:A894, A894)=2, 1, 0)</f>
        <v>0</v>
      </c>
      <c r="R894">
        <f>IF(ISNA(MATCH(C894, Customers!$A:$A, 0)), 1, 0)</f>
        <v>0</v>
      </c>
      <c r="S894" s="94" t="b">
        <f>VLOOKUP(D894, Products!A:F, 6, FALSE)</f>
        <v>1</v>
      </c>
    </row>
    <row r="895" spans="1:19">
      <c r="A895" s="102" t="s">
        <v>1374</v>
      </c>
      <c r="B895" s="2">
        <v>45589</v>
      </c>
      <c r="C895" s="1" t="s">
        <v>1261</v>
      </c>
      <c r="D895" s="1" t="s">
        <v>110</v>
      </c>
      <c r="E895" s="1" t="s">
        <v>148</v>
      </c>
      <c r="F895" s="83">
        <v>2</v>
      </c>
      <c r="G895" s="92">
        <v>370</v>
      </c>
      <c r="H895" s="3">
        <v>26.5</v>
      </c>
      <c r="I895" s="3">
        <v>543.9</v>
      </c>
      <c r="J895" s="1" t="s">
        <v>87</v>
      </c>
      <c r="K895" s="1" t="s">
        <v>117</v>
      </c>
      <c r="L895" t="str">
        <f>VLOOKUP(D895, Products!A:C, 3, FALSE)</f>
        <v>Home</v>
      </c>
      <c r="M895" t="str">
        <f>VLOOKUP(C895, Customers!A:E, 5, FALSE)</f>
        <v>Retail</v>
      </c>
      <c r="N895">
        <f>VLOOKUP(C895, Customers!A:E, 3, FALSE)</f>
        <v>54</v>
      </c>
      <c r="O895" s="93" t="str">
        <f>VLOOKUP(E895, Sales_Reps!A:C, 3, FALSE)</f>
        <v>North</v>
      </c>
      <c r="P895">
        <f>VLOOKUP(D895, Products!A:E, 4, FALSE)</f>
        <v>288</v>
      </c>
      <c r="Q895">
        <f>IF(COUNTIF($A$2:A895, A895)=2, 1, 0)</f>
        <v>0</v>
      </c>
      <c r="R895">
        <f>IF(ISNA(MATCH(C895, Customers!$A:$A, 0)), 1, 0)</f>
        <v>0</v>
      </c>
      <c r="S895" s="94" t="b">
        <f>VLOOKUP(D895, Products!A:F, 6, FALSE)</f>
        <v>1</v>
      </c>
    </row>
    <row r="896" spans="1:19">
      <c r="A896" s="102" t="s">
        <v>1375</v>
      </c>
      <c r="B896" s="2">
        <v>45593</v>
      </c>
      <c r="C896" s="1" t="s">
        <v>376</v>
      </c>
      <c r="D896" s="1" t="s">
        <v>270</v>
      </c>
      <c r="E896" s="1" t="s">
        <v>297</v>
      </c>
      <c r="F896" s="83">
        <v>3</v>
      </c>
      <c r="G896" s="92">
        <v>4610</v>
      </c>
      <c r="H896" s="3">
        <v>29.7</v>
      </c>
      <c r="I896" s="3">
        <v>9722.49</v>
      </c>
      <c r="J896" s="1" t="s">
        <v>87</v>
      </c>
      <c r="K896" s="1" t="s">
        <v>117</v>
      </c>
      <c r="L896" t="str">
        <f>VLOOKUP(D896, Products!A:C, 3, FALSE)</f>
        <v>Home</v>
      </c>
      <c r="M896" t="str">
        <f>VLOOKUP(C896, Customers!A:E, 5, FALSE)</f>
        <v>SMB</v>
      </c>
      <c r="N896">
        <f>VLOOKUP(C896, Customers!A:E, 3, FALSE)</f>
        <v>44</v>
      </c>
      <c r="O896" s="93" t="str">
        <f>VLOOKUP(E896, Sales_Reps!A:C, 3, FALSE)</f>
        <v>North</v>
      </c>
      <c r="P896">
        <f>VLOOKUP(D896, Products!A:E, 4, FALSE)</f>
        <v>1850</v>
      </c>
      <c r="Q896">
        <f>IF(COUNTIF($A$2:A896, A896)=2, 1, 0)</f>
        <v>0</v>
      </c>
      <c r="R896">
        <f>IF(ISNA(MATCH(C896, Customers!$A:$A, 0)), 1, 0)</f>
        <v>0</v>
      </c>
      <c r="S896" s="94" t="b">
        <f>VLOOKUP(D896, Products!A:F, 6, FALSE)</f>
        <v>1</v>
      </c>
    </row>
    <row r="897" spans="1:19">
      <c r="A897" s="102" t="s">
        <v>1376</v>
      </c>
      <c r="B897" s="2">
        <v>45539</v>
      </c>
      <c r="C897" s="1" t="s">
        <v>673</v>
      </c>
      <c r="D897" s="1" t="s">
        <v>138</v>
      </c>
      <c r="E897" s="1" t="s">
        <v>252</v>
      </c>
      <c r="F897" s="83">
        <v>5</v>
      </c>
      <c r="G897" s="92">
        <v>2600</v>
      </c>
      <c r="H897" s="3">
        <v>21.4</v>
      </c>
      <c r="I897" s="3">
        <v>10218</v>
      </c>
      <c r="J897" s="1" t="s">
        <v>87</v>
      </c>
      <c r="K897" s="1" t="s">
        <v>112</v>
      </c>
      <c r="L897" t="str">
        <f>VLOOKUP(D897, Products!A:C, 3, FALSE)</f>
        <v>Electronics</v>
      </c>
      <c r="M897" t="str">
        <f>VLOOKUP(C897, Customers!A:E, 5, FALSE)</f>
        <v>Retail</v>
      </c>
      <c r="N897">
        <f>VLOOKUP(C897, Customers!A:E, 3, FALSE)</f>
        <v>35</v>
      </c>
      <c r="O897" s="93" t="str">
        <f>VLOOKUP(E897, Sales_Reps!A:C, 3, FALSE)</f>
        <v>South</v>
      </c>
      <c r="P897">
        <f>VLOOKUP(D897, Products!A:E, 4, FALSE)</f>
        <v>1052</v>
      </c>
      <c r="Q897">
        <f>IF(COUNTIF($A$2:A897, A897)=2, 1, 0)</f>
        <v>0</v>
      </c>
      <c r="R897">
        <f>IF(ISNA(MATCH(C897, Customers!$A:$A, 0)), 1, 0)</f>
        <v>0</v>
      </c>
      <c r="S897" s="94" t="b">
        <f>VLOOKUP(D897, Products!A:F, 6, FALSE)</f>
        <v>1</v>
      </c>
    </row>
    <row r="898" spans="1:19">
      <c r="A898" s="102" t="s">
        <v>1054</v>
      </c>
      <c r="B898" s="2">
        <v>45436</v>
      </c>
      <c r="C898" s="1" t="s">
        <v>720</v>
      </c>
      <c r="D898" s="1" t="s">
        <v>267</v>
      </c>
      <c r="E898" s="1" t="s">
        <v>111</v>
      </c>
      <c r="F898" s="83">
        <v>10</v>
      </c>
      <c r="G898" s="92">
        <v>1220</v>
      </c>
      <c r="H898" s="3">
        <v>24.3</v>
      </c>
      <c r="I898" s="3">
        <v>9235.4</v>
      </c>
      <c r="J898" s="1" t="s">
        <v>87</v>
      </c>
      <c r="K898" s="1" t="s">
        <v>88</v>
      </c>
      <c r="L898" t="str">
        <f>VLOOKUP(D898, Products!A:C, 3, FALSE)</f>
        <v>Electronics</v>
      </c>
      <c r="M898" t="str">
        <f>VLOOKUP(C898, Customers!A:E, 5, FALSE)</f>
        <v>Retail</v>
      </c>
      <c r="N898">
        <f>VLOOKUP(C898, Customers!A:E, 3, FALSE)</f>
        <v>48</v>
      </c>
      <c r="O898" s="93" t="str">
        <f>VLOOKUP(E898, Sales_Reps!A:C, 3, FALSE)</f>
        <v>West</v>
      </c>
      <c r="P898">
        <f>VLOOKUP(D898, Products!A:E, 4, FALSE)</f>
        <v>517</v>
      </c>
      <c r="Q898">
        <f>IF(COUNTIF($A$2:A898, A898)=2, 1, 0)</f>
        <v>1</v>
      </c>
      <c r="R898">
        <f>IF(ISNA(MATCH(C898, Customers!$A:$A, 0)), 1, 0)</f>
        <v>0</v>
      </c>
      <c r="S898" s="94" t="b">
        <f>VLOOKUP(D898, Products!A:F, 6, FALSE)</f>
        <v>1</v>
      </c>
    </row>
    <row r="899" spans="1:19">
      <c r="A899" s="102" t="s">
        <v>1377</v>
      </c>
      <c r="B899" s="2">
        <v>45646</v>
      </c>
      <c r="C899" s="1" t="s">
        <v>1378</v>
      </c>
      <c r="D899" s="1" t="s">
        <v>120</v>
      </c>
      <c r="E899" s="1" t="s">
        <v>188</v>
      </c>
      <c r="F899" s="83">
        <v>10</v>
      </c>
      <c r="G899" s="92">
        <v>1430</v>
      </c>
      <c r="H899" s="3">
        <v>5.0999999999999996</v>
      </c>
      <c r="I899" s="3">
        <v>13570.7</v>
      </c>
      <c r="J899" s="1" t="s">
        <v>140</v>
      </c>
      <c r="K899" s="1" t="s">
        <v>94</v>
      </c>
      <c r="L899" t="str">
        <f>VLOOKUP(D899, Products!A:C, 3, FALSE)</f>
        <v>Electronics</v>
      </c>
      <c r="M899" t="e">
        <f>VLOOKUP(C899, Customers!A:E, 5, FALSE)</f>
        <v>#N/A</v>
      </c>
      <c r="N899" t="e">
        <f>VLOOKUP(C899, Customers!A:E, 3, FALSE)</f>
        <v>#N/A</v>
      </c>
      <c r="O899" s="93" t="str">
        <f>VLOOKUP(E899, Sales_Reps!A:C, 3, FALSE)</f>
        <v>South</v>
      </c>
      <c r="P899">
        <f>VLOOKUP(D899, Products!A:E, 4, FALSE)</f>
        <v>861</v>
      </c>
      <c r="Q899">
        <f>IF(COUNTIF($A$2:A899, A899)=2, 1, 0)</f>
        <v>0</v>
      </c>
      <c r="R899">
        <f>IF(ISNA(MATCH(C899, Customers!$A:$A, 0)), 1, 0)</f>
        <v>1</v>
      </c>
      <c r="S899" s="94" t="b">
        <f>VLOOKUP(D899, Products!A:F, 6, FALSE)</f>
        <v>1</v>
      </c>
    </row>
    <row r="900" spans="1:19">
      <c r="A900" s="102" t="s">
        <v>1379</v>
      </c>
      <c r="B900" s="2">
        <v>45478</v>
      </c>
      <c r="C900" s="1" t="s">
        <v>301</v>
      </c>
      <c r="D900" s="1" t="s">
        <v>184</v>
      </c>
      <c r="E900" s="1" t="s">
        <v>170</v>
      </c>
      <c r="F900" s="83">
        <v>10</v>
      </c>
      <c r="G900" s="92">
        <v>4880</v>
      </c>
      <c r="H900" s="3">
        <v>25.5</v>
      </c>
      <c r="I900" s="3">
        <v>36356</v>
      </c>
      <c r="J900" s="1" t="s">
        <v>140</v>
      </c>
      <c r="K900" s="1" t="s">
        <v>94</v>
      </c>
      <c r="L900" t="str">
        <f>VLOOKUP(D900, Products!A:C, 3, FALSE)</f>
        <v>Beauty</v>
      </c>
      <c r="M900" t="str">
        <f>VLOOKUP(C900, Customers!A:E, 5, FALSE)</f>
        <v>Retail</v>
      </c>
      <c r="N900">
        <f>VLOOKUP(C900, Customers!A:E, 3, FALSE)</f>
        <v>41</v>
      </c>
      <c r="O900" s="93" t="str">
        <f>VLOOKUP(E900, Sales_Reps!A:C, 3, FALSE)</f>
        <v>West</v>
      </c>
      <c r="P900">
        <f>VLOOKUP(D900, Products!A:E, 4, FALSE)</f>
        <v>2768</v>
      </c>
      <c r="Q900">
        <f>IF(COUNTIF($A$2:A900, A900)=2, 1, 0)</f>
        <v>0</v>
      </c>
      <c r="R900">
        <f>IF(ISNA(MATCH(C900, Customers!$A:$A, 0)), 1, 0)</f>
        <v>0</v>
      </c>
      <c r="S900" s="94" t="b">
        <f>VLOOKUP(D900, Products!A:F, 6, FALSE)</f>
        <v>1</v>
      </c>
    </row>
    <row r="901" spans="1:19">
      <c r="A901" s="102" t="s">
        <v>1380</v>
      </c>
      <c r="B901" s="2">
        <v>45518</v>
      </c>
      <c r="C901" s="1" t="s">
        <v>966</v>
      </c>
      <c r="D901" s="1" t="s">
        <v>241</v>
      </c>
      <c r="E901" s="1" t="s">
        <v>128</v>
      </c>
      <c r="F901" s="83">
        <v>6</v>
      </c>
      <c r="G901" s="92">
        <v>6080</v>
      </c>
      <c r="H901" s="3">
        <v>21.6</v>
      </c>
      <c r="I901" s="3">
        <v>28600.32</v>
      </c>
      <c r="J901" s="1" t="s">
        <v>87</v>
      </c>
      <c r="K901" s="1" t="s">
        <v>133</v>
      </c>
      <c r="L901" t="str">
        <f>VLOOKUP(D901, Products!A:C, 3, FALSE)</f>
        <v>Beauty</v>
      </c>
      <c r="M901" t="str">
        <f>VLOOKUP(C901, Customers!A:E, 5, FALSE)</f>
        <v>SMB</v>
      </c>
      <c r="N901">
        <f>VLOOKUP(C901, Customers!A:E, 3, FALSE)</f>
        <v>31</v>
      </c>
      <c r="O901" s="93" t="str">
        <f>VLOOKUP(E901, Sales_Reps!A:C, 3, FALSE)</f>
        <v>West</v>
      </c>
      <c r="P901">
        <f>VLOOKUP(D901, Products!A:E, 4, FALSE)</f>
        <v>2617</v>
      </c>
      <c r="Q901">
        <f>IF(COUNTIF($A$2:A901, A901)=2, 1, 0)</f>
        <v>0</v>
      </c>
      <c r="R901">
        <f>IF(ISNA(MATCH(C901, Customers!$A:$A, 0)), 1, 0)</f>
        <v>0</v>
      </c>
      <c r="S901" s="94" t="b">
        <f>VLOOKUP(D901, Products!A:F, 6, FALSE)</f>
        <v>1</v>
      </c>
    </row>
    <row r="902" spans="1:19">
      <c r="A902" s="102" t="s">
        <v>1381</v>
      </c>
      <c r="B902" s="2">
        <v>45319</v>
      </c>
      <c r="C902" s="1" t="s">
        <v>541</v>
      </c>
      <c r="D902" s="1" t="s">
        <v>276</v>
      </c>
      <c r="E902" s="1" t="s">
        <v>252</v>
      </c>
      <c r="F902" s="83">
        <v>3</v>
      </c>
      <c r="G902" s="92">
        <v>3020</v>
      </c>
      <c r="H902" s="3">
        <v>20.7</v>
      </c>
      <c r="I902" s="3">
        <v>7184.58</v>
      </c>
      <c r="J902" s="1" t="s">
        <v>87</v>
      </c>
      <c r="K902" s="1" t="s">
        <v>94</v>
      </c>
      <c r="L902" t="str">
        <f>VLOOKUP(D902, Products!A:C, 3, FALSE)</f>
        <v>Beauty</v>
      </c>
      <c r="M902" t="str">
        <f>VLOOKUP(C902, Customers!A:E, 5, FALSE)</f>
        <v>Corporate</v>
      </c>
      <c r="N902">
        <f>VLOOKUP(C902, Customers!A:E, 3, FALSE)</f>
        <v>34</v>
      </c>
      <c r="O902" s="93" t="str">
        <f>VLOOKUP(E902, Sales_Reps!A:C, 3, FALSE)</f>
        <v>South</v>
      </c>
      <c r="P902">
        <f>VLOOKUP(D902, Products!A:E, 4, FALSE)</f>
        <v>1626</v>
      </c>
      <c r="Q902">
        <f>IF(COUNTIF($A$2:A902, A902)=2, 1, 0)</f>
        <v>0</v>
      </c>
      <c r="R902">
        <f>IF(ISNA(MATCH(C902, Customers!$A:$A, 0)), 1, 0)</f>
        <v>0</v>
      </c>
      <c r="S902" s="94" t="b">
        <f>VLOOKUP(D902, Products!A:F, 6, FALSE)</f>
        <v>1</v>
      </c>
    </row>
    <row r="903" spans="1:19">
      <c r="A903" s="102" t="s">
        <v>1382</v>
      </c>
      <c r="B903" s="2">
        <v>45445</v>
      </c>
      <c r="C903" s="1" t="s">
        <v>331</v>
      </c>
      <c r="D903" s="1" t="s">
        <v>173</v>
      </c>
      <c r="E903" s="1" t="s">
        <v>252</v>
      </c>
      <c r="F903" s="83">
        <v>9</v>
      </c>
      <c r="G903" s="92">
        <v>2720</v>
      </c>
      <c r="H903" s="3">
        <v>21.4</v>
      </c>
      <c r="I903" s="3">
        <v>19241.28</v>
      </c>
      <c r="J903" s="1" t="s">
        <v>87</v>
      </c>
      <c r="K903" s="1" t="s">
        <v>117</v>
      </c>
      <c r="L903" t="str">
        <f>VLOOKUP(D903, Products!A:C, 3, FALSE)</f>
        <v>Apparel</v>
      </c>
      <c r="M903" t="str">
        <f>VLOOKUP(C903, Customers!A:E, 5, FALSE)</f>
        <v>Corporate</v>
      </c>
      <c r="N903">
        <f>VLOOKUP(C903, Customers!A:E, 3, FALSE)</f>
        <v>59</v>
      </c>
      <c r="O903" s="93" t="str">
        <f>VLOOKUP(E903, Sales_Reps!A:C, 3, FALSE)</f>
        <v>South</v>
      </c>
      <c r="P903">
        <f>VLOOKUP(D903, Products!A:E, 4, FALSE)</f>
        <v>1962</v>
      </c>
      <c r="Q903">
        <f>IF(COUNTIF($A$2:A903, A903)=2, 1, 0)</f>
        <v>0</v>
      </c>
      <c r="R903">
        <f>IF(ISNA(MATCH(C903, Customers!$A:$A, 0)), 1, 0)</f>
        <v>0</v>
      </c>
      <c r="S903" s="94" t="b">
        <f>VLOOKUP(D903, Products!A:F, 6, FALSE)</f>
        <v>1</v>
      </c>
    </row>
    <row r="904" spans="1:19">
      <c r="A904" s="102" t="s">
        <v>1383</v>
      </c>
      <c r="B904" s="2">
        <v>45417</v>
      </c>
      <c r="C904" s="1" t="s">
        <v>272</v>
      </c>
      <c r="D904" s="1" t="s">
        <v>187</v>
      </c>
      <c r="E904" s="1" t="s">
        <v>111</v>
      </c>
      <c r="F904" s="83">
        <v>10</v>
      </c>
      <c r="G904" s="92">
        <v>3570</v>
      </c>
      <c r="H904" s="3">
        <v>4.4000000000000004</v>
      </c>
      <c r="I904" s="3">
        <v>34129.199999999997</v>
      </c>
      <c r="J904" s="1" t="s">
        <v>87</v>
      </c>
      <c r="K904" s="1" t="s">
        <v>94</v>
      </c>
      <c r="L904" t="str">
        <f>VLOOKUP(D904, Products!A:C, 3, FALSE)</f>
        <v>Electronics</v>
      </c>
      <c r="M904" t="str">
        <f>VLOOKUP(C904, Customers!A:E, 5, FALSE)</f>
        <v>SMB</v>
      </c>
      <c r="N904">
        <f>VLOOKUP(C904, Customers!A:E, 3, FALSE)</f>
        <v>55</v>
      </c>
      <c r="O904" s="93" t="str">
        <f>VLOOKUP(E904, Sales_Reps!A:C, 3, FALSE)</f>
        <v>West</v>
      </c>
      <c r="P904">
        <f>VLOOKUP(D904, Products!A:E, 4, FALSE)</f>
        <v>1665</v>
      </c>
      <c r="Q904">
        <f>IF(COUNTIF($A$2:A904, A904)=2, 1, 0)</f>
        <v>0</v>
      </c>
      <c r="R904">
        <f>IF(ISNA(MATCH(C904, Customers!$A:$A, 0)), 1, 0)</f>
        <v>0</v>
      </c>
      <c r="S904" s="94" t="b">
        <f>VLOOKUP(D904, Products!A:F, 6, FALSE)</f>
        <v>1</v>
      </c>
    </row>
    <row r="905" spans="1:19">
      <c r="A905" s="102" t="s">
        <v>1384</v>
      </c>
      <c r="B905" s="2">
        <v>45309</v>
      </c>
      <c r="C905" s="1" t="s">
        <v>1027</v>
      </c>
      <c r="D905" s="1" t="s">
        <v>164</v>
      </c>
      <c r="E905" s="1" t="s">
        <v>98</v>
      </c>
      <c r="F905" s="83">
        <v>8</v>
      </c>
      <c r="G905" s="92">
        <v>1080</v>
      </c>
      <c r="H905" s="3">
        <v>23.8</v>
      </c>
      <c r="I905" s="3">
        <v>6583.68</v>
      </c>
      <c r="J905" s="1" t="s">
        <v>87</v>
      </c>
      <c r="K905" s="1" t="s">
        <v>112</v>
      </c>
      <c r="L905" t="str">
        <f>VLOOKUP(D905, Products!A:C, 3, FALSE)</f>
        <v>Home</v>
      </c>
      <c r="M905" t="str">
        <f>VLOOKUP(C905, Customers!A:E, 5, FALSE)</f>
        <v>SMB</v>
      </c>
      <c r="N905">
        <f>VLOOKUP(C905, Customers!A:E, 3, FALSE)</f>
        <v>47</v>
      </c>
      <c r="O905" s="93" t="str">
        <f>VLOOKUP(E905, Sales_Reps!A:C, 3, FALSE)</f>
        <v>South</v>
      </c>
      <c r="P905">
        <f>VLOOKUP(D905, Products!A:E, 4, FALSE)</f>
        <v>519</v>
      </c>
      <c r="Q905">
        <f>IF(COUNTIF($A$2:A905, A905)=2, 1, 0)</f>
        <v>0</v>
      </c>
      <c r="R905">
        <f>IF(ISNA(MATCH(C905, Customers!$A:$A, 0)), 1, 0)</f>
        <v>0</v>
      </c>
      <c r="S905" s="94" t="b">
        <f>VLOOKUP(D905, Products!A:F, 6, FALSE)</f>
        <v>1</v>
      </c>
    </row>
    <row r="906" spans="1:19">
      <c r="A906" s="102" t="s">
        <v>1385</v>
      </c>
      <c r="B906" s="2">
        <v>45367</v>
      </c>
      <c r="C906" s="1" t="s">
        <v>837</v>
      </c>
      <c r="D906" s="1" t="s">
        <v>502</v>
      </c>
      <c r="E906" s="1" t="s">
        <v>273</v>
      </c>
      <c r="F906" s="83">
        <v>8</v>
      </c>
      <c r="G906" s="92">
        <v>1090</v>
      </c>
      <c r="H906" s="3">
        <v>17.5</v>
      </c>
      <c r="I906" s="3">
        <v>7194</v>
      </c>
      <c r="J906" s="1" t="s">
        <v>87</v>
      </c>
      <c r="K906" s="1" t="s">
        <v>117</v>
      </c>
      <c r="L906" t="str">
        <f>VLOOKUP(D906, Products!A:C, 3, FALSE)</f>
        <v>Home</v>
      </c>
      <c r="M906" t="str">
        <f>VLOOKUP(C906, Customers!A:E, 5, FALSE)</f>
        <v>Retail</v>
      </c>
      <c r="N906">
        <f>VLOOKUP(C906, Customers!A:E, 3, FALSE)</f>
        <v>37</v>
      </c>
      <c r="O906" s="93" t="str">
        <f>VLOOKUP(E906, Sales_Reps!A:C, 3, FALSE)</f>
        <v>South</v>
      </c>
      <c r="P906">
        <f>VLOOKUP(D906, Products!A:E, 4, FALSE)</f>
        <v>464</v>
      </c>
      <c r="Q906">
        <f>IF(COUNTIF($A$2:A906, A906)=2, 1, 0)</f>
        <v>0</v>
      </c>
      <c r="R906">
        <f>IF(ISNA(MATCH(C906, Customers!$A:$A, 0)), 1, 0)</f>
        <v>0</v>
      </c>
      <c r="S906" s="94" t="b">
        <f>VLOOKUP(D906, Products!A:F, 6, FALSE)</f>
        <v>1</v>
      </c>
    </row>
    <row r="907" spans="1:19">
      <c r="A907" s="102" t="s">
        <v>1386</v>
      </c>
      <c r="B907" s="2">
        <v>45615</v>
      </c>
      <c r="C907" s="1" t="s">
        <v>1308</v>
      </c>
      <c r="D907" s="1" t="s">
        <v>659</v>
      </c>
      <c r="E907" s="1" t="s">
        <v>343</v>
      </c>
      <c r="F907" s="83">
        <v>7</v>
      </c>
      <c r="G907" s="92">
        <v>3560</v>
      </c>
      <c r="H907" s="3">
        <v>11.1</v>
      </c>
      <c r="I907" s="3">
        <v>22153.88</v>
      </c>
      <c r="J907" s="1" t="s">
        <v>87</v>
      </c>
      <c r="K907" s="1" t="s">
        <v>94</v>
      </c>
      <c r="L907" t="str">
        <f>VLOOKUP(D907, Products!A:C, 3, FALSE)</f>
        <v>Apparel</v>
      </c>
      <c r="M907" t="str">
        <f>VLOOKUP(C907, Customers!A:E, 5, FALSE)</f>
        <v>SMB</v>
      </c>
      <c r="N907">
        <f>VLOOKUP(C907, Customers!A:E, 3, FALSE)</f>
        <v>51</v>
      </c>
      <c r="O907" s="93" t="str">
        <f>VLOOKUP(E907, Sales_Reps!A:C, 3, FALSE)</f>
        <v>West</v>
      </c>
      <c r="P907">
        <f>VLOOKUP(D907, Products!A:E, 4, FALSE)</f>
        <v>2629</v>
      </c>
      <c r="Q907">
        <f>IF(COUNTIF($A$2:A907, A907)=2, 1, 0)</f>
        <v>0</v>
      </c>
      <c r="R907">
        <f>IF(ISNA(MATCH(C907, Customers!$A:$A, 0)), 1, 0)</f>
        <v>0</v>
      </c>
      <c r="S907" s="94" t="b">
        <f>VLOOKUP(D907, Products!A:F, 6, FALSE)</f>
        <v>1</v>
      </c>
    </row>
    <row r="908" spans="1:19">
      <c r="A908" s="102" t="s">
        <v>1387</v>
      </c>
      <c r="B908" s="2">
        <v>45499</v>
      </c>
      <c r="C908" s="1" t="s">
        <v>228</v>
      </c>
      <c r="D908" s="1" t="s">
        <v>147</v>
      </c>
      <c r="E908" s="1" t="s">
        <v>285</v>
      </c>
      <c r="F908" s="83">
        <v>6</v>
      </c>
      <c r="G908" s="92">
        <v>190</v>
      </c>
      <c r="H908" s="3">
        <v>17.100000000000001</v>
      </c>
      <c r="I908" s="3">
        <v>945.06</v>
      </c>
      <c r="J908" s="1" t="s">
        <v>140</v>
      </c>
      <c r="K908" s="1" t="s">
        <v>112</v>
      </c>
      <c r="L908" t="str">
        <f>VLOOKUP(D908, Products!A:C, 3, FALSE)</f>
        <v>Sports</v>
      </c>
      <c r="M908" t="str">
        <f>VLOOKUP(C908, Customers!A:E, 5, FALSE)</f>
        <v>SMB</v>
      </c>
      <c r="N908">
        <f>VLOOKUP(C908, Customers!A:E, 3, FALSE)</f>
        <v>54</v>
      </c>
      <c r="O908" s="93" t="str">
        <f>VLOOKUP(E908, Sales_Reps!A:C, 3, FALSE)</f>
        <v>East</v>
      </c>
      <c r="P908">
        <f>VLOOKUP(D908, Products!A:E, 4, FALSE)</f>
        <v>147</v>
      </c>
      <c r="Q908">
        <f>IF(COUNTIF($A$2:A908, A908)=2, 1, 0)</f>
        <v>0</v>
      </c>
      <c r="R908">
        <f>IF(ISNA(MATCH(C908, Customers!$A:$A, 0)), 1, 0)</f>
        <v>0</v>
      </c>
      <c r="S908" s="94" t="b">
        <f>VLOOKUP(D908, Products!A:F, 6, FALSE)</f>
        <v>1</v>
      </c>
    </row>
    <row r="909" spans="1:19">
      <c r="A909" s="102" t="s">
        <v>1388</v>
      </c>
      <c r="B909" s="2">
        <v>45356</v>
      </c>
      <c r="C909" s="1" t="s">
        <v>717</v>
      </c>
      <c r="D909" s="1" t="s">
        <v>351</v>
      </c>
      <c r="E909" s="1" t="s">
        <v>111</v>
      </c>
      <c r="F909" s="83">
        <v>7</v>
      </c>
      <c r="G909" s="92">
        <v>4060</v>
      </c>
      <c r="H909" s="3">
        <v>0.6</v>
      </c>
      <c r="I909" s="3">
        <v>28249.48</v>
      </c>
      <c r="J909" s="1" t="s">
        <v>87</v>
      </c>
      <c r="K909" s="1" t="s">
        <v>94</v>
      </c>
      <c r="L909" t="str">
        <f>VLOOKUP(D909, Products!A:C, 3, FALSE)</f>
        <v>Grocery</v>
      </c>
      <c r="M909" t="str">
        <f>VLOOKUP(C909, Customers!A:E, 5, FALSE)</f>
        <v>Retail</v>
      </c>
      <c r="N909">
        <f>VLOOKUP(C909, Customers!A:E, 3, FALSE)</f>
        <v>24</v>
      </c>
      <c r="O909" s="93" t="str">
        <f>VLOOKUP(E909, Sales_Reps!A:C, 3, FALSE)</f>
        <v>West</v>
      </c>
      <c r="P909">
        <f>VLOOKUP(D909, Products!A:E, 4, FALSE)</f>
        <v>2911</v>
      </c>
      <c r="Q909">
        <f>IF(COUNTIF($A$2:A909, A909)=2, 1, 0)</f>
        <v>0</v>
      </c>
      <c r="R909">
        <f>IF(ISNA(MATCH(C909, Customers!$A:$A, 0)), 1, 0)</f>
        <v>0</v>
      </c>
      <c r="S909" s="94" t="b">
        <f>VLOOKUP(D909, Products!A:F, 6, FALSE)</f>
        <v>1</v>
      </c>
    </row>
    <row r="910" spans="1:19">
      <c r="A910" s="102" t="s">
        <v>1389</v>
      </c>
      <c r="B910" s="2">
        <v>45346</v>
      </c>
      <c r="C910" s="1" t="s">
        <v>608</v>
      </c>
      <c r="D910" s="1" t="s">
        <v>270</v>
      </c>
      <c r="E910" s="1" t="s">
        <v>158</v>
      </c>
      <c r="F910" s="83">
        <v>4</v>
      </c>
      <c r="G910" s="92">
        <v>4610</v>
      </c>
      <c r="H910" s="3">
        <v>1.9</v>
      </c>
      <c r="I910" s="3">
        <v>18089.64</v>
      </c>
      <c r="J910" s="1" t="s">
        <v>93</v>
      </c>
      <c r="K910" s="1" t="s">
        <v>88</v>
      </c>
      <c r="L910" t="str">
        <f>VLOOKUP(D910, Products!A:C, 3, FALSE)</f>
        <v>Home</v>
      </c>
      <c r="M910" t="str">
        <f>VLOOKUP(C910, Customers!A:E, 5, FALSE)</f>
        <v>Corporate</v>
      </c>
      <c r="N910">
        <f>VLOOKUP(C910, Customers!A:E, 3, FALSE)</f>
        <v>40</v>
      </c>
      <c r="O910" s="93" t="str">
        <f>VLOOKUP(E910, Sales_Reps!A:C, 3, FALSE)</f>
        <v>East</v>
      </c>
      <c r="P910">
        <f>VLOOKUP(D910, Products!A:E, 4, FALSE)</f>
        <v>1850</v>
      </c>
      <c r="Q910">
        <f>IF(COUNTIF($A$2:A910, A910)=2, 1, 0)</f>
        <v>0</v>
      </c>
      <c r="R910">
        <f>IF(ISNA(MATCH(C910, Customers!$A:$A, 0)), 1, 0)</f>
        <v>0</v>
      </c>
      <c r="S910" s="94" t="b">
        <f>VLOOKUP(D910, Products!A:F, 6, FALSE)</f>
        <v>1</v>
      </c>
    </row>
    <row r="911" spans="1:19">
      <c r="A911" s="102" t="s">
        <v>1390</v>
      </c>
      <c r="B911" s="2">
        <v>45640</v>
      </c>
      <c r="C911" s="1" t="s">
        <v>621</v>
      </c>
      <c r="D911" s="1" t="s">
        <v>264</v>
      </c>
      <c r="E911" s="1" t="s">
        <v>192</v>
      </c>
      <c r="F911" s="83">
        <v>4</v>
      </c>
      <c r="G911" s="92">
        <v>4070</v>
      </c>
      <c r="H911" s="3">
        <v>26.8</v>
      </c>
      <c r="I911" s="3">
        <v>11916.96</v>
      </c>
      <c r="J911" s="1" t="s">
        <v>87</v>
      </c>
      <c r="K911" s="1" t="s">
        <v>94</v>
      </c>
      <c r="L911" t="str">
        <f>VLOOKUP(D911, Products!A:C, 3, FALSE)</f>
        <v>Grocery</v>
      </c>
      <c r="M911" t="str">
        <f>VLOOKUP(C911, Customers!A:E, 5, FALSE)</f>
        <v>Corporate</v>
      </c>
      <c r="N911">
        <f>VLOOKUP(C911, Customers!A:E, 3, FALSE)</f>
        <v>22</v>
      </c>
      <c r="O911" s="93" t="str">
        <f>VLOOKUP(E911, Sales_Reps!A:C, 3, FALSE)</f>
        <v>East</v>
      </c>
      <c r="P911">
        <f>VLOOKUP(D911, Products!A:E, 4, FALSE)</f>
        <v>2027</v>
      </c>
      <c r="Q911">
        <f>IF(COUNTIF($A$2:A911, A911)=2, 1, 0)</f>
        <v>0</v>
      </c>
      <c r="R911">
        <f>IF(ISNA(MATCH(C911, Customers!$A:$A, 0)), 1, 0)</f>
        <v>0</v>
      </c>
      <c r="S911" s="94" t="b">
        <f>VLOOKUP(D911, Products!A:F, 6, FALSE)</f>
        <v>1</v>
      </c>
    </row>
    <row r="912" spans="1:19">
      <c r="A912" s="102" t="s">
        <v>1391</v>
      </c>
      <c r="B912" s="2">
        <v>45633</v>
      </c>
      <c r="C912" s="1" t="s">
        <v>256</v>
      </c>
      <c r="D912" s="1" t="s">
        <v>85</v>
      </c>
      <c r="E912" s="1" t="s">
        <v>139</v>
      </c>
      <c r="F912" s="83">
        <v>4</v>
      </c>
      <c r="G912" s="92">
        <v>3620</v>
      </c>
      <c r="H912" s="3">
        <v>11.7</v>
      </c>
      <c r="I912" s="3">
        <v>12785.84</v>
      </c>
      <c r="J912" s="1" t="s">
        <v>87</v>
      </c>
      <c r="K912" s="1" t="s">
        <v>133</v>
      </c>
      <c r="L912" t="str">
        <f>VLOOKUP(D912, Products!A:C, 3, FALSE)</f>
        <v>Apparel</v>
      </c>
      <c r="M912" t="str">
        <f>VLOOKUP(C912, Customers!A:E, 5, FALSE)</f>
        <v>Retail</v>
      </c>
      <c r="N912">
        <f>VLOOKUP(C912, Customers!A:E, 3, FALSE)</f>
        <v>27</v>
      </c>
      <c r="O912" s="93" t="str">
        <f>VLOOKUP(E912, Sales_Reps!A:C, 3, FALSE)</f>
        <v>North</v>
      </c>
      <c r="P912">
        <f>VLOOKUP(D912, Products!A:E, 4, FALSE)</f>
        <v>2509</v>
      </c>
      <c r="Q912">
        <f>IF(COUNTIF($A$2:A912, A912)=2, 1, 0)</f>
        <v>0</v>
      </c>
      <c r="R912">
        <f>IF(ISNA(MATCH(C912, Customers!$A:$A, 0)), 1, 0)</f>
        <v>0</v>
      </c>
      <c r="S912" s="94" t="b">
        <f>VLOOKUP(D912, Products!A:F, 6, FALSE)</f>
        <v>1</v>
      </c>
    </row>
    <row r="913" spans="1:19">
      <c r="A913" s="102" t="s">
        <v>1392</v>
      </c>
      <c r="B913" s="2">
        <v>45430</v>
      </c>
      <c r="C913" s="1" t="s">
        <v>318</v>
      </c>
      <c r="D913" s="1" t="s">
        <v>408</v>
      </c>
      <c r="E913" s="1" t="s">
        <v>170</v>
      </c>
      <c r="F913" s="83">
        <v>3</v>
      </c>
      <c r="G913" s="92">
        <v>3970</v>
      </c>
      <c r="H913" s="3">
        <v>24.7</v>
      </c>
      <c r="I913" s="3">
        <v>8968.23</v>
      </c>
      <c r="J913" s="1" t="s">
        <v>87</v>
      </c>
      <c r="K913" s="1" t="s">
        <v>94</v>
      </c>
      <c r="L913" t="str">
        <f>VLOOKUP(D913, Products!A:C, 3, FALSE)</f>
        <v>Electronics</v>
      </c>
      <c r="M913" t="str">
        <f>VLOOKUP(C913, Customers!A:E, 5, FALSE)</f>
        <v>SMB</v>
      </c>
      <c r="N913">
        <f>VLOOKUP(C913, Customers!A:E, 3, FALSE)</f>
        <v>57</v>
      </c>
      <c r="O913" s="93" t="str">
        <f>VLOOKUP(E913, Sales_Reps!A:C, 3, FALSE)</f>
        <v>West</v>
      </c>
      <c r="P913">
        <f>VLOOKUP(D913, Products!A:E, 4, FALSE)</f>
        <v>2865</v>
      </c>
      <c r="Q913">
        <f>IF(COUNTIF($A$2:A913, A913)=2, 1, 0)</f>
        <v>0</v>
      </c>
      <c r="R913">
        <f>IF(ISNA(MATCH(C913, Customers!$A:$A, 0)), 1, 0)</f>
        <v>0</v>
      </c>
      <c r="S913" s="94" t="b">
        <f>VLOOKUP(D913, Products!A:F, 6, FALSE)</f>
        <v>1</v>
      </c>
    </row>
    <row r="914" spans="1:19">
      <c r="A914" s="102" t="s">
        <v>1393</v>
      </c>
      <c r="B914" s="2">
        <v>45355</v>
      </c>
      <c r="C914" s="1" t="s">
        <v>416</v>
      </c>
      <c r="D914" s="1" t="s">
        <v>127</v>
      </c>
      <c r="E914" s="1" t="s">
        <v>128</v>
      </c>
      <c r="F914" s="83">
        <v>4</v>
      </c>
      <c r="G914" s="92">
        <v>970</v>
      </c>
      <c r="H914" s="3">
        <v>0.4</v>
      </c>
      <c r="I914" s="3">
        <v>3864.48</v>
      </c>
      <c r="J914" s="1" t="s">
        <v>87</v>
      </c>
      <c r="K914" s="1" t="s">
        <v>117</v>
      </c>
      <c r="L914" t="str">
        <f>VLOOKUP(D914, Products!A:C, 3, FALSE)</f>
        <v>Grocery</v>
      </c>
      <c r="M914" t="str">
        <f>VLOOKUP(C914, Customers!A:E, 5, FALSE)</f>
        <v>Corporate</v>
      </c>
      <c r="N914">
        <f>VLOOKUP(C914, Customers!A:E, 3, FALSE)</f>
        <v>42</v>
      </c>
      <c r="O914" s="93" t="str">
        <f>VLOOKUP(E914, Sales_Reps!A:C, 3, FALSE)</f>
        <v>West</v>
      </c>
      <c r="P914">
        <f>VLOOKUP(D914, Products!A:E, 4, FALSE)</f>
        <v>434</v>
      </c>
      <c r="Q914">
        <f>IF(COUNTIF($A$2:A914, A914)=2, 1, 0)</f>
        <v>0</v>
      </c>
      <c r="R914">
        <f>IF(ISNA(MATCH(C914, Customers!$A:$A, 0)), 1, 0)</f>
        <v>0</v>
      </c>
      <c r="S914" s="94" t="b">
        <f>VLOOKUP(D914, Products!A:F, 6, FALSE)</f>
        <v>1</v>
      </c>
    </row>
    <row r="915" spans="1:19">
      <c r="A915" s="102" t="s">
        <v>1394</v>
      </c>
      <c r="B915" s="2">
        <v>45379</v>
      </c>
      <c r="C915" s="1" t="s">
        <v>299</v>
      </c>
      <c r="D915" s="1" t="s">
        <v>115</v>
      </c>
      <c r="E915" s="1" t="s">
        <v>154</v>
      </c>
      <c r="F915" s="83">
        <v>2</v>
      </c>
      <c r="G915" s="92">
        <v>960</v>
      </c>
      <c r="H915" s="3">
        <v>1.4</v>
      </c>
      <c r="I915" s="3">
        <v>1893.12</v>
      </c>
      <c r="J915" s="1" t="s">
        <v>87</v>
      </c>
      <c r="K915" s="1" t="s">
        <v>133</v>
      </c>
      <c r="L915" t="str">
        <f>VLOOKUP(D915, Products!A:C, 3, FALSE)</f>
        <v>Sports</v>
      </c>
      <c r="M915" t="str">
        <f>VLOOKUP(C915, Customers!A:E, 5, FALSE)</f>
        <v>Retail</v>
      </c>
      <c r="N915">
        <f>VLOOKUP(C915, Customers!A:E, 3, FALSE)</f>
        <v>29</v>
      </c>
      <c r="O915" s="93" t="str">
        <f>VLOOKUP(E915, Sales_Reps!A:C, 3, FALSE)</f>
        <v>East</v>
      </c>
      <c r="P915">
        <f>VLOOKUP(D915, Products!A:E, 4, FALSE)</f>
        <v>705</v>
      </c>
      <c r="Q915">
        <f>IF(COUNTIF($A$2:A915, A915)=2, 1, 0)</f>
        <v>0</v>
      </c>
      <c r="R915">
        <f>IF(ISNA(MATCH(C915, Customers!$A:$A, 0)), 1, 0)</f>
        <v>0</v>
      </c>
      <c r="S915" s="94" t="b">
        <f>VLOOKUP(D915, Products!A:F, 6, FALSE)</f>
        <v>1</v>
      </c>
    </row>
    <row r="916" spans="1:19">
      <c r="A916" s="102" t="s">
        <v>1395</v>
      </c>
      <c r="B916" s="2">
        <v>45375</v>
      </c>
      <c r="C916" s="1" t="s">
        <v>160</v>
      </c>
      <c r="D916" s="1" t="s">
        <v>282</v>
      </c>
      <c r="E916" s="1" t="s">
        <v>346</v>
      </c>
      <c r="F916" s="83">
        <v>7</v>
      </c>
      <c r="G916" s="92">
        <v>300</v>
      </c>
      <c r="H916" s="3">
        <v>20.399999999999999</v>
      </c>
      <c r="I916" s="3">
        <v>1671.6</v>
      </c>
      <c r="J916" s="1" t="s">
        <v>87</v>
      </c>
      <c r="K916" s="1" t="s">
        <v>112</v>
      </c>
      <c r="L916" t="str">
        <f>VLOOKUP(D916, Products!A:C, 3, FALSE)</f>
        <v>Electronics</v>
      </c>
      <c r="M916" t="str">
        <f>VLOOKUP(C916, Customers!A:E, 5, FALSE)</f>
        <v>Retail</v>
      </c>
      <c r="N916">
        <f>VLOOKUP(C916, Customers!A:E, 3, FALSE)</f>
        <v>54</v>
      </c>
      <c r="O916" s="93" t="str">
        <f>VLOOKUP(E916, Sales_Reps!A:C, 3, FALSE)</f>
        <v>South</v>
      </c>
      <c r="P916">
        <f>VLOOKUP(D916, Products!A:E, 4, FALSE)</f>
        <v>128</v>
      </c>
      <c r="Q916">
        <f>IF(COUNTIF($A$2:A916, A916)=2, 1, 0)</f>
        <v>0</v>
      </c>
      <c r="R916">
        <f>IF(ISNA(MATCH(C916, Customers!$A:$A, 0)), 1, 0)</f>
        <v>0</v>
      </c>
      <c r="S916" s="94" t="b">
        <f>VLOOKUP(D916, Products!A:F, 6, FALSE)</f>
        <v>1</v>
      </c>
    </row>
    <row r="917" spans="1:19">
      <c r="A917" s="102" t="s">
        <v>1396</v>
      </c>
      <c r="B917" s="2">
        <v>45397</v>
      </c>
      <c r="C917" s="1" t="s">
        <v>312</v>
      </c>
      <c r="D917" s="1" t="s">
        <v>138</v>
      </c>
      <c r="E917" s="1" t="s">
        <v>98</v>
      </c>
      <c r="F917" s="83">
        <v>8</v>
      </c>
      <c r="G917" s="92">
        <v>2600</v>
      </c>
      <c r="H917" s="3">
        <v>2.2000000000000002</v>
      </c>
      <c r="I917" s="3">
        <v>20342.400000000001</v>
      </c>
      <c r="J917" s="1" t="s">
        <v>140</v>
      </c>
      <c r="K917" s="1" t="s">
        <v>133</v>
      </c>
      <c r="L917" t="str">
        <f>VLOOKUP(D917, Products!A:C, 3, FALSE)</f>
        <v>Electronics</v>
      </c>
      <c r="M917" t="str">
        <f>VLOOKUP(C917, Customers!A:E, 5, FALSE)</f>
        <v>Retail</v>
      </c>
      <c r="N917">
        <f>VLOOKUP(C917, Customers!A:E, 3, FALSE)</f>
        <v>46</v>
      </c>
      <c r="O917" s="93" t="str">
        <f>VLOOKUP(E917, Sales_Reps!A:C, 3, FALSE)</f>
        <v>South</v>
      </c>
      <c r="P917">
        <f>VLOOKUP(D917, Products!A:E, 4, FALSE)</f>
        <v>1052</v>
      </c>
      <c r="Q917">
        <f>IF(COUNTIF($A$2:A917, A917)=2, 1, 0)</f>
        <v>0</v>
      </c>
      <c r="R917">
        <f>IF(ISNA(MATCH(C917, Customers!$A:$A, 0)), 1, 0)</f>
        <v>0</v>
      </c>
      <c r="S917" s="94" t="b">
        <f>VLOOKUP(D917, Products!A:F, 6, FALSE)</f>
        <v>1</v>
      </c>
    </row>
    <row r="918" spans="1:19">
      <c r="A918" s="102" t="s">
        <v>1397</v>
      </c>
      <c r="B918" s="2">
        <v>45571</v>
      </c>
      <c r="C918" s="1" t="s">
        <v>485</v>
      </c>
      <c r="D918" s="1" t="s">
        <v>110</v>
      </c>
      <c r="E918" s="1" t="s">
        <v>107</v>
      </c>
      <c r="F918" s="83">
        <v>2</v>
      </c>
      <c r="G918" s="92">
        <v>370</v>
      </c>
      <c r="H918" s="3">
        <v>17.7</v>
      </c>
      <c r="I918" s="3">
        <v>609.02</v>
      </c>
      <c r="J918" s="1" t="s">
        <v>87</v>
      </c>
      <c r="K918" s="1" t="s">
        <v>88</v>
      </c>
      <c r="L918" t="str">
        <f>VLOOKUP(D918, Products!A:C, 3, FALSE)</f>
        <v>Home</v>
      </c>
      <c r="M918" t="str">
        <f>VLOOKUP(C918, Customers!A:E, 5, FALSE)</f>
        <v>Retail</v>
      </c>
      <c r="N918">
        <f>VLOOKUP(C918, Customers!A:E, 3, FALSE)</f>
        <v>49</v>
      </c>
      <c r="O918" s="93" t="str">
        <f>VLOOKUP(E918, Sales_Reps!A:C, 3, FALSE)</f>
        <v>North</v>
      </c>
      <c r="P918">
        <f>VLOOKUP(D918, Products!A:E, 4, FALSE)</f>
        <v>288</v>
      </c>
      <c r="Q918">
        <f>IF(COUNTIF($A$2:A918, A918)=2, 1, 0)</f>
        <v>0</v>
      </c>
      <c r="R918">
        <f>IF(ISNA(MATCH(C918, Customers!$A:$A, 0)), 1, 0)</f>
        <v>0</v>
      </c>
      <c r="S918" s="94" t="b">
        <f>VLOOKUP(D918, Products!A:F, 6, FALSE)</f>
        <v>1</v>
      </c>
    </row>
    <row r="919" spans="1:19">
      <c r="A919" s="102" t="s">
        <v>1398</v>
      </c>
      <c r="B919" s="2">
        <v>45455</v>
      </c>
      <c r="C919" s="1" t="s">
        <v>178</v>
      </c>
      <c r="D919" s="1" t="s">
        <v>157</v>
      </c>
      <c r="E919" s="1" t="s">
        <v>201</v>
      </c>
      <c r="F919" s="83">
        <v>4</v>
      </c>
      <c r="G919" s="92">
        <v>3450</v>
      </c>
      <c r="H919" s="3">
        <v>9.8000000000000007</v>
      </c>
      <c r="I919" s="3">
        <v>12447.6</v>
      </c>
      <c r="J919" s="1" t="s">
        <v>140</v>
      </c>
      <c r="K919" s="1" t="s">
        <v>94</v>
      </c>
      <c r="L919" t="str">
        <f>VLOOKUP(D919, Products!A:C, 3, FALSE)</f>
        <v>Beauty</v>
      </c>
      <c r="M919" t="str">
        <f>VLOOKUP(C919, Customers!A:E, 5, FALSE)</f>
        <v>Corporate</v>
      </c>
      <c r="N919">
        <f>VLOOKUP(C919, Customers!A:E, 3, FALSE)</f>
        <v>55</v>
      </c>
      <c r="O919" s="93" t="str">
        <f>VLOOKUP(E919, Sales_Reps!A:C, 3, FALSE)</f>
        <v>West</v>
      </c>
      <c r="P919">
        <f>VLOOKUP(D919, Products!A:E, 4, FALSE)</f>
        <v>2420</v>
      </c>
      <c r="Q919">
        <f>IF(COUNTIF($A$2:A919, A919)=2, 1, 0)</f>
        <v>0</v>
      </c>
      <c r="R919">
        <f>IF(ISNA(MATCH(C919, Customers!$A:$A, 0)), 1, 0)</f>
        <v>0</v>
      </c>
      <c r="S919" s="94" t="b">
        <f>VLOOKUP(D919, Products!A:F, 6, FALSE)</f>
        <v>1</v>
      </c>
    </row>
    <row r="920" spans="1:19">
      <c r="A920" s="102" t="s">
        <v>1399</v>
      </c>
      <c r="B920" s="2">
        <v>45486</v>
      </c>
      <c r="C920" s="1" t="s">
        <v>781</v>
      </c>
      <c r="D920" s="1" t="s">
        <v>167</v>
      </c>
      <c r="E920" s="1" t="s">
        <v>192</v>
      </c>
      <c r="F920" s="83">
        <v>1</v>
      </c>
      <c r="G920" s="92">
        <v>2480</v>
      </c>
      <c r="H920" s="3">
        <v>5.8</v>
      </c>
      <c r="I920" s="3">
        <v>2336.16</v>
      </c>
      <c r="J920" s="1" t="s">
        <v>87</v>
      </c>
      <c r="K920" s="1" t="s">
        <v>99</v>
      </c>
      <c r="L920" t="str">
        <f>VLOOKUP(D920, Products!A:C, 3, FALSE)</f>
        <v>Apparel</v>
      </c>
      <c r="M920" t="str">
        <f>VLOOKUP(C920, Customers!A:E, 5, FALSE)</f>
        <v>SMB</v>
      </c>
      <c r="N920">
        <f>VLOOKUP(C920, Customers!A:E, 3, FALSE)</f>
        <v>29</v>
      </c>
      <c r="O920" s="93" t="str">
        <f>VLOOKUP(E920, Sales_Reps!A:C, 3, FALSE)</f>
        <v>East</v>
      </c>
      <c r="P920">
        <f>VLOOKUP(D920, Products!A:E, 4, FALSE)</f>
        <v>1173</v>
      </c>
      <c r="Q920">
        <f>IF(COUNTIF($A$2:A920, A920)=2, 1, 0)</f>
        <v>0</v>
      </c>
      <c r="R920">
        <f>IF(ISNA(MATCH(C920, Customers!$A:$A, 0)), 1, 0)</f>
        <v>0</v>
      </c>
      <c r="S920" s="94" t="b">
        <f>VLOOKUP(D920, Products!A:F, 6, FALSE)</f>
        <v>1</v>
      </c>
    </row>
    <row r="921" spans="1:19">
      <c r="A921" s="102" t="s">
        <v>1400</v>
      </c>
      <c r="B921" s="2">
        <v>45329</v>
      </c>
      <c r="C921" s="1" t="s">
        <v>551</v>
      </c>
      <c r="D921" s="1" t="s">
        <v>102</v>
      </c>
      <c r="E921" s="1" t="s">
        <v>121</v>
      </c>
      <c r="F921" s="83">
        <v>5</v>
      </c>
      <c r="G921" s="92">
        <v>3660</v>
      </c>
      <c r="H921" s="3">
        <v>4.7</v>
      </c>
      <c r="I921" s="3">
        <v>17439.900000000001</v>
      </c>
      <c r="J921" s="1" t="s">
        <v>93</v>
      </c>
      <c r="K921" s="1" t="s">
        <v>112</v>
      </c>
      <c r="L921" t="str">
        <f>VLOOKUP(D921, Products!A:C, 3, FALSE)</f>
        <v>Grocery</v>
      </c>
      <c r="M921" t="str">
        <f>VLOOKUP(C921, Customers!A:E, 5, FALSE)</f>
        <v>Corporate</v>
      </c>
      <c r="N921">
        <f>VLOOKUP(C921, Customers!A:E, 3, FALSE)</f>
        <v>60</v>
      </c>
      <c r="O921" s="93" t="str">
        <f>VLOOKUP(E921, Sales_Reps!A:C, 3, FALSE)</f>
        <v>East</v>
      </c>
      <c r="P921">
        <f>VLOOKUP(D921, Products!A:E, 4, FALSE)</f>
        <v>2214</v>
      </c>
      <c r="Q921">
        <f>IF(COUNTIF($A$2:A921, A921)=2, 1, 0)</f>
        <v>0</v>
      </c>
      <c r="R921">
        <f>IF(ISNA(MATCH(C921, Customers!$A:$A, 0)), 1, 0)</f>
        <v>0</v>
      </c>
      <c r="S921" s="94" t="b">
        <f>VLOOKUP(D921, Products!A:F, 6, FALSE)</f>
        <v>0</v>
      </c>
    </row>
    <row r="922" spans="1:19">
      <c r="A922" s="102" t="s">
        <v>1401</v>
      </c>
      <c r="B922" s="2">
        <v>45315</v>
      </c>
      <c r="C922" s="1" t="s">
        <v>342</v>
      </c>
      <c r="D922" s="1" t="s">
        <v>176</v>
      </c>
      <c r="E922" s="1" t="s">
        <v>154</v>
      </c>
      <c r="F922" s="83">
        <v>7</v>
      </c>
      <c r="G922" s="92">
        <v>1650</v>
      </c>
      <c r="H922" s="3">
        <v>8.6</v>
      </c>
      <c r="I922" s="3">
        <v>10556.7</v>
      </c>
      <c r="J922" s="1" t="s">
        <v>87</v>
      </c>
      <c r="K922" s="1" t="s">
        <v>94</v>
      </c>
      <c r="L922" t="str">
        <f>VLOOKUP(D922, Products!A:C, 3, FALSE)</f>
        <v>Beauty</v>
      </c>
      <c r="M922" t="str">
        <f>VLOOKUP(C922, Customers!A:E, 5, FALSE)</f>
        <v>Retail</v>
      </c>
      <c r="N922">
        <f>VLOOKUP(C922, Customers!A:E, 3, FALSE)</f>
        <v>26</v>
      </c>
      <c r="O922" s="93" t="str">
        <f>VLOOKUP(E922, Sales_Reps!A:C, 3, FALSE)</f>
        <v>East</v>
      </c>
      <c r="P922">
        <f>VLOOKUP(D922, Products!A:E, 4, FALSE)</f>
        <v>1222</v>
      </c>
      <c r="Q922">
        <f>IF(COUNTIF($A$2:A922, A922)=2, 1, 0)</f>
        <v>0</v>
      </c>
      <c r="R922">
        <f>IF(ISNA(MATCH(C922, Customers!$A:$A, 0)), 1, 0)</f>
        <v>0</v>
      </c>
      <c r="S922" s="94" t="b">
        <f>VLOOKUP(D922, Products!A:F, 6, FALSE)</f>
        <v>1</v>
      </c>
    </row>
    <row r="923" spans="1:19">
      <c r="A923" s="102" t="s">
        <v>1402</v>
      </c>
      <c r="B923" s="2">
        <v>45473</v>
      </c>
      <c r="C923" s="1" t="s">
        <v>190</v>
      </c>
      <c r="D923" s="1" t="s">
        <v>147</v>
      </c>
      <c r="E923" s="1" t="s">
        <v>111</v>
      </c>
      <c r="F923" s="83">
        <v>6</v>
      </c>
      <c r="G923" s="92">
        <v>190</v>
      </c>
      <c r="H923" s="3">
        <v>14.6</v>
      </c>
      <c r="I923" s="3">
        <v>973.56</v>
      </c>
      <c r="J923" s="1" t="s">
        <v>87</v>
      </c>
      <c r="K923" s="1" t="s">
        <v>133</v>
      </c>
      <c r="L923" t="str">
        <f>VLOOKUP(D923, Products!A:C, 3, FALSE)</f>
        <v>Sports</v>
      </c>
      <c r="M923" t="str">
        <f>VLOOKUP(C923, Customers!A:E, 5, FALSE)</f>
        <v>Corporate</v>
      </c>
      <c r="N923">
        <f>VLOOKUP(C923, Customers!A:E, 3, FALSE)</f>
        <v>56</v>
      </c>
      <c r="O923" s="93" t="str">
        <f>VLOOKUP(E923, Sales_Reps!A:C, 3, FALSE)</f>
        <v>West</v>
      </c>
      <c r="P923">
        <f>VLOOKUP(D923, Products!A:E, 4, FALSE)</f>
        <v>147</v>
      </c>
      <c r="Q923">
        <f>IF(COUNTIF($A$2:A923, A923)=2, 1, 0)</f>
        <v>0</v>
      </c>
      <c r="R923">
        <f>IF(ISNA(MATCH(C923, Customers!$A:$A, 0)), 1, 0)</f>
        <v>0</v>
      </c>
      <c r="S923" s="94" t="b">
        <f>VLOOKUP(D923, Products!A:F, 6, FALSE)</f>
        <v>1</v>
      </c>
    </row>
    <row r="924" spans="1:19">
      <c r="A924" s="102" t="s">
        <v>1403</v>
      </c>
      <c r="B924" s="2">
        <v>45546</v>
      </c>
      <c r="C924" s="1" t="s">
        <v>608</v>
      </c>
      <c r="D924" s="1" t="s">
        <v>245</v>
      </c>
      <c r="E924" s="1" t="s">
        <v>215</v>
      </c>
      <c r="F924" s="83">
        <v>5</v>
      </c>
      <c r="G924" s="92">
        <v>2270</v>
      </c>
      <c r="H924" s="3">
        <v>5.9</v>
      </c>
      <c r="I924" s="3">
        <v>10680.35</v>
      </c>
      <c r="J924" s="1" t="s">
        <v>87</v>
      </c>
      <c r="K924" s="1" t="s">
        <v>88</v>
      </c>
      <c r="L924" t="str">
        <f>VLOOKUP(D924, Products!A:C, 3, FALSE)</f>
        <v>Grocery</v>
      </c>
      <c r="M924" t="str">
        <f>VLOOKUP(C924, Customers!A:E, 5, FALSE)</f>
        <v>Corporate</v>
      </c>
      <c r="N924">
        <f>VLOOKUP(C924, Customers!A:E, 3, FALSE)</f>
        <v>40</v>
      </c>
      <c r="O924" s="93" t="str">
        <f>VLOOKUP(E924, Sales_Reps!A:C, 3, FALSE)</f>
        <v>North</v>
      </c>
      <c r="P924">
        <f>VLOOKUP(D924, Products!A:E, 4, FALSE)</f>
        <v>1412</v>
      </c>
      <c r="Q924">
        <f>IF(COUNTIF($A$2:A924, A924)=2, 1, 0)</f>
        <v>0</v>
      </c>
      <c r="R924">
        <f>IF(ISNA(MATCH(C924, Customers!$A:$A, 0)), 1, 0)</f>
        <v>0</v>
      </c>
      <c r="S924" s="94" t="b">
        <f>VLOOKUP(D924, Products!A:F, 6, FALSE)</f>
        <v>1</v>
      </c>
    </row>
    <row r="925" spans="1:19">
      <c r="A925" s="102" t="s">
        <v>1404</v>
      </c>
      <c r="B925" s="2">
        <v>45625</v>
      </c>
      <c r="C925" s="1" t="s">
        <v>990</v>
      </c>
      <c r="D925" s="1" t="s">
        <v>131</v>
      </c>
      <c r="E925" s="1" t="s">
        <v>273</v>
      </c>
      <c r="F925" s="83">
        <v>1</v>
      </c>
      <c r="G925" s="92">
        <v>2270</v>
      </c>
      <c r="H925" s="3">
        <v>14.9</v>
      </c>
      <c r="I925" s="3">
        <v>1931.77</v>
      </c>
      <c r="J925" s="1" t="s">
        <v>87</v>
      </c>
      <c r="K925" s="1" t="s">
        <v>117</v>
      </c>
      <c r="L925" t="str">
        <f>VLOOKUP(D925, Products!A:C, 3, FALSE)</f>
        <v>Grocery</v>
      </c>
      <c r="M925" t="str">
        <f>VLOOKUP(C925, Customers!A:E, 5, FALSE)</f>
        <v>Retail</v>
      </c>
      <c r="N925">
        <f>VLOOKUP(C925, Customers!A:E, 3, FALSE)</f>
        <v>61</v>
      </c>
      <c r="O925" s="93" t="str">
        <f>VLOOKUP(E925, Sales_Reps!A:C, 3, FALSE)</f>
        <v>South</v>
      </c>
      <c r="P925">
        <f>VLOOKUP(D925, Products!A:E, 4, FALSE)</f>
        <v>1203</v>
      </c>
      <c r="Q925">
        <f>IF(COUNTIF($A$2:A925, A925)=2, 1, 0)</f>
        <v>0</v>
      </c>
      <c r="R925">
        <f>IF(ISNA(MATCH(C925, Customers!$A:$A, 0)), 1, 0)</f>
        <v>0</v>
      </c>
      <c r="S925" s="94" t="b">
        <f>VLOOKUP(D925, Products!A:F, 6, FALSE)</f>
        <v>1</v>
      </c>
    </row>
    <row r="926" spans="1:19">
      <c r="A926" s="102" t="s">
        <v>1405</v>
      </c>
      <c r="B926" s="2">
        <v>45579</v>
      </c>
      <c r="C926" s="1" t="s">
        <v>606</v>
      </c>
      <c r="D926" s="1" t="s">
        <v>452</v>
      </c>
      <c r="E926" s="1" t="s">
        <v>303</v>
      </c>
      <c r="F926" s="83">
        <v>4</v>
      </c>
      <c r="G926" s="92">
        <v>3450</v>
      </c>
      <c r="H926" s="3">
        <v>11.7</v>
      </c>
      <c r="I926" s="3">
        <v>12185.4</v>
      </c>
      <c r="J926" s="1" t="s">
        <v>140</v>
      </c>
      <c r="K926" s="1" t="s">
        <v>112</v>
      </c>
      <c r="L926" t="str">
        <f>VLOOKUP(D926, Products!A:C, 3, FALSE)</f>
        <v>Apparel</v>
      </c>
      <c r="M926" t="str">
        <f>VLOOKUP(C926, Customers!A:E, 5, FALSE)</f>
        <v>Retail</v>
      </c>
      <c r="N926">
        <f>VLOOKUP(C926, Customers!A:E, 3, FALSE)</f>
        <v>52</v>
      </c>
      <c r="O926" s="93" t="str">
        <f>VLOOKUP(E926, Sales_Reps!A:C, 3, FALSE)</f>
        <v>East</v>
      </c>
      <c r="P926">
        <f>VLOOKUP(D926, Products!A:E, 4, FALSE)</f>
        <v>1748</v>
      </c>
      <c r="Q926">
        <f>IF(COUNTIF($A$2:A926, A926)=2, 1, 0)</f>
        <v>0</v>
      </c>
      <c r="R926">
        <f>IF(ISNA(MATCH(C926, Customers!$A:$A, 0)), 1, 0)</f>
        <v>0</v>
      </c>
      <c r="S926" s="94" t="b">
        <f>VLOOKUP(D926, Products!A:F, 6, FALSE)</f>
        <v>1</v>
      </c>
    </row>
    <row r="927" spans="1:19">
      <c r="A927" s="102" t="s">
        <v>1406</v>
      </c>
      <c r="B927" s="2">
        <v>45323</v>
      </c>
      <c r="C927" s="1" t="s">
        <v>528</v>
      </c>
      <c r="D927" s="1" t="s">
        <v>276</v>
      </c>
      <c r="E927" s="1" t="s">
        <v>128</v>
      </c>
      <c r="F927" s="83">
        <v>7</v>
      </c>
      <c r="G927" s="92">
        <v>3020</v>
      </c>
      <c r="H927" s="3">
        <v>18.8</v>
      </c>
      <c r="I927" s="3">
        <v>17165.68</v>
      </c>
      <c r="J927" s="1" t="s">
        <v>87</v>
      </c>
      <c r="K927" s="1" t="s">
        <v>112</v>
      </c>
      <c r="L927" t="str">
        <f>VLOOKUP(D927, Products!A:C, 3, FALSE)</f>
        <v>Beauty</v>
      </c>
      <c r="M927" t="str">
        <f>VLOOKUP(C927, Customers!A:E, 5, FALSE)</f>
        <v>Retail</v>
      </c>
      <c r="N927">
        <f>VLOOKUP(C927, Customers!A:E, 3, FALSE)</f>
        <v>44</v>
      </c>
      <c r="O927" s="93" t="str">
        <f>VLOOKUP(E927, Sales_Reps!A:C, 3, FALSE)</f>
        <v>West</v>
      </c>
      <c r="P927">
        <f>VLOOKUP(D927, Products!A:E, 4, FALSE)</f>
        <v>1626</v>
      </c>
      <c r="Q927">
        <f>IF(COUNTIF($A$2:A927, A927)=2, 1, 0)</f>
        <v>0</v>
      </c>
      <c r="R927">
        <f>IF(ISNA(MATCH(C927, Customers!$A:$A, 0)), 1, 0)</f>
        <v>0</v>
      </c>
      <c r="S927" s="94" t="b">
        <f>VLOOKUP(D927, Products!A:F, 6, FALSE)</f>
        <v>1</v>
      </c>
    </row>
    <row r="928" spans="1:19">
      <c r="A928" s="102" t="s">
        <v>1407</v>
      </c>
      <c r="B928" s="2">
        <v>45613</v>
      </c>
      <c r="C928" s="1" t="s">
        <v>870</v>
      </c>
      <c r="D928" s="1" t="s">
        <v>295</v>
      </c>
      <c r="E928" s="1" t="s">
        <v>346</v>
      </c>
      <c r="F928" s="83">
        <v>4</v>
      </c>
      <c r="G928" s="92">
        <v>2030</v>
      </c>
      <c r="H928" s="3">
        <v>25.7</v>
      </c>
      <c r="I928" s="3">
        <v>6033.16</v>
      </c>
      <c r="J928" s="1" t="s">
        <v>87</v>
      </c>
      <c r="K928" s="1" t="s">
        <v>117</v>
      </c>
      <c r="L928" t="str">
        <f>VLOOKUP(D928, Products!A:C, 3, FALSE)</f>
        <v>Home</v>
      </c>
      <c r="M928" t="str">
        <f>VLOOKUP(C928, Customers!A:E, 5, FALSE)</f>
        <v>Retail</v>
      </c>
      <c r="N928">
        <f>VLOOKUP(C928, Customers!A:E, 3, FALSE)</f>
        <v>47</v>
      </c>
      <c r="O928" s="93" t="str">
        <f>VLOOKUP(E928, Sales_Reps!A:C, 3, FALSE)</f>
        <v>South</v>
      </c>
      <c r="P928">
        <f>VLOOKUP(D928, Products!A:E, 4, FALSE)</f>
        <v>1143</v>
      </c>
      <c r="Q928">
        <f>IF(COUNTIF($A$2:A928, A928)=2, 1, 0)</f>
        <v>0</v>
      </c>
      <c r="R928">
        <f>IF(ISNA(MATCH(C928, Customers!$A:$A, 0)), 1, 0)</f>
        <v>0</v>
      </c>
      <c r="S928" s="94" t="b">
        <f>VLOOKUP(D928, Products!A:F, 6, FALSE)</f>
        <v>1</v>
      </c>
    </row>
    <row r="929" spans="1:19">
      <c r="A929" s="102" t="s">
        <v>1408</v>
      </c>
      <c r="B929" s="2">
        <v>45362</v>
      </c>
      <c r="C929" s="1" t="s">
        <v>289</v>
      </c>
      <c r="D929" s="1" t="s">
        <v>452</v>
      </c>
      <c r="E929" s="1" t="s">
        <v>98</v>
      </c>
      <c r="F929" s="83">
        <v>4</v>
      </c>
      <c r="G929" s="92">
        <v>3450</v>
      </c>
      <c r="H929" s="3">
        <v>3.9</v>
      </c>
      <c r="I929" s="3">
        <v>13261.8</v>
      </c>
      <c r="J929" s="1" t="s">
        <v>87</v>
      </c>
      <c r="K929" s="1" t="s">
        <v>94</v>
      </c>
      <c r="L929" t="str">
        <f>VLOOKUP(D929, Products!A:C, 3, FALSE)</f>
        <v>Apparel</v>
      </c>
      <c r="M929" t="str">
        <f>VLOOKUP(C929, Customers!A:E, 5, FALSE)</f>
        <v>Retail</v>
      </c>
      <c r="N929">
        <f>VLOOKUP(C929, Customers!A:E, 3, FALSE)</f>
        <v>38</v>
      </c>
      <c r="O929" s="93" t="str">
        <f>VLOOKUP(E929, Sales_Reps!A:C, 3, FALSE)</f>
        <v>South</v>
      </c>
      <c r="P929">
        <f>VLOOKUP(D929, Products!A:E, 4, FALSE)</f>
        <v>1748</v>
      </c>
      <c r="Q929">
        <f>IF(COUNTIF($A$2:A929, A929)=2, 1, 0)</f>
        <v>0</v>
      </c>
      <c r="R929">
        <f>IF(ISNA(MATCH(C929, Customers!$A:$A, 0)), 1, 0)</f>
        <v>0</v>
      </c>
      <c r="S929" s="94" t="b">
        <f>VLOOKUP(D929, Products!A:F, 6, FALSE)</f>
        <v>1</v>
      </c>
    </row>
    <row r="930" spans="1:19">
      <c r="A930" s="102" t="s">
        <v>1409</v>
      </c>
      <c r="B930" s="2">
        <v>45347</v>
      </c>
      <c r="C930" s="1" t="s">
        <v>528</v>
      </c>
      <c r="D930" s="1" t="s">
        <v>380</v>
      </c>
      <c r="E930" s="1" t="s">
        <v>128</v>
      </c>
      <c r="F930" s="83">
        <v>5</v>
      </c>
      <c r="G930" s="92">
        <v>960</v>
      </c>
      <c r="H930" s="3">
        <v>8</v>
      </c>
      <c r="I930" s="3">
        <v>4416</v>
      </c>
      <c r="J930" s="1" t="s">
        <v>87</v>
      </c>
      <c r="K930" s="1" t="s">
        <v>112</v>
      </c>
      <c r="L930" t="str">
        <f>VLOOKUP(D930, Products!A:C, 3, FALSE)</f>
        <v>Beauty</v>
      </c>
      <c r="M930" t="str">
        <f>VLOOKUP(C930, Customers!A:E, 5, FALSE)</f>
        <v>Retail</v>
      </c>
      <c r="N930">
        <f>VLOOKUP(C930, Customers!A:E, 3, FALSE)</f>
        <v>44</v>
      </c>
      <c r="O930" s="93" t="str">
        <f>VLOOKUP(E930, Sales_Reps!A:C, 3, FALSE)</f>
        <v>West</v>
      </c>
      <c r="P930">
        <f>VLOOKUP(D930, Products!A:E, 4, FALSE)</f>
        <v>675</v>
      </c>
      <c r="Q930">
        <f>IF(COUNTIF($A$2:A930, A930)=2, 1, 0)</f>
        <v>0</v>
      </c>
      <c r="R930">
        <f>IF(ISNA(MATCH(C930, Customers!$A:$A, 0)), 1, 0)</f>
        <v>0</v>
      </c>
      <c r="S930" s="94" t="b">
        <f>VLOOKUP(D930, Products!A:F, 6, FALSE)</f>
        <v>1</v>
      </c>
    </row>
    <row r="931" spans="1:19">
      <c r="A931" s="102" t="s">
        <v>1410</v>
      </c>
      <c r="B931" s="2">
        <v>45550</v>
      </c>
      <c r="C931" s="1" t="s">
        <v>96</v>
      </c>
      <c r="D931" s="1" t="s">
        <v>408</v>
      </c>
      <c r="E931" s="1" t="s">
        <v>215</v>
      </c>
      <c r="F931" s="83">
        <v>7</v>
      </c>
      <c r="G931" s="92">
        <v>3970</v>
      </c>
      <c r="H931" s="3">
        <v>11.7</v>
      </c>
      <c r="I931" s="3">
        <v>24538.57</v>
      </c>
      <c r="J931" s="1" t="s">
        <v>87</v>
      </c>
      <c r="K931" s="1" t="s">
        <v>99</v>
      </c>
      <c r="L931" t="str">
        <f>VLOOKUP(D931, Products!A:C, 3, FALSE)</f>
        <v>Electronics</v>
      </c>
      <c r="M931" t="str">
        <f>VLOOKUP(C931, Customers!A:E, 5, FALSE)</f>
        <v>Retail</v>
      </c>
      <c r="N931">
        <f>VLOOKUP(C931, Customers!A:E, 3, FALSE)</f>
        <v>52</v>
      </c>
      <c r="O931" s="93" t="str">
        <f>VLOOKUP(E931, Sales_Reps!A:C, 3, FALSE)</f>
        <v>North</v>
      </c>
      <c r="P931">
        <f>VLOOKUP(D931, Products!A:E, 4, FALSE)</f>
        <v>2865</v>
      </c>
      <c r="Q931">
        <f>IF(COUNTIF($A$2:A931, A931)=2, 1, 0)</f>
        <v>0</v>
      </c>
      <c r="R931">
        <f>IF(ISNA(MATCH(C931, Customers!$A:$A, 0)), 1, 0)</f>
        <v>0</v>
      </c>
      <c r="S931" s="94" t="b">
        <f>VLOOKUP(D931, Products!A:F, 6, FALSE)</f>
        <v>1</v>
      </c>
    </row>
    <row r="932" spans="1:19">
      <c r="A932" s="102" t="s">
        <v>1411</v>
      </c>
      <c r="B932" s="2">
        <v>45554</v>
      </c>
      <c r="C932" s="1" t="s">
        <v>305</v>
      </c>
      <c r="D932" s="1" t="s">
        <v>360</v>
      </c>
      <c r="E932" s="1" t="s">
        <v>201</v>
      </c>
      <c r="F932" s="83">
        <v>3</v>
      </c>
      <c r="G932" s="92">
        <v>5410</v>
      </c>
      <c r="H932" s="3">
        <v>10</v>
      </c>
      <c r="I932" s="3">
        <v>14607</v>
      </c>
      <c r="J932" s="1" t="s">
        <v>87</v>
      </c>
      <c r="K932" s="1" t="s">
        <v>133</v>
      </c>
      <c r="L932" t="str">
        <f>VLOOKUP(D932, Products!A:C, 3, FALSE)</f>
        <v>Sports</v>
      </c>
      <c r="M932" t="str">
        <f>VLOOKUP(C932, Customers!A:E, 5, FALSE)</f>
        <v>Corporate</v>
      </c>
      <c r="N932">
        <f>VLOOKUP(C932, Customers!A:E, 3, FALSE)</f>
        <v>46</v>
      </c>
      <c r="O932" s="93" t="str">
        <f>VLOOKUP(E932, Sales_Reps!A:C, 3, FALSE)</f>
        <v>West</v>
      </c>
      <c r="P932">
        <f>VLOOKUP(D932, Products!A:E, 4, FALSE)</f>
        <v>2265</v>
      </c>
      <c r="Q932">
        <f>IF(COUNTIF($A$2:A932, A932)=2, 1, 0)</f>
        <v>0</v>
      </c>
      <c r="R932">
        <f>IF(ISNA(MATCH(C932, Customers!$A:$A, 0)), 1, 0)</f>
        <v>0</v>
      </c>
      <c r="S932" s="94" t="b">
        <f>VLOOKUP(D932, Products!A:F, 6, FALSE)</f>
        <v>1</v>
      </c>
    </row>
    <row r="933" spans="1:19">
      <c r="A933" s="102" t="s">
        <v>1412</v>
      </c>
      <c r="B933" s="2">
        <v>45428</v>
      </c>
      <c r="C933" s="1" t="s">
        <v>460</v>
      </c>
      <c r="D933" s="1" t="s">
        <v>187</v>
      </c>
      <c r="E933" s="1" t="s">
        <v>86</v>
      </c>
      <c r="F933" s="83">
        <v>8</v>
      </c>
      <c r="G933" s="92">
        <v>3570</v>
      </c>
      <c r="H933" s="3">
        <v>8.5</v>
      </c>
      <c r="I933" s="3">
        <v>26132.400000000001</v>
      </c>
      <c r="J933" s="1" t="s">
        <v>87</v>
      </c>
      <c r="K933" s="1" t="s">
        <v>88</v>
      </c>
      <c r="L933" t="str">
        <f>VLOOKUP(D933, Products!A:C, 3, FALSE)</f>
        <v>Electronics</v>
      </c>
      <c r="M933" t="str">
        <f>VLOOKUP(C933, Customers!A:E, 5, FALSE)</f>
        <v>Corporate</v>
      </c>
      <c r="N933">
        <f>VLOOKUP(C933, Customers!A:E, 3, FALSE)</f>
        <v>37</v>
      </c>
      <c r="O933" s="93" t="str">
        <f>VLOOKUP(E933, Sales_Reps!A:C, 3, FALSE)</f>
        <v>North</v>
      </c>
      <c r="P933">
        <f>VLOOKUP(D933, Products!A:E, 4, FALSE)</f>
        <v>1665</v>
      </c>
      <c r="Q933">
        <f>IF(COUNTIF($A$2:A933, A933)=2, 1, 0)</f>
        <v>0</v>
      </c>
      <c r="R933">
        <f>IF(ISNA(MATCH(C933, Customers!$A:$A, 0)), 1, 0)</f>
        <v>0</v>
      </c>
      <c r="S933" s="94" t="b">
        <f>VLOOKUP(D933, Products!A:F, 6, FALSE)</f>
        <v>1</v>
      </c>
    </row>
    <row r="934" spans="1:19">
      <c r="A934" s="102" t="s">
        <v>1413</v>
      </c>
      <c r="B934" s="2">
        <v>45517</v>
      </c>
      <c r="C934" s="1" t="s">
        <v>228</v>
      </c>
      <c r="D934" s="1" t="s">
        <v>138</v>
      </c>
      <c r="E934" s="1" t="s">
        <v>98</v>
      </c>
      <c r="F934" s="83">
        <v>7</v>
      </c>
      <c r="G934" s="92">
        <v>2600</v>
      </c>
      <c r="H934" s="3">
        <v>27.1</v>
      </c>
      <c r="I934" s="3">
        <v>13267.8</v>
      </c>
      <c r="J934" s="1" t="s">
        <v>87</v>
      </c>
      <c r="K934" s="1" t="s">
        <v>112</v>
      </c>
      <c r="L934" t="str">
        <f>VLOOKUP(D934, Products!A:C, 3, FALSE)</f>
        <v>Electronics</v>
      </c>
      <c r="M934" t="str">
        <f>VLOOKUP(C934, Customers!A:E, 5, FALSE)</f>
        <v>SMB</v>
      </c>
      <c r="N934">
        <f>VLOOKUP(C934, Customers!A:E, 3, FALSE)</f>
        <v>54</v>
      </c>
      <c r="O934" s="93" t="str">
        <f>VLOOKUP(E934, Sales_Reps!A:C, 3, FALSE)</f>
        <v>South</v>
      </c>
      <c r="P934">
        <f>VLOOKUP(D934, Products!A:E, 4, FALSE)</f>
        <v>1052</v>
      </c>
      <c r="Q934">
        <f>IF(COUNTIF($A$2:A934, A934)=2, 1, 0)</f>
        <v>0</v>
      </c>
      <c r="R934">
        <f>IF(ISNA(MATCH(C934, Customers!$A:$A, 0)), 1, 0)</f>
        <v>0</v>
      </c>
      <c r="S934" s="94" t="b">
        <f>VLOOKUP(D934, Products!A:F, 6, FALSE)</f>
        <v>1</v>
      </c>
    </row>
    <row r="935" spans="1:19">
      <c r="A935" s="102" t="s">
        <v>1414</v>
      </c>
      <c r="B935" s="2">
        <v>45442</v>
      </c>
      <c r="C935" s="1" t="s">
        <v>266</v>
      </c>
      <c r="D935" s="1" t="s">
        <v>97</v>
      </c>
      <c r="E935" s="1" t="s">
        <v>201</v>
      </c>
      <c r="F935" s="83">
        <v>6</v>
      </c>
      <c r="G935" s="92">
        <v>470</v>
      </c>
      <c r="H935" s="3">
        <v>2.4</v>
      </c>
      <c r="I935" s="3">
        <v>2752.32</v>
      </c>
      <c r="J935" s="1" t="s">
        <v>93</v>
      </c>
      <c r="K935" s="1" t="s">
        <v>99</v>
      </c>
      <c r="L935" t="str">
        <f>VLOOKUP(D935, Products!A:C, 3, FALSE)</f>
        <v>Sports</v>
      </c>
      <c r="M935" t="str">
        <f>VLOOKUP(C935, Customers!A:E, 5, FALSE)</f>
        <v>Corporate</v>
      </c>
      <c r="N935">
        <f>VLOOKUP(C935, Customers!A:E, 3, FALSE)</f>
        <v>55</v>
      </c>
      <c r="O935" s="93" t="str">
        <f>VLOOKUP(E935, Sales_Reps!A:C, 3, FALSE)</f>
        <v>West</v>
      </c>
      <c r="P935">
        <f>VLOOKUP(D935, Products!A:E, 4, FALSE)</f>
        <v>302</v>
      </c>
      <c r="Q935">
        <f>IF(COUNTIF($A$2:A935, A935)=2, 1, 0)</f>
        <v>0</v>
      </c>
      <c r="R935">
        <f>IF(ISNA(MATCH(C935, Customers!$A:$A, 0)), 1, 0)</f>
        <v>0</v>
      </c>
      <c r="S935" s="94" t="b">
        <f>VLOOKUP(D935, Products!A:F, 6, FALSE)</f>
        <v>0</v>
      </c>
    </row>
    <row r="936" spans="1:19">
      <c r="A936" s="102" t="s">
        <v>1415</v>
      </c>
      <c r="B936" s="2">
        <v>45371</v>
      </c>
      <c r="C936" s="1" t="s">
        <v>759</v>
      </c>
      <c r="D936" s="1" t="s">
        <v>97</v>
      </c>
      <c r="E936" s="1" t="s">
        <v>111</v>
      </c>
      <c r="F936" s="83">
        <v>3</v>
      </c>
      <c r="G936" s="92">
        <v>470</v>
      </c>
      <c r="H936" s="3">
        <v>6.3</v>
      </c>
      <c r="I936" s="3">
        <v>1321.17</v>
      </c>
      <c r="J936" s="1" t="s">
        <v>87</v>
      </c>
      <c r="K936" s="1" t="s">
        <v>117</v>
      </c>
      <c r="L936" t="str">
        <f>VLOOKUP(D936, Products!A:C, 3, FALSE)</f>
        <v>Sports</v>
      </c>
      <c r="M936" t="str">
        <f>VLOOKUP(C936, Customers!A:E, 5, FALSE)</f>
        <v>Retail</v>
      </c>
      <c r="N936">
        <f>VLOOKUP(C936, Customers!A:E, 3, FALSE)</f>
        <v>29</v>
      </c>
      <c r="O936" s="93" t="str">
        <f>VLOOKUP(E936, Sales_Reps!A:C, 3, FALSE)</f>
        <v>West</v>
      </c>
      <c r="P936">
        <f>VLOOKUP(D936, Products!A:E, 4, FALSE)</f>
        <v>302</v>
      </c>
      <c r="Q936">
        <f>IF(COUNTIF($A$2:A936, A936)=2, 1, 0)</f>
        <v>0</v>
      </c>
      <c r="R936">
        <f>IF(ISNA(MATCH(C936, Customers!$A:$A, 0)), 1, 0)</f>
        <v>0</v>
      </c>
      <c r="S936" s="94" t="b">
        <f>VLOOKUP(D936, Products!A:F, 6, FALSE)</f>
        <v>0</v>
      </c>
    </row>
    <row r="937" spans="1:19">
      <c r="A937" s="102" t="s">
        <v>1416</v>
      </c>
      <c r="B937" s="2">
        <v>45540</v>
      </c>
      <c r="C937" s="1" t="s">
        <v>1308</v>
      </c>
      <c r="D937" s="1" t="s">
        <v>461</v>
      </c>
      <c r="E937" s="1" t="s">
        <v>139</v>
      </c>
      <c r="F937" s="83">
        <v>3</v>
      </c>
      <c r="G937" s="92">
        <v>3780</v>
      </c>
      <c r="H937" s="3">
        <v>19.399999999999999</v>
      </c>
      <c r="I937" s="3">
        <v>9140.0400000000009</v>
      </c>
      <c r="J937" s="1" t="s">
        <v>93</v>
      </c>
      <c r="K937" s="1" t="s">
        <v>94</v>
      </c>
      <c r="L937" t="str">
        <f>VLOOKUP(D937, Products!A:C, 3, FALSE)</f>
        <v>Sports</v>
      </c>
      <c r="M937" t="str">
        <f>VLOOKUP(C937, Customers!A:E, 5, FALSE)</f>
        <v>SMB</v>
      </c>
      <c r="N937">
        <f>VLOOKUP(C937, Customers!A:E, 3, FALSE)</f>
        <v>51</v>
      </c>
      <c r="O937" s="93" t="str">
        <f>VLOOKUP(E937, Sales_Reps!A:C, 3, FALSE)</f>
        <v>North</v>
      </c>
      <c r="P937">
        <f>VLOOKUP(D937, Products!A:E, 4, FALSE)</f>
        <v>1860</v>
      </c>
      <c r="Q937">
        <f>IF(COUNTIF($A$2:A937, A937)=2, 1, 0)</f>
        <v>0</v>
      </c>
      <c r="R937">
        <f>IF(ISNA(MATCH(C937, Customers!$A:$A, 0)), 1, 0)</f>
        <v>0</v>
      </c>
      <c r="S937" s="94" t="b">
        <f>VLOOKUP(D937, Products!A:F, 6, FALSE)</f>
        <v>1</v>
      </c>
    </row>
    <row r="938" spans="1:19">
      <c r="A938" s="102" t="s">
        <v>1417</v>
      </c>
      <c r="B938" s="2">
        <v>45392</v>
      </c>
      <c r="C938" s="1" t="s">
        <v>126</v>
      </c>
      <c r="D938" s="1" t="s">
        <v>515</v>
      </c>
      <c r="E938" s="1" t="s">
        <v>121</v>
      </c>
      <c r="F938" s="83">
        <v>5</v>
      </c>
      <c r="G938" s="92">
        <v>6940</v>
      </c>
      <c r="H938" s="3">
        <v>12.6</v>
      </c>
      <c r="I938" s="3">
        <v>30327.8</v>
      </c>
      <c r="J938" s="1" t="s">
        <v>87</v>
      </c>
      <c r="K938" s="1" t="s">
        <v>88</v>
      </c>
      <c r="L938" t="str">
        <f>VLOOKUP(D938, Products!A:C, 3, FALSE)</f>
        <v>Sports</v>
      </c>
      <c r="M938" t="str">
        <f>VLOOKUP(C938, Customers!A:E, 5, FALSE)</f>
        <v>Retail</v>
      </c>
      <c r="N938">
        <f>VLOOKUP(C938, Customers!A:E, 3, FALSE)</f>
        <v>56</v>
      </c>
      <c r="O938" s="93" t="str">
        <f>VLOOKUP(E938, Sales_Reps!A:C, 3, FALSE)</f>
        <v>East</v>
      </c>
      <c r="P938">
        <f>VLOOKUP(D938, Products!A:E, 4, FALSE)</f>
        <v>2827</v>
      </c>
      <c r="Q938">
        <f>IF(COUNTIF($A$2:A938, A938)=2, 1, 0)</f>
        <v>0</v>
      </c>
      <c r="R938">
        <f>IF(ISNA(MATCH(C938, Customers!$A:$A, 0)), 1, 0)</f>
        <v>0</v>
      </c>
      <c r="S938" s="94" t="b">
        <f>VLOOKUP(D938, Products!A:F, 6, FALSE)</f>
        <v>1</v>
      </c>
    </row>
    <row r="939" spans="1:19">
      <c r="A939" s="102" t="s">
        <v>1418</v>
      </c>
      <c r="B939" s="2">
        <v>45386</v>
      </c>
      <c r="C939" s="1" t="s">
        <v>413</v>
      </c>
      <c r="D939" s="1" t="s">
        <v>248</v>
      </c>
      <c r="E939" s="1" t="s">
        <v>170</v>
      </c>
      <c r="F939" s="83">
        <v>2</v>
      </c>
      <c r="G939" s="92">
        <v>3870</v>
      </c>
      <c r="H939" s="3">
        <v>10.5</v>
      </c>
      <c r="I939" s="3">
        <v>6927.3</v>
      </c>
      <c r="J939" s="1" t="s">
        <v>87</v>
      </c>
      <c r="K939" s="1" t="s">
        <v>88</v>
      </c>
      <c r="L939" t="str">
        <f>VLOOKUP(D939, Products!A:C, 3, FALSE)</f>
        <v>Electronics</v>
      </c>
      <c r="M939" t="str">
        <f>VLOOKUP(C939, Customers!A:E, 5, FALSE)</f>
        <v>Retail</v>
      </c>
      <c r="N939">
        <f>VLOOKUP(C939, Customers!A:E, 3, FALSE)</f>
        <v>22</v>
      </c>
      <c r="O939" s="93" t="str">
        <f>VLOOKUP(E939, Sales_Reps!A:C, 3, FALSE)</f>
        <v>West</v>
      </c>
      <c r="P939">
        <f>VLOOKUP(D939, Products!A:E, 4, FALSE)</f>
        <v>1559</v>
      </c>
      <c r="Q939">
        <f>IF(COUNTIF($A$2:A939, A939)=2, 1, 0)</f>
        <v>0</v>
      </c>
      <c r="R939">
        <f>IF(ISNA(MATCH(C939, Customers!$A:$A, 0)), 1, 0)</f>
        <v>0</v>
      </c>
      <c r="S939" s="94" t="b">
        <f>VLOOKUP(D939, Products!A:F, 6, FALSE)</f>
        <v>1</v>
      </c>
    </row>
    <row r="940" spans="1:19">
      <c r="A940" s="102" t="s">
        <v>1419</v>
      </c>
      <c r="B940" s="2">
        <v>45516</v>
      </c>
      <c r="C940" s="1" t="s">
        <v>841</v>
      </c>
      <c r="D940" s="1" t="s">
        <v>360</v>
      </c>
      <c r="E940" s="1" t="s">
        <v>98</v>
      </c>
      <c r="F940" s="83">
        <v>8</v>
      </c>
      <c r="G940" s="92">
        <v>5410</v>
      </c>
      <c r="H940" s="3">
        <v>28.4</v>
      </c>
      <c r="I940" s="3">
        <v>30988.48</v>
      </c>
      <c r="J940" s="1" t="s">
        <v>93</v>
      </c>
      <c r="K940" s="1" t="s">
        <v>117</v>
      </c>
      <c r="L940" t="str">
        <f>VLOOKUP(D940, Products!A:C, 3, FALSE)</f>
        <v>Sports</v>
      </c>
      <c r="M940" t="str">
        <f>VLOOKUP(C940, Customers!A:E, 5, FALSE)</f>
        <v>Corporate</v>
      </c>
      <c r="N940">
        <f>VLOOKUP(C940, Customers!A:E, 3, FALSE)</f>
        <v>41</v>
      </c>
      <c r="O940" s="93" t="str">
        <f>VLOOKUP(E940, Sales_Reps!A:C, 3, FALSE)</f>
        <v>South</v>
      </c>
      <c r="P940">
        <f>VLOOKUP(D940, Products!A:E, 4, FALSE)</f>
        <v>2265</v>
      </c>
      <c r="Q940">
        <f>IF(COUNTIF($A$2:A940, A940)=2, 1, 0)</f>
        <v>0</v>
      </c>
      <c r="R940">
        <f>IF(ISNA(MATCH(C940, Customers!$A:$A, 0)), 1, 0)</f>
        <v>0</v>
      </c>
      <c r="S940" s="94" t="b">
        <f>VLOOKUP(D940, Products!A:F, 6, FALSE)</f>
        <v>1</v>
      </c>
    </row>
    <row r="941" spans="1:19">
      <c r="A941" s="102" t="s">
        <v>1420</v>
      </c>
      <c r="B941" s="2">
        <v>45618</v>
      </c>
      <c r="C941" s="1" t="s">
        <v>197</v>
      </c>
      <c r="D941" s="1" t="s">
        <v>408</v>
      </c>
      <c r="E941" s="1" t="s">
        <v>170</v>
      </c>
      <c r="F941" s="83">
        <v>7</v>
      </c>
      <c r="G941" s="92">
        <v>3970</v>
      </c>
      <c r="H941" s="3">
        <v>12.3</v>
      </c>
      <c r="I941" s="3">
        <v>24371.83</v>
      </c>
      <c r="J941" s="1" t="s">
        <v>87</v>
      </c>
      <c r="K941" s="1" t="s">
        <v>88</v>
      </c>
      <c r="L941" t="str">
        <f>VLOOKUP(D941, Products!A:C, 3, FALSE)</f>
        <v>Electronics</v>
      </c>
      <c r="M941" t="str">
        <f>VLOOKUP(C941, Customers!A:E, 5, FALSE)</f>
        <v>Corporate</v>
      </c>
      <c r="N941">
        <f>VLOOKUP(C941, Customers!A:E, 3, FALSE)</f>
        <v>47</v>
      </c>
      <c r="O941" s="93" t="str">
        <f>VLOOKUP(E941, Sales_Reps!A:C, 3, FALSE)</f>
        <v>West</v>
      </c>
      <c r="P941">
        <f>VLOOKUP(D941, Products!A:E, 4, FALSE)</f>
        <v>2865</v>
      </c>
      <c r="Q941">
        <f>IF(COUNTIF($A$2:A941, A941)=2, 1, 0)</f>
        <v>0</v>
      </c>
      <c r="R941">
        <f>IF(ISNA(MATCH(C941, Customers!$A:$A, 0)), 1, 0)</f>
        <v>0</v>
      </c>
      <c r="S941" s="94" t="b">
        <f>VLOOKUP(D941, Products!A:F, 6, FALSE)</f>
        <v>1</v>
      </c>
    </row>
    <row r="942" spans="1:19">
      <c r="A942" s="102" t="s">
        <v>1421</v>
      </c>
      <c r="B942" s="2">
        <v>45610</v>
      </c>
      <c r="C942" s="1" t="s">
        <v>615</v>
      </c>
      <c r="D942" s="1" t="s">
        <v>515</v>
      </c>
      <c r="E942" s="1" t="s">
        <v>215</v>
      </c>
      <c r="F942" s="83">
        <v>5</v>
      </c>
      <c r="G942" s="92">
        <v>6940</v>
      </c>
      <c r="H942" s="3">
        <v>1.5</v>
      </c>
      <c r="I942" s="3">
        <v>34179.5</v>
      </c>
      <c r="J942" s="1" t="s">
        <v>87</v>
      </c>
      <c r="K942" s="1" t="s">
        <v>112</v>
      </c>
      <c r="L942" t="str">
        <f>VLOOKUP(D942, Products!A:C, 3, FALSE)</f>
        <v>Sports</v>
      </c>
      <c r="M942" t="str">
        <f>VLOOKUP(C942, Customers!A:E, 5, FALSE)</f>
        <v>Retail</v>
      </c>
      <c r="N942">
        <f>VLOOKUP(C942, Customers!A:E, 3, FALSE)</f>
        <v>53</v>
      </c>
      <c r="O942" s="93" t="str">
        <f>VLOOKUP(E942, Sales_Reps!A:C, 3, FALSE)</f>
        <v>North</v>
      </c>
      <c r="P942">
        <f>VLOOKUP(D942, Products!A:E, 4, FALSE)</f>
        <v>2827</v>
      </c>
      <c r="Q942">
        <f>IF(COUNTIF($A$2:A942, A942)=2, 1, 0)</f>
        <v>0</v>
      </c>
      <c r="R942">
        <f>IF(ISNA(MATCH(C942, Customers!$A:$A, 0)), 1, 0)</f>
        <v>0</v>
      </c>
      <c r="S942" s="94" t="b">
        <f>VLOOKUP(D942, Products!A:F, 6, FALSE)</f>
        <v>1</v>
      </c>
    </row>
    <row r="943" spans="1:19">
      <c r="A943" s="102" t="s">
        <v>1422</v>
      </c>
      <c r="B943" s="2">
        <v>45541</v>
      </c>
      <c r="C943" s="1" t="s">
        <v>1038</v>
      </c>
      <c r="D943" s="1" t="s">
        <v>106</v>
      </c>
      <c r="E943" s="1" t="s">
        <v>103</v>
      </c>
      <c r="F943" s="83">
        <v>7</v>
      </c>
      <c r="G943" s="92">
        <v>3160</v>
      </c>
      <c r="H943" s="3">
        <v>2.4</v>
      </c>
      <c r="I943" s="3">
        <v>21589.119999999999</v>
      </c>
      <c r="J943" s="1" t="s">
        <v>144</v>
      </c>
      <c r="K943" s="1" t="s">
        <v>117</v>
      </c>
      <c r="L943" t="str">
        <f>VLOOKUP(D943, Products!A:C, 3, FALSE)</f>
        <v>Apparel</v>
      </c>
      <c r="M943" t="str">
        <f>VLOOKUP(C943, Customers!A:E, 5, FALSE)</f>
        <v>Corporate</v>
      </c>
      <c r="N943">
        <f>VLOOKUP(C943, Customers!A:E, 3, FALSE)</f>
        <v>55</v>
      </c>
      <c r="O943" s="93" t="str">
        <f>VLOOKUP(E943, Sales_Reps!A:C, 3, FALSE)</f>
        <v>North</v>
      </c>
      <c r="P943">
        <f>VLOOKUP(D943, Products!A:E, 4, FALSE)</f>
        <v>1886</v>
      </c>
      <c r="Q943">
        <f>IF(COUNTIF($A$2:A943, A943)=2, 1, 0)</f>
        <v>0</v>
      </c>
      <c r="R943">
        <f>IF(ISNA(MATCH(C943, Customers!$A:$A, 0)), 1, 0)</f>
        <v>0</v>
      </c>
      <c r="S943" s="94" t="b">
        <f>VLOOKUP(D943, Products!A:F, 6, FALSE)</f>
        <v>1</v>
      </c>
    </row>
    <row r="944" spans="1:19">
      <c r="A944" s="102" t="s">
        <v>1423</v>
      </c>
      <c r="B944" s="2">
        <v>45497</v>
      </c>
      <c r="C944" s="1" t="s">
        <v>757</v>
      </c>
      <c r="D944" s="1" t="s">
        <v>91</v>
      </c>
      <c r="E944" s="1" t="s">
        <v>116</v>
      </c>
      <c r="F944" s="83">
        <v>2</v>
      </c>
      <c r="G944" s="92">
        <v>820</v>
      </c>
      <c r="H944" s="3">
        <v>8.1</v>
      </c>
      <c r="I944" s="3">
        <v>1507.16</v>
      </c>
      <c r="J944" s="1" t="s">
        <v>87</v>
      </c>
      <c r="K944" s="1" t="s">
        <v>117</v>
      </c>
      <c r="L944" t="str">
        <f>VLOOKUP(D944, Products!A:C, 3, FALSE)</f>
        <v>Apparel</v>
      </c>
      <c r="M944" t="str">
        <f>VLOOKUP(C944, Customers!A:E, 5, FALSE)</f>
        <v>Corporate</v>
      </c>
      <c r="N944">
        <f>VLOOKUP(C944, Customers!A:E, 3, FALSE)</f>
        <v>43</v>
      </c>
      <c r="O944" s="93" t="str">
        <f>VLOOKUP(E944, Sales_Reps!A:C, 3, FALSE)</f>
        <v>West</v>
      </c>
      <c r="P944">
        <f>VLOOKUP(D944, Products!A:E, 4, FALSE)</f>
        <v>391</v>
      </c>
      <c r="Q944">
        <f>IF(COUNTIF($A$2:A944, A944)=2, 1, 0)</f>
        <v>0</v>
      </c>
      <c r="R944">
        <f>IF(ISNA(MATCH(C944, Customers!$A:$A, 0)), 1, 0)</f>
        <v>0</v>
      </c>
      <c r="S944" s="94" t="b">
        <f>VLOOKUP(D944, Products!A:F, 6, FALSE)</f>
        <v>1</v>
      </c>
    </row>
    <row r="945" spans="1:19">
      <c r="A945" s="102" t="s">
        <v>1424</v>
      </c>
      <c r="B945" s="2">
        <v>45567</v>
      </c>
      <c r="C945" s="1" t="s">
        <v>250</v>
      </c>
      <c r="D945" s="1" t="s">
        <v>259</v>
      </c>
      <c r="E945" s="1" t="s">
        <v>170</v>
      </c>
      <c r="F945" s="83">
        <v>2</v>
      </c>
      <c r="G945" s="92">
        <v>1540</v>
      </c>
      <c r="H945" s="3">
        <v>17.7</v>
      </c>
      <c r="I945" s="3">
        <v>2534.84</v>
      </c>
      <c r="J945" s="1" t="s">
        <v>87</v>
      </c>
      <c r="K945" s="1" t="s">
        <v>117</v>
      </c>
      <c r="L945" t="str">
        <f>VLOOKUP(D945, Products!A:C, 3, FALSE)</f>
        <v>Beauty</v>
      </c>
      <c r="M945" t="str">
        <f>VLOOKUP(C945, Customers!A:E, 5, FALSE)</f>
        <v>SMB</v>
      </c>
      <c r="N945">
        <f>VLOOKUP(C945, Customers!A:E, 3, FALSE)</f>
        <v>34</v>
      </c>
      <c r="O945" s="93" t="str">
        <f>VLOOKUP(E945, Sales_Reps!A:C, 3, FALSE)</f>
        <v>West</v>
      </c>
      <c r="P945">
        <f>VLOOKUP(D945, Products!A:E, 4, FALSE)</f>
        <v>647</v>
      </c>
      <c r="Q945">
        <f>IF(COUNTIF($A$2:A945, A945)=2, 1, 0)</f>
        <v>0</v>
      </c>
      <c r="R945">
        <f>IF(ISNA(MATCH(C945, Customers!$A:$A, 0)), 1, 0)</f>
        <v>0</v>
      </c>
      <c r="S945" s="94" t="b">
        <f>VLOOKUP(D945, Products!A:F, 6, FALSE)</f>
        <v>0</v>
      </c>
    </row>
    <row r="946" spans="1:19">
      <c r="A946" s="102" t="s">
        <v>1425</v>
      </c>
      <c r="B946" s="2">
        <v>45451</v>
      </c>
      <c r="C946" s="1" t="s">
        <v>759</v>
      </c>
      <c r="D946" s="1" t="s">
        <v>248</v>
      </c>
      <c r="E946" s="1" t="s">
        <v>215</v>
      </c>
      <c r="F946" s="83">
        <v>10</v>
      </c>
      <c r="G946" s="92">
        <v>3870</v>
      </c>
      <c r="H946" s="3">
        <v>12.2</v>
      </c>
      <c r="I946" s="3">
        <v>33978.6</v>
      </c>
      <c r="J946" s="1" t="s">
        <v>144</v>
      </c>
      <c r="K946" s="1" t="s">
        <v>117</v>
      </c>
      <c r="L946" t="str">
        <f>VLOOKUP(D946, Products!A:C, 3, FALSE)</f>
        <v>Electronics</v>
      </c>
      <c r="M946" t="str">
        <f>VLOOKUP(C946, Customers!A:E, 5, FALSE)</f>
        <v>Retail</v>
      </c>
      <c r="N946">
        <f>VLOOKUP(C946, Customers!A:E, 3, FALSE)</f>
        <v>29</v>
      </c>
      <c r="O946" s="93" t="str">
        <f>VLOOKUP(E946, Sales_Reps!A:C, 3, FALSE)</f>
        <v>North</v>
      </c>
      <c r="P946">
        <f>VLOOKUP(D946, Products!A:E, 4, FALSE)</f>
        <v>1559</v>
      </c>
      <c r="Q946">
        <f>IF(COUNTIF($A$2:A946, A946)=2, 1, 0)</f>
        <v>0</v>
      </c>
      <c r="R946">
        <f>IF(ISNA(MATCH(C946, Customers!$A:$A, 0)), 1, 0)</f>
        <v>0</v>
      </c>
      <c r="S946" s="94" t="b">
        <f>VLOOKUP(D946, Products!A:F, 6, FALSE)</f>
        <v>1</v>
      </c>
    </row>
    <row r="947" spans="1:19">
      <c r="A947" s="102" t="s">
        <v>1426</v>
      </c>
      <c r="B947" s="2">
        <v>45488</v>
      </c>
      <c r="C947" s="1" t="s">
        <v>392</v>
      </c>
      <c r="D947" s="1" t="s">
        <v>279</v>
      </c>
      <c r="E947" s="1" t="s">
        <v>297</v>
      </c>
      <c r="F947" s="83">
        <v>7</v>
      </c>
      <c r="G947" s="92">
        <v>2660</v>
      </c>
      <c r="H947" s="3">
        <v>4.7</v>
      </c>
      <c r="I947" s="3">
        <v>17744.86</v>
      </c>
      <c r="J947" s="1" t="s">
        <v>87</v>
      </c>
      <c r="K947" s="1" t="s">
        <v>112</v>
      </c>
      <c r="L947" t="str">
        <f>VLOOKUP(D947, Products!A:C, 3, FALSE)</f>
        <v>Electronics</v>
      </c>
      <c r="M947" t="str">
        <f>VLOOKUP(C947, Customers!A:E, 5, FALSE)</f>
        <v>Retail</v>
      </c>
      <c r="N947">
        <f>VLOOKUP(C947, Customers!A:E, 3, FALSE)</f>
        <v>50</v>
      </c>
      <c r="O947" s="93" t="str">
        <f>VLOOKUP(E947, Sales_Reps!A:C, 3, FALSE)</f>
        <v>North</v>
      </c>
      <c r="P947">
        <f>VLOOKUP(D947, Products!A:E, 4, FALSE)</f>
        <v>1259</v>
      </c>
      <c r="Q947">
        <f>IF(COUNTIF($A$2:A947, A947)=2, 1, 0)</f>
        <v>0</v>
      </c>
      <c r="R947">
        <f>IF(ISNA(MATCH(C947, Customers!$A:$A, 0)), 1, 0)</f>
        <v>0</v>
      </c>
      <c r="S947" s="94" t="b">
        <f>VLOOKUP(D947, Products!A:F, 6, FALSE)</f>
        <v>0</v>
      </c>
    </row>
    <row r="948" spans="1:19">
      <c r="A948" s="102" t="s">
        <v>1427</v>
      </c>
      <c r="B948" s="2">
        <v>45431</v>
      </c>
      <c r="C948" s="1" t="s">
        <v>401</v>
      </c>
      <c r="D948" s="1" t="s">
        <v>187</v>
      </c>
      <c r="E948" s="1" t="s">
        <v>204</v>
      </c>
      <c r="F948" s="83">
        <v>4</v>
      </c>
      <c r="G948" s="92">
        <v>3570</v>
      </c>
      <c r="H948" s="3">
        <v>19.3</v>
      </c>
      <c r="I948" s="3">
        <v>11523.96</v>
      </c>
      <c r="J948" s="1" t="s">
        <v>87</v>
      </c>
      <c r="K948" s="1" t="s">
        <v>94</v>
      </c>
      <c r="L948" t="str">
        <f>VLOOKUP(D948, Products!A:C, 3, FALSE)</f>
        <v>Electronics</v>
      </c>
      <c r="M948" t="str">
        <f>VLOOKUP(C948, Customers!A:E, 5, FALSE)</f>
        <v>SMB</v>
      </c>
      <c r="N948">
        <f>VLOOKUP(C948, Customers!A:E, 3, FALSE)</f>
        <v>51</v>
      </c>
      <c r="O948" s="93" t="str">
        <f>VLOOKUP(E948, Sales_Reps!A:C, 3, FALSE)</f>
        <v>South</v>
      </c>
      <c r="P948">
        <f>VLOOKUP(D948, Products!A:E, 4, FALSE)</f>
        <v>1665</v>
      </c>
      <c r="Q948">
        <f>IF(COUNTIF($A$2:A948, A948)=2, 1, 0)</f>
        <v>0</v>
      </c>
      <c r="R948">
        <f>IF(ISNA(MATCH(C948, Customers!$A:$A, 0)), 1, 0)</f>
        <v>0</v>
      </c>
      <c r="S948" s="94" t="b">
        <f>VLOOKUP(D948, Products!A:F, 6, FALSE)</f>
        <v>1</v>
      </c>
    </row>
    <row r="949" spans="1:19">
      <c r="A949" s="102" t="s">
        <v>1428</v>
      </c>
      <c r="B949" s="2">
        <v>45393</v>
      </c>
      <c r="C949" s="1" t="s">
        <v>186</v>
      </c>
      <c r="D949" s="1" t="s">
        <v>295</v>
      </c>
      <c r="E949" s="1" t="s">
        <v>297</v>
      </c>
      <c r="F949" s="83">
        <v>2</v>
      </c>
      <c r="G949" s="92">
        <v>2030</v>
      </c>
      <c r="H949" s="3">
        <v>2.6</v>
      </c>
      <c r="I949" s="3">
        <v>3954.44</v>
      </c>
      <c r="J949" s="1" t="s">
        <v>87</v>
      </c>
      <c r="K949" s="1" t="s">
        <v>94</v>
      </c>
      <c r="L949" t="str">
        <f>VLOOKUP(D949, Products!A:C, 3, FALSE)</f>
        <v>Home</v>
      </c>
      <c r="M949" t="str">
        <f>VLOOKUP(C949, Customers!A:E, 5, FALSE)</f>
        <v>SMB</v>
      </c>
      <c r="N949">
        <f>VLOOKUP(C949, Customers!A:E, 3, FALSE)</f>
        <v>52</v>
      </c>
      <c r="O949" s="93" t="str">
        <f>VLOOKUP(E949, Sales_Reps!A:C, 3, FALSE)</f>
        <v>North</v>
      </c>
      <c r="P949">
        <f>VLOOKUP(D949, Products!A:E, 4, FALSE)</f>
        <v>1143</v>
      </c>
      <c r="Q949">
        <f>IF(COUNTIF($A$2:A949, A949)=2, 1, 0)</f>
        <v>0</v>
      </c>
      <c r="R949">
        <f>IF(ISNA(MATCH(C949, Customers!$A:$A, 0)), 1, 0)</f>
        <v>0</v>
      </c>
      <c r="S949" s="94" t="b">
        <f>VLOOKUP(D949, Products!A:F, 6, FALSE)</f>
        <v>1</v>
      </c>
    </row>
    <row r="950" spans="1:19">
      <c r="A950" s="102" t="s">
        <v>1429</v>
      </c>
      <c r="B950" s="2">
        <v>45427</v>
      </c>
      <c r="C950" s="1" t="s">
        <v>454</v>
      </c>
      <c r="D950" s="1" t="s">
        <v>106</v>
      </c>
      <c r="E950" s="1" t="s">
        <v>252</v>
      </c>
      <c r="F950" s="83">
        <v>6</v>
      </c>
      <c r="G950" s="92">
        <v>3160</v>
      </c>
      <c r="H950" s="3">
        <v>25.8</v>
      </c>
      <c r="I950" s="3">
        <v>14068.32</v>
      </c>
      <c r="J950" s="1" t="s">
        <v>87</v>
      </c>
      <c r="K950" s="1" t="s">
        <v>133</v>
      </c>
      <c r="L950" t="str">
        <f>VLOOKUP(D950, Products!A:C, 3, FALSE)</f>
        <v>Apparel</v>
      </c>
      <c r="M950" t="str">
        <f>VLOOKUP(C950, Customers!A:E, 5, FALSE)</f>
        <v>Corporate</v>
      </c>
      <c r="N950">
        <f>VLOOKUP(C950, Customers!A:E, 3, FALSE)</f>
        <v>43</v>
      </c>
      <c r="O950" s="93" t="str">
        <f>VLOOKUP(E950, Sales_Reps!A:C, 3, FALSE)</f>
        <v>South</v>
      </c>
      <c r="P950">
        <f>VLOOKUP(D950, Products!A:E, 4, FALSE)</f>
        <v>1886</v>
      </c>
      <c r="Q950">
        <f>IF(COUNTIF($A$2:A950, A950)=2, 1, 0)</f>
        <v>0</v>
      </c>
      <c r="R950">
        <f>IF(ISNA(MATCH(C950, Customers!$A:$A, 0)), 1, 0)</f>
        <v>0</v>
      </c>
      <c r="S950" s="94" t="b">
        <f>VLOOKUP(D950, Products!A:F, 6, FALSE)</f>
        <v>1</v>
      </c>
    </row>
    <row r="951" spans="1:19">
      <c r="A951" s="102" t="s">
        <v>1430</v>
      </c>
      <c r="B951" s="2">
        <v>45591</v>
      </c>
      <c r="C951" s="1" t="s">
        <v>522</v>
      </c>
      <c r="D951" s="1" t="s">
        <v>443</v>
      </c>
      <c r="E951" s="1" t="s">
        <v>98</v>
      </c>
      <c r="F951" s="83">
        <v>4</v>
      </c>
      <c r="G951" s="92">
        <v>5080</v>
      </c>
      <c r="H951" s="3">
        <v>2</v>
      </c>
      <c r="I951" s="3">
        <v>19913.599999999999</v>
      </c>
      <c r="J951" s="1" t="s">
        <v>87</v>
      </c>
      <c r="K951" s="1" t="s">
        <v>1431</v>
      </c>
      <c r="L951" t="str">
        <f>VLOOKUP(D951, Products!A:C, 3, FALSE)</f>
        <v>Home</v>
      </c>
      <c r="M951" t="str">
        <f>VLOOKUP(C951, Customers!A:E, 5, FALSE)</f>
        <v>SMB</v>
      </c>
      <c r="N951">
        <f>VLOOKUP(C951, Customers!A:E, 3, FALSE)</f>
        <v>55</v>
      </c>
      <c r="O951" s="93" t="str">
        <f>VLOOKUP(E951, Sales_Reps!A:C, 3, FALSE)</f>
        <v>South</v>
      </c>
      <c r="P951">
        <f>VLOOKUP(D951, Products!A:E, 4, FALSE)</f>
        <v>2459</v>
      </c>
      <c r="Q951">
        <f>IF(COUNTIF($A$2:A951, A951)=2, 1, 0)</f>
        <v>0</v>
      </c>
      <c r="R951">
        <f>IF(ISNA(MATCH(C951, Customers!$A:$A, 0)), 1, 0)</f>
        <v>0</v>
      </c>
      <c r="S951" s="94" t="b">
        <f>VLOOKUP(D951, Products!A:F, 6, FALSE)</f>
        <v>1</v>
      </c>
    </row>
    <row r="952" spans="1:19">
      <c r="A952" s="102" t="s">
        <v>1432</v>
      </c>
      <c r="B952" s="2">
        <v>45327</v>
      </c>
      <c r="C952" s="1" t="s">
        <v>460</v>
      </c>
      <c r="D952" s="1" t="s">
        <v>157</v>
      </c>
      <c r="E952" s="1" t="s">
        <v>132</v>
      </c>
      <c r="F952" s="83">
        <v>6</v>
      </c>
      <c r="G952" s="92">
        <v>3450</v>
      </c>
      <c r="H952" s="3">
        <v>1.8</v>
      </c>
      <c r="I952" s="3">
        <v>20327.400000000001</v>
      </c>
      <c r="J952" s="1" t="s">
        <v>140</v>
      </c>
      <c r="K952" s="1" t="s">
        <v>88</v>
      </c>
      <c r="L952" t="str">
        <f>VLOOKUP(D952, Products!A:C, 3, FALSE)</f>
        <v>Beauty</v>
      </c>
      <c r="M952" t="str">
        <f>VLOOKUP(C952, Customers!A:E, 5, FALSE)</f>
        <v>Corporate</v>
      </c>
      <c r="N952">
        <f>VLOOKUP(C952, Customers!A:E, 3, FALSE)</f>
        <v>37</v>
      </c>
      <c r="O952" s="93" t="str">
        <f>VLOOKUP(E952, Sales_Reps!A:C, 3, FALSE)</f>
        <v>South</v>
      </c>
      <c r="P952">
        <f>VLOOKUP(D952, Products!A:E, 4, FALSE)</f>
        <v>2420</v>
      </c>
      <c r="Q952">
        <f>IF(COUNTIF($A$2:A952, A952)=2, 1, 0)</f>
        <v>0</v>
      </c>
      <c r="R952">
        <f>IF(ISNA(MATCH(C952, Customers!$A:$A, 0)), 1, 0)</f>
        <v>0</v>
      </c>
      <c r="S952" s="94" t="b">
        <f>VLOOKUP(D952, Products!A:F, 6, FALSE)</f>
        <v>1</v>
      </c>
    </row>
    <row r="953" spans="1:19">
      <c r="A953" s="102" t="s">
        <v>1433</v>
      </c>
      <c r="B953" s="2">
        <v>45575</v>
      </c>
      <c r="C953" s="1" t="s">
        <v>597</v>
      </c>
      <c r="D953" s="1" t="s">
        <v>161</v>
      </c>
      <c r="E953" s="1" t="s">
        <v>346</v>
      </c>
      <c r="F953" s="83">
        <v>3</v>
      </c>
      <c r="G953" s="92">
        <v>3450</v>
      </c>
      <c r="H953" s="3">
        <v>4.7</v>
      </c>
      <c r="I953" s="3">
        <v>9863.5499999999993</v>
      </c>
      <c r="J953" s="1" t="s">
        <v>93</v>
      </c>
      <c r="K953" s="1" t="s">
        <v>112</v>
      </c>
      <c r="L953" t="str">
        <f>VLOOKUP(D953, Products!A:C, 3, FALSE)</f>
        <v>Sports</v>
      </c>
      <c r="M953" t="str">
        <f>VLOOKUP(C953, Customers!A:E, 5, FALSE)</f>
        <v>Retail</v>
      </c>
      <c r="N953">
        <f>VLOOKUP(C953, Customers!A:E, 3, FALSE)</f>
        <v>39</v>
      </c>
      <c r="O953" s="93" t="str">
        <f>VLOOKUP(E953, Sales_Reps!A:C, 3, FALSE)</f>
        <v>South</v>
      </c>
      <c r="P953">
        <f>VLOOKUP(D953, Products!A:E, 4, FALSE)</f>
        <v>2467</v>
      </c>
      <c r="Q953">
        <f>IF(COUNTIF($A$2:A953, A953)=2, 1, 0)</f>
        <v>0</v>
      </c>
      <c r="R953">
        <f>IF(ISNA(MATCH(C953, Customers!$A:$A, 0)), 1, 0)</f>
        <v>0</v>
      </c>
      <c r="S953" s="94" t="b">
        <f>VLOOKUP(D953, Products!A:F, 6, FALSE)</f>
        <v>1</v>
      </c>
    </row>
    <row r="954" spans="1:19">
      <c r="A954" s="102" t="s">
        <v>1434</v>
      </c>
      <c r="B954" s="2">
        <v>45367</v>
      </c>
      <c r="C954" s="1" t="s">
        <v>208</v>
      </c>
      <c r="D954" s="1" t="s">
        <v>364</v>
      </c>
      <c r="E954" s="1" t="s">
        <v>343</v>
      </c>
      <c r="F954" s="83">
        <v>7</v>
      </c>
      <c r="G954" s="92">
        <v>5330</v>
      </c>
      <c r="H954" s="3">
        <v>16.399999999999999</v>
      </c>
      <c r="I954" s="3">
        <v>31191.16</v>
      </c>
      <c r="J954" s="1" t="s">
        <v>87</v>
      </c>
      <c r="K954" s="1" t="s">
        <v>133</v>
      </c>
      <c r="L954" t="str">
        <f>VLOOKUP(D954, Products!A:C, 3, FALSE)</f>
        <v>Electronics</v>
      </c>
      <c r="M954" t="str">
        <f>VLOOKUP(C954, Customers!A:E, 5, FALSE)</f>
        <v>Retail</v>
      </c>
      <c r="N954">
        <f>VLOOKUP(C954, Customers!A:E, 3, FALSE)</f>
        <v>26</v>
      </c>
      <c r="O954" s="93" t="str">
        <f>VLOOKUP(E954, Sales_Reps!A:C, 3, FALSE)</f>
        <v>West</v>
      </c>
      <c r="P954">
        <f>VLOOKUP(D954, Products!A:E, 4, FALSE)</f>
        <v>2405</v>
      </c>
      <c r="Q954">
        <f>IF(COUNTIF($A$2:A954, A954)=2, 1, 0)</f>
        <v>0</v>
      </c>
      <c r="R954">
        <f>IF(ISNA(MATCH(C954, Customers!$A:$A, 0)), 1, 0)</f>
        <v>0</v>
      </c>
      <c r="S954" s="94" t="b">
        <f>VLOOKUP(D954, Products!A:F, 6, FALSE)</f>
        <v>1</v>
      </c>
    </row>
    <row r="955" spans="1:19">
      <c r="A955" s="102" t="s">
        <v>1435</v>
      </c>
      <c r="B955" s="2">
        <v>45522</v>
      </c>
      <c r="C955" s="1" t="s">
        <v>606</v>
      </c>
      <c r="D955" s="1" t="s">
        <v>338</v>
      </c>
      <c r="E955" s="1" t="s">
        <v>148</v>
      </c>
      <c r="F955" s="83">
        <v>6</v>
      </c>
      <c r="G955" s="92">
        <v>2210</v>
      </c>
      <c r="H955" s="3">
        <v>13.1</v>
      </c>
      <c r="I955" s="3">
        <v>11522.94</v>
      </c>
      <c r="J955" s="1" t="s">
        <v>87</v>
      </c>
      <c r="K955" s="1" t="s">
        <v>112</v>
      </c>
      <c r="L955" t="str">
        <f>VLOOKUP(D955, Products!A:C, 3, FALSE)</f>
        <v>Grocery</v>
      </c>
      <c r="M955" t="str">
        <f>VLOOKUP(C955, Customers!A:E, 5, FALSE)</f>
        <v>Retail</v>
      </c>
      <c r="N955">
        <f>VLOOKUP(C955, Customers!A:E, 3, FALSE)</f>
        <v>52</v>
      </c>
      <c r="O955" s="93" t="str">
        <f>VLOOKUP(E955, Sales_Reps!A:C, 3, FALSE)</f>
        <v>North</v>
      </c>
      <c r="P955">
        <f>VLOOKUP(D955, Products!A:E, 4, FALSE)</f>
        <v>1010</v>
      </c>
      <c r="Q955">
        <f>IF(COUNTIF($A$2:A955, A955)=2, 1, 0)</f>
        <v>0</v>
      </c>
      <c r="R955">
        <f>IF(ISNA(MATCH(C955, Customers!$A:$A, 0)), 1, 0)</f>
        <v>0</v>
      </c>
      <c r="S955" s="94" t="b">
        <f>VLOOKUP(D955, Products!A:F, 6, FALSE)</f>
        <v>1</v>
      </c>
    </row>
    <row r="956" spans="1:19">
      <c r="A956" s="102" t="s">
        <v>1436</v>
      </c>
      <c r="B956" s="2">
        <v>45579</v>
      </c>
      <c r="C956" s="1" t="s">
        <v>447</v>
      </c>
      <c r="D956" s="1" t="s">
        <v>164</v>
      </c>
      <c r="E956" s="1" t="s">
        <v>201</v>
      </c>
      <c r="F956" s="83">
        <v>8</v>
      </c>
      <c r="G956" s="92">
        <v>1080</v>
      </c>
      <c r="H956" s="3">
        <v>8.6999999999999993</v>
      </c>
      <c r="I956" s="3">
        <v>7888.32</v>
      </c>
      <c r="J956" s="1" t="s">
        <v>87</v>
      </c>
      <c r="K956" s="1" t="s">
        <v>112</v>
      </c>
      <c r="L956" t="str">
        <f>VLOOKUP(D956, Products!A:C, 3, FALSE)</f>
        <v>Home</v>
      </c>
      <c r="M956" t="str">
        <f>VLOOKUP(C956, Customers!A:E, 5, FALSE)</f>
        <v>Retail</v>
      </c>
      <c r="N956">
        <f>VLOOKUP(C956, Customers!A:E, 3, FALSE)</f>
        <v>41</v>
      </c>
      <c r="O956" s="93" t="str">
        <f>VLOOKUP(E956, Sales_Reps!A:C, 3, FALSE)</f>
        <v>West</v>
      </c>
      <c r="P956">
        <f>VLOOKUP(D956, Products!A:E, 4, FALSE)</f>
        <v>519</v>
      </c>
      <c r="Q956">
        <f>IF(COUNTIF($A$2:A956, A956)=2, 1, 0)</f>
        <v>0</v>
      </c>
      <c r="R956">
        <f>IF(ISNA(MATCH(C956, Customers!$A:$A, 0)), 1, 0)</f>
        <v>0</v>
      </c>
      <c r="S956" s="94" t="b">
        <f>VLOOKUP(D956, Products!A:F, 6, FALSE)</f>
        <v>1</v>
      </c>
    </row>
    <row r="957" spans="1:19">
      <c r="A957" s="102" t="s">
        <v>1437</v>
      </c>
      <c r="B957" s="2">
        <v>45495</v>
      </c>
      <c r="C957" s="1" t="s">
        <v>376</v>
      </c>
      <c r="D957" s="1" t="s">
        <v>85</v>
      </c>
      <c r="E957" s="1" t="s">
        <v>188</v>
      </c>
      <c r="F957" s="83">
        <v>5</v>
      </c>
      <c r="G957" s="92">
        <v>3620</v>
      </c>
      <c r="H957" s="3">
        <v>16.100000000000001</v>
      </c>
      <c r="I957" s="3">
        <v>15185.9</v>
      </c>
      <c r="J957" s="1" t="s">
        <v>87</v>
      </c>
      <c r="K957" s="1" t="s">
        <v>117</v>
      </c>
      <c r="L957" t="str">
        <f>VLOOKUP(D957, Products!A:C, 3, FALSE)</f>
        <v>Apparel</v>
      </c>
      <c r="M957" t="str">
        <f>VLOOKUP(C957, Customers!A:E, 5, FALSE)</f>
        <v>SMB</v>
      </c>
      <c r="N957">
        <f>VLOOKUP(C957, Customers!A:E, 3, FALSE)</f>
        <v>44</v>
      </c>
      <c r="O957" s="93" t="str">
        <f>VLOOKUP(E957, Sales_Reps!A:C, 3, FALSE)</f>
        <v>South</v>
      </c>
      <c r="P957">
        <f>VLOOKUP(D957, Products!A:E, 4, FALSE)</f>
        <v>2509</v>
      </c>
      <c r="Q957">
        <f>IF(COUNTIF($A$2:A957, A957)=2, 1, 0)</f>
        <v>0</v>
      </c>
      <c r="R957">
        <f>IF(ISNA(MATCH(C957, Customers!$A:$A, 0)), 1, 0)</f>
        <v>0</v>
      </c>
      <c r="S957" s="94" t="b">
        <f>VLOOKUP(D957, Products!A:F, 6, FALSE)</f>
        <v>1</v>
      </c>
    </row>
    <row r="958" spans="1:19">
      <c r="A958" s="102" t="s">
        <v>1438</v>
      </c>
      <c r="B958" s="2">
        <v>45483</v>
      </c>
      <c r="C958" s="1" t="s">
        <v>109</v>
      </c>
      <c r="D958" s="1" t="s">
        <v>659</v>
      </c>
      <c r="E958" s="1" t="s">
        <v>273</v>
      </c>
      <c r="F958" s="83">
        <v>7</v>
      </c>
      <c r="G958" s="92">
        <v>3560</v>
      </c>
      <c r="H958" s="3">
        <v>8.5</v>
      </c>
      <c r="I958" s="3">
        <v>22801.8</v>
      </c>
      <c r="J958" s="1" t="s">
        <v>87</v>
      </c>
      <c r="K958" s="1" t="s">
        <v>112</v>
      </c>
      <c r="L958" t="str">
        <f>VLOOKUP(D958, Products!A:C, 3, FALSE)</f>
        <v>Apparel</v>
      </c>
      <c r="M958" t="str">
        <f>VLOOKUP(C958, Customers!A:E, 5, FALSE)</f>
        <v>Retail</v>
      </c>
      <c r="N958">
        <f>VLOOKUP(C958, Customers!A:E, 3, FALSE)</f>
        <v>36</v>
      </c>
      <c r="O958" s="93" t="str">
        <f>VLOOKUP(E958, Sales_Reps!A:C, 3, FALSE)</f>
        <v>South</v>
      </c>
      <c r="P958">
        <f>VLOOKUP(D958, Products!A:E, 4, FALSE)</f>
        <v>2629</v>
      </c>
      <c r="Q958">
        <f>IF(COUNTIF($A$2:A958, A958)=2, 1, 0)</f>
        <v>0</v>
      </c>
      <c r="R958">
        <f>IF(ISNA(MATCH(C958, Customers!$A:$A, 0)), 1, 0)</f>
        <v>0</v>
      </c>
      <c r="S958" s="94" t="b">
        <f>VLOOKUP(D958, Products!A:F, 6, FALSE)</f>
        <v>1</v>
      </c>
    </row>
    <row r="959" spans="1:19">
      <c r="A959" s="102" t="s">
        <v>1439</v>
      </c>
      <c r="B959" s="2">
        <v>45496</v>
      </c>
      <c r="C959" s="1" t="s">
        <v>301</v>
      </c>
      <c r="D959" s="1" t="s">
        <v>295</v>
      </c>
      <c r="E959" s="1" t="s">
        <v>111</v>
      </c>
      <c r="F959" s="83">
        <v>8</v>
      </c>
      <c r="G959" s="92">
        <v>2030</v>
      </c>
      <c r="H959" s="3">
        <v>18.100000000000001</v>
      </c>
      <c r="I959" s="3">
        <v>13300.56</v>
      </c>
      <c r="J959" s="1" t="s">
        <v>87</v>
      </c>
      <c r="K959" s="1" t="s">
        <v>94</v>
      </c>
      <c r="L959" t="str">
        <f>VLOOKUP(D959, Products!A:C, 3, FALSE)</f>
        <v>Home</v>
      </c>
      <c r="M959" t="str">
        <f>VLOOKUP(C959, Customers!A:E, 5, FALSE)</f>
        <v>Retail</v>
      </c>
      <c r="N959">
        <f>VLOOKUP(C959, Customers!A:E, 3, FALSE)</f>
        <v>41</v>
      </c>
      <c r="O959" s="93" t="str">
        <f>VLOOKUP(E959, Sales_Reps!A:C, 3, FALSE)</f>
        <v>West</v>
      </c>
      <c r="P959">
        <f>VLOOKUP(D959, Products!A:E, 4, FALSE)</f>
        <v>1143</v>
      </c>
      <c r="Q959">
        <f>IF(COUNTIF($A$2:A959, A959)=2, 1, 0)</f>
        <v>0</v>
      </c>
      <c r="R959">
        <f>IF(ISNA(MATCH(C959, Customers!$A:$A, 0)), 1, 0)</f>
        <v>0</v>
      </c>
      <c r="S959" s="94" t="b">
        <f>VLOOKUP(D959, Products!A:F, 6, FALSE)</f>
        <v>1</v>
      </c>
    </row>
    <row r="960" spans="1:19">
      <c r="A960" s="102" t="s">
        <v>1440</v>
      </c>
      <c r="B960" s="2">
        <v>45350</v>
      </c>
      <c r="C960" s="1" t="s">
        <v>1308</v>
      </c>
      <c r="D960" s="1" t="s">
        <v>176</v>
      </c>
      <c r="E960" s="1" t="s">
        <v>273</v>
      </c>
      <c r="F960" s="83">
        <v>10</v>
      </c>
      <c r="G960" s="92">
        <v>1650</v>
      </c>
      <c r="H960" s="3">
        <v>7.1</v>
      </c>
      <c r="I960" s="3">
        <v>15328.5</v>
      </c>
      <c r="J960" s="1" t="s">
        <v>87</v>
      </c>
      <c r="K960" s="1" t="s">
        <v>94</v>
      </c>
      <c r="L960" t="str">
        <f>VLOOKUP(D960, Products!A:C, 3, FALSE)</f>
        <v>Beauty</v>
      </c>
      <c r="M960" t="str">
        <f>VLOOKUP(C960, Customers!A:E, 5, FALSE)</f>
        <v>SMB</v>
      </c>
      <c r="N960">
        <f>VLOOKUP(C960, Customers!A:E, 3, FALSE)</f>
        <v>51</v>
      </c>
      <c r="O960" s="93" t="str">
        <f>VLOOKUP(E960, Sales_Reps!A:C, 3, FALSE)</f>
        <v>South</v>
      </c>
      <c r="P960">
        <f>VLOOKUP(D960, Products!A:E, 4, FALSE)</f>
        <v>1222</v>
      </c>
      <c r="Q960">
        <f>IF(COUNTIF($A$2:A960, A960)=2, 1, 0)</f>
        <v>0</v>
      </c>
      <c r="R960">
        <f>IF(ISNA(MATCH(C960, Customers!$A:$A, 0)), 1, 0)</f>
        <v>0</v>
      </c>
      <c r="S960" s="94" t="b">
        <f>VLOOKUP(D960, Products!A:F, 6, FALSE)</f>
        <v>1</v>
      </c>
    </row>
    <row r="961" spans="1:19">
      <c r="A961" s="102" t="s">
        <v>1441</v>
      </c>
      <c r="B961" s="2">
        <v>45517</v>
      </c>
      <c r="C961" s="1" t="s">
        <v>501</v>
      </c>
      <c r="D961" s="1" t="s">
        <v>200</v>
      </c>
      <c r="E961" s="1" t="s">
        <v>238</v>
      </c>
      <c r="F961" s="83">
        <v>4</v>
      </c>
      <c r="G961" s="92">
        <v>2760</v>
      </c>
      <c r="H961" s="3">
        <v>17.600000000000001</v>
      </c>
      <c r="I961" s="3">
        <v>9096.9599999999991</v>
      </c>
      <c r="J961" s="1" t="s">
        <v>140</v>
      </c>
      <c r="K961" s="1" t="s">
        <v>133</v>
      </c>
      <c r="L961" t="str">
        <f>VLOOKUP(D961, Products!A:C, 3, FALSE)</f>
        <v>Grocery</v>
      </c>
      <c r="M961" t="str">
        <f>VLOOKUP(C961, Customers!A:E, 5, FALSE)</f>
        <v>SMB</v>
      </c>
      <c r="N961">
        <f>VLOOKUP(C961, Customers!A:E, 3, FALSE)</f>
        <v>65</v>
      </c>
      <c r="O961" s="93" t="str">
        <f>VLOOKUP(E961, Sales_Reps!A:C, 3, FALSE)</f>
        <v>East</v>
      </c>
      <c r="P961">
        <f>VLOOKUP(D961, Products!A:E, 4, FALSE)</f>
        <v>1435</v>
      </c>
      <c r="Q961">
        <f>IF(COUNTIF($A$2:A961, A961)=2, 1, 0)</f>
        <v>0</v>
      </c>
      <c r="R961">
        <f>IF(ISNA(MATCH(C961, Customers!$A:$A, 0)), 1, 0)</f>
        <v>0</v>
      </c>
      <c r="S961" s="94" t="b">
        <f>VLOOKUP(D961, Products!A:F, 6, FALSE)</f>
        <v>1</v>
      </c>
    </row>
    <row r="962" spans="1:19">
      <c r="A962" s="102" t="s">
        <v>1442</v>
      </c>
      <c r="B962" s="2">
        <v>45460</v>
      </c>
      <c r="C962" s="1" t="s">
        <v>570</v>
      </c>
      <c r="D962" s="1" t="s">
        <v>408</v>
      </c>
      <c r="E962" s="1" t="s">
        <v>204</v>
      </c>
      <c r="F962" s="83">
        <v>4</v>
      </c>
      <c r="G962" s="92">
        <v>3970</v>
      </c>
      <c r="H962" s="3">
        <v>4.3</v>
      </c>
      <c r="I962" s="3">
        <v>15197.16</v>
      </c>
      <c r="J962" s="1" t="s">
        <v>87</v>
      </c>
      <c r="K962" s="1" t="s">
        <v>99</v>
      </c>
      <c r="L962" t="str">
        <f>VLOOKUP(D962, Products!A:C, 3, FALSE)</f>
        <v>Electronics</v>
      </c>
      <c r="M962" t="str">
        <f>VLOOKUP(C962, Customers!A:E, 5, FALSE)</f>
        <v>Corporate</v>
      </c>
      <c r="N962">
        <f>VLOOKUP(C962, Customers!A:E, 3, FALSE)</f>
        <v>47</v>
      </c>
      <c r="O962" s="93" t="str">
        <f>VLOOKUP(E962, Sales_Reps!A:C, 3, FALSE)</f>
        <v>South</v>
      </c>
      <c r="P962">
        <f>VLOOKUP(D962, Products!A:E, 4, FALSE)</f>
        <v>2865</v>
      </c>
      <c r="Q962">
        <f>IF(COUNTIF($A$2:A962, A962)=2, 1, 0)</f>
        <v>0</v>
      </c>
      <c r="R962">
        <f>IF(ISNA(MATCH(C962, Customers!$A:$A, 0)), 1, 0)</f>
        <v>0</v>
      </c>
      <c r="S962" s="94" t="b">
        <f>VLOOKUP(D962, Products!A:F, 6, FALSE)</f>
        <v>1</v>
      </c>
    </row>
    <row r="963" spans="1:19">
      <c r="A963" s="102" t="s">
        <v>1443</v>
      </c>
      <c r="B963" s="2">
        <v>45509</v>
      </c>
      <c r="C963" s="1" t="s">
        <v>479</v>
      </c>
      <c r="D963" s="1" t="s">
        <v>241</v>
      </c>
      <c r="E963" s="1" t="s">
        <v>132</v>
      </c>
      <c r="F963" s="83">
        <v>2</v>
      </c>
      <c r="G963" s="92">
        <v>6080</v>
      </c>
      <c r="H963" s="3">
        <v>23.8</v>
      </c>
      <c r="I963" s="3">
        <v>9265.92</v>
      </c>
      <c r="J963" s="1" t="s">
        <v>87</v>
      </c>
      <c r="K963" s="1" t="s">
        <v>88</v>
      </c>
      <c r="L963" t="str">
        <f>VLOOKUP(D963, Products!A:C, 3, FALSE)</f>
        <v>Beauty</v>
      </c>
      <c r="M963" t="str">
        <f>VLOOKUP(C963, Customers!A:E, 5, FALSE)</f>
        <v>SMB</v>
      </c>
      <c r="N963">
        <f>VLOOKUP(C963, Customers!A:E, 3, FALSE)</f>
        <v>49</v>
      </c>
      <c r="O963" s="93" t="str">
        <f>VLOOKUP(E963, Sales_Reps!A:C, 3, FALSE)</f>
        <v>South</v>
      </c>
      <c r="P963">
        <f>VLOOKUP(D963, Products!A:E, 4, FALSE)</f>
        <v>2617</v>
      </c>
      <c r="Q963">
        <f>IF(COUNTIF($A$2:A963, A963)=2, 1, 0)</f>
        <v>0</v>
      </c>
      <c r="R963">
        <f>IF(ISNA(MATCH(C963, Customers!$A:$A, 0)), 1, 0)</f>
        <v>0</v>
      </c>
      <c r="S963" s="94" t="b">
        <f>VLOOKUP(D963, Products!A:F, 6, FALSE)</f>
        <v>1</v>
      </c>
    </row>
    <row r="964" spans="1:19">
      <c r="A964" s="102" t="s">
        <v>1444</v>
      </c>
      <c r="B964" s="2">
        <v>45602</v>
      </c>
      <c r="C964" s="1" t="s">
        <v>373</v>
      </c>
      <c r="D964" s="1" t="s">
        <v>131</v>
      </c>
      <c r="E964" s="1" t="s">
        <v>139</v>
      </c>
      <c r="F964" s="83">
        <v>4</v>
      </c>
      <c r="G964" s="92">
        <v>2270</v>
      </c>
      <c r="H964" s="3">
        <v>28.9</v>
      </c>
      <c r="I964" s="3">
        <v>6455.88</v>
      </c>
      <c r="J964" s="1" t="s">
        <v>87</v>
      </c>
      <c r="K964" s="1" t="s">
        <v>88</v>
      </c>
      <c r="L964" t="str">
        <f>VLOOKUP(D964, Products!A:C, 3, FALSE)</f>
        <v>Grocery</v>
      </c>
      <c r="M964" t="str">
        <f>VLOOKUP(C964, Customers!A:E, 5, FALSE)</f>
        <v>Retail</v>
      </c>
      <c r="N964">
        <f>VLOOKUP(C964, Customers!A:E, 3, FALSE)</f>
        <v>43</v>
      </c>
      <c r="O964" s="93" t="str">
        <f>VLOOKUP(E964, Sales_Reps!A:C, 3, FALSE)</f>
        <v>North</v>
      </c>
      <c r="P964">
        <f>VLOOKUP(D964, Products!A:E, 4, FALSE)</f>
        <v>1203</v>
      </c>
      <c r="Q964">
        <f>IF(COUNTIF($A$2:A964, A964)=2, 1, 0)</f>
        <v>0</v>
      </c>
      <c r="R964">
        <f>IF(ISNA(MATCH(C964, Customers!$A:$A, 0)), 1, 0)</f>
        <v>0</v>
      </c>
      <c r="S964" s="94" t="b">
        <f>VLOOKUP(D964, Products!A:F, 6, FALSE)</f>
        <v>1</v>
      </c>
    </row>
    <row r="965" spans="1:19">
      <c r="A965" s="102" t="s">
        <v>1445</v>
      </c>
      <c r="B965" s="2">
        <v>45441</v>
      </c>
      <c r="C965" s="1" t="s">
        <v>197</v>
      </c>
      <c r="D965" s="1" t="s">
        <v>408</v>
      </c>
      <c r="E965" s="1" t="s">
        <v>139</v>
      </c>
      <c r="F965" s="83">
        <v>10</v>
      </c>
      <c r="G965" s="92">
        <v>3970</v>
      </c>
      <c r="H965" s="3">
        <v>26.2</v>
      </c>
      <c r="I965" s="3">
        <v>29298.6</v>
      </c>
      <c r="J965" s="1" t="s">
        <v>87</v>
      </c>
      <c r="K965" s="1" t="s">
        <v>88</v>
      </c>
      <c r="L965" t="str">
        <f>VLOOKUP(D965, Products!A:C, 3, FALSE)</f>
        <v>Electronics</v>
      </c>
      <c r="M965" t="str">
        <f>VLOOKUP(C965, Customers!A:E, 5, FALSE)</f>
        <v>Corporate</v>
      </c>
      <c r="N965">
        <f>VLOOKUP(C965, Customers!A:E, 3, FALSE)</f>
        <v>47</v>
      </c>
      <c r="O965" s="93" t="str">
        <f>VLOOKUP(E965, Sales_Reps!A:C, 3, FALSE)</f>
        <v>North</v>
      </c>
      <c r="P965">
        <f>VLOOKUP(D965, Products!A:E, 4, FALSE)</f>
        <v>2865</v>
      </c>
      <c r="Q965">
        <f>IF(COUNTIF($A$2:A965, A965)=2, 1, 0)</f>
        <v>0</v>
      </c>
      <c r="R965">
        <f>IF(ISNA(MATCH(C965, Customers!$A:$A, 0)), 1, 0)</f>
        <v>0</v>
      </c>
      <c r="S965" s="94" t="b">
        <f>VLOOKUP(D965, Products!A:F, 6, FALSE)</f>
        <v>1</v>
      </c>
    </row>
    <row r="966" spans="1:19">
      <c r="A966" s="102" t="s">
        <v>1446</v>
      </c>
      <c r="B966" s="2">
        <v>45378</v>
      </c>
      <c r="C966" s="1" t="s">
        <v>342</v>
      </c>
      <c r="D966" s="1" t="s">
        <v>191</v>
      </c>
      <c r="E966" s="1" t="s">
        <v>252</v>
      </c>
      <c r="F966" s="83">
        <v>4</v>
      </c>
      <c r="G966" s="92">
        <v>5100</v>
      </c>
      <c r="H966" s="3">
        <v>2.1</v>
      </c>
      <c r="I966" s="3">
        <v>19971.599999999999</v>
      </c>
      <c r="J966" s="1" t="s">
        <v>87</v>
      </c>
      <c r="K966" s="1" t="s">
        <v>94</v>
      </c>
      <c r="L966" t="str">
        <f>VLOOKUP(D966, Products!A:C, 3, FALSE)</f>
        <v>Beauty</v>
      </c>
      <c r="M966" t="str">
        <f>VLOOKUP(C966, Customers!A:E, 5, FALSE)</f>
        <v>Retail</v>
      </c>
      <c r="N966">
        <f>VLOOKUP(C966, Customers!A:E, 3, FALSE)</f>
        <v>26</v>
      </c>
      <c r="O966" s="93" t="str">
        <f>VLOOKUP(E966, Sales_Reps!A:C, 3, FALSE)</f>
        <v>South</v>
      </c>
      <c r="P966">
        <f>VLOOKUP(D966, Products!A:E, 4, FALSE)</f>
        <v>2237</v>
      </c>
      <c r="Q966">
        <f>IF(COUNTIF($A$2:A966, A966)=2, 1, 0)</f>
        <v>0</v>
      </c>
      <c r="R966">
        <f>IF(ISNA(MATCH(C966, Customers!$A:$A, 0)), 1, 0)</f>
        <v>0</v>
      </c>
      <c r="S966" s="94" t="b">
        <f>VLOOKUP(D966, Products!A:F, 6, FALSE)</f>
        <v>1</v>
      </c>
    </row>
    <row r="967" spans="1:19">
      <c r="A967" s="102" t="s">
        <v>1447</v>
      </c>
      <c r="B967" s="2">
        <v>45428</v>
      </c>
      <c r="C967" s="1" t="s">
        <v>314</v>
      </c>
      <c r="D967" s="1" t="s">
        <v>276</v>
      </c>
      <c r="E967" s="1" t="s">
        <v>116</v>
      </c>
      <c r="F967" s="83">
        <v>5</v>
      </c>
      <c r="G967" s="92">
        <v>3020</v>
      </c>
      <c r="H967" s="3">
        <v>17.3</v>
      </c>
      <c r="I967" s="3">
        <v>12487.7</v>
      </c>
      <c r="J967" s="1" t="s">
        <v>87</v>
      </c>
      <c r="K967" s="1" t="s">
        <v>88</v>
      </c>
      <c r="L967" t="str">
        <f>VLOOKUP(D967, Products!A:C, 3, FALSE)</f>
        <v>Beauty</v>
      </c>
      <c r="M967" t="str">
        <f>VLOOKUP(C967, Customers!A:E, 5, FALSE)</f>
        <v>Corporate</v>
      </c>
      <c r="N967">
        <f>VLOOKUP(C967, Customers!A:E, 3, FALSE)</f>
        <v>33</v>
      </c>
      <c r="O967" s="93" t="str">
        <f>VLOOKUP(E967, Sales_Reps!A:C, 3, FALSE)</f>
        <v>West</v>
      </c>
      <c r="P967">
        <f>VLOOKUP(D967, Products!A:E, 4, FALSE)</f>
        <v>1626</v>
      </c>
      <c r="Q967">
        <f>IF(COUNTIF($A$2:A967, A967)=2, 1, 0)</f>
        <v>0</v>
      </c>
      <c r="R967">
        <f>IF(ISNA(MATCH(C967, Customers!$A:$A, 0)), 1, 0)</f>
        <v>0</v>
      </c>
      <c r="S967" s="94" t="b">
        <f>VLOOKUP(D967, Products!A:F, 6, FALSE)</f>
        <v>1</v>
      </c>
    </row>
    <row r="968" spans="1:19">
      <c r="A968" s="102" t="s">
        <v>1448</v>
      </c>
      <c r="B968" s="2">
        <v>45521</v>
      </c>
      <c r="C968" s="1" t="s">
        <v>902</v>
      </c>
      <c r="D968" s="1" t="s">
        <v>115</v>
      </c>
      <c r="E968" s="1" t="s">
        <v>346</v>
      </c>
      <c r="F968" s="83">
        <v>8</v>
      </c>
      <c r="G968" s="92">
        <v>960</v>
      </c>
      <c r="H968" s="3">
        <v>1.3</v>
      </c>
      <c r="I968" s="3">
        <v>7580.16</v>
      </c>
      <c r="J968" s="1" t="s">
        <v>140</v>
      </c>
      <c r="K968" s="1" t="s">
        <v>112</v>
      </c>
      <c r="L968" t="str">
        <f>VLOOKUP(D968, Products!A:C, 3, FALSE)</f>
        <v>Sports</v>
      </c>
      <c r="M968" t="str">
        <f>VLOOKUP(C968, Customers!A:E, 5, FALSE)</f>
        <v>Retail</v>
      </c>
      <c r="N968">
        <f>VLOOKUP(C968, Customers!A:E, 3, FALSE)</f>
        <v>37</v>
      </c>
      <c r="O968" s="93" t="str">
        <f>VLOOKUP(E968, Sales_Reps!A:C, 3, FALSE)</f>
        <v>South</v>
      </c>
      <c r="P968">
        <f>VLOOKUP(D968, Products!A:E, 4, FALSE)</f>
        <v>705</v>
      </c>
      <c r="Q968">
        <f>IF(COUNTIF($A$2:A968, A968)=2, 1, 0)</f>
        <v>0</v>
      </c>
      <c r="R968">
        <f>IF(ISNA(MATCH(C968, Customers!$A:$A, 0)), 1, 0)</f>
        <v>0</v>
      </c>
      <c r="S968" s="94" t="b">
        <f>VLOOKUP(D968, Products!A:F, 6, FALSE)</f>
        <v>1</v>
      </c>
    </row>
    <row r="969" spans="1:19">
      <c r="A969" s="102" t="s">
        <v>1449</v>
      </c>
      <c r="B969" s="2">
        <v>45612</v>
      </c>
      <c r="C969" s="1" t="s">
        <v>959</v>
      </c>
      <c r="D969" s="1" t="s">
        <v>167</v>
      </c>
      <c r="E969" s="1" t="s">
        <v>107</v>
      </c>
      <c r="F969" s="83">
        <v>9</v>
      </c>
      <c r="G969" s="92">
        <v>2480</v>
      </c>
      <c r="H969" s="3">
        <v>15.6</v>
      </c>
      <c r="I969" s="3">
        <v>18838.080000000002</v>
      </c>
      <c r="J969" s="1" t="s">
        <v>87</v>
      </c>
      <c r="K969" s="1" t="s">
        <v>112</v>
      </c>
      <c r="L969" t="str">
        <f>VLOOKUP(D969, Products!A:C, 3, FALSE)</f>
        <v>Apparel</v>
      </c>
      <c r="M969" t="str">
        <f>VLOOKUP(C969, Customers!A:E, 5, FALSE)</f>
        <v>SMB</v>
      </c>
      <c r="N969">
        <f>VLOOKUP(C969, Customers!A:E, 3, FALSE)</f>
        <v>65</v>
      </c>
      <c r="O969" s="93" t="str">
        <f>VLOOKUP(E969, Sales_Reps!A:C, 3, FALSE)</f>
        <v>North</v>
      </c>
      <c r="P969">
        <f>VLOOKUP(D969, Products!A:E, 4, FALSE)</f>
        <v>1173</v>
      </c>
      <c r="Q969">
        <f>IF(COUNTIF($A$2:A969, A969)=2, 1, 0)</f>
        <v>0</v>
      </c>
      <c r="R969">
        <f>IF(ISNA(MATCH(C969, Customers!$A:$A, 0)), 1, 0)</f>
        <v>0</v>
      </c>
      <c r="S969" s="94" t="b">
        <f>VLOOKUP(D969, Products!A:F, 6, FALSE)</f>
        <v>1</v>
      </c>
    </row>
    <row r="970" spans="1:19">
      <c r="A970" s="102" t="s">
        <v>1450</v>
      </c>
      <c r="B970" s="2">
        <v>45566</v>
      </c>
      <c r="C970" s="1" t="s">
        <v>1451</v>
      </c>
      <c r="D970" s="1" t="s">
        <v>127</v>
      </c>
      <c r="E970" s="1" t="s">
        <v>325</v>
      </c>
      <c r="F970" s="83">
        <v>1</v>
      </c>
      <c r="G970" s="92">
        <v>970</v>
      </c>
      <c r="H970" s="3">
        <v>24.9</v>
      </c>
      <c r="I970" s="3">
        <v>728.47</v>
      </c>
      <c r="J970" s="1" t="s">
        <v>87</v>
      </c>
      <c r="K970" s="1" t="s">
        <v>117</v>
      </c>
      <c r="L970" t="str">
        <f>VLOOKUP(D970, Products!A:C, 3, FALSE)</f>
        <v>Grocery</v>
      </c>
      <c r="M970" t="e">
        <f>VLOOKUP(C970, Customers!A:E, 5, FALSE)</f>
        <v>#N/A</v>
      </c>
      <c r="N970" t="e">
        <f>VLOOKUP(C970, Customers!A:E, 3, FALSE)</f>
        <v>#N/A</v>
      </c>
      <c r="O970" s="93" t="str">
        <f>VLOOKUP(E970, Sales_Reps!A:C, 3, FALSE)</f>
        <v>South</v>
      </c>
      <c r="P970">
        <f>VLOOKUP(D970, Products!A:E, 4, FALSE)</f>
        <v>434</v>
      </c>
      <c r="Q970">
        <f>IF(COUNTIF($A$2:A970, A970)=2, 1, 0)</f>
        <v>0</v>
      </c>
      <c r="R970">
        <f>IF(ISNA(MATCH(C970, Customers!$A:$A, 0)), 1, 0)</f>
        <v>1</v>
      </c>
      <c r="S970" s="94" t="b">
        <f>VLOOKUP(D970, Products!A:F, 6, FALSE)</f>
        <v>1</v>
      </c>
    </row>
    <row r="971" spans="1:19">
      <c r="A971" s="102" t="s">
        <v>1452</v>
      </c>
      <c r="B971" s="2">
        <v>45606</v>
      </c>
      <c r="C971" s="1" t="s">
        <v>407</v>
      </c>
      <c r="D971" s="1" t="s">
        <v>367</v>
      </c>
      <c r="E971" s="1" t="s">
        <v>285</v>
      </c>
      <c r="F971" s="83">
        <v>4</v>
      </c>
      <c r="G971" s="92">
        <v>2380</v>
      </c>
      <c r="H971" s="3">
        <v>9.5</v>
      </c>
      <c r="I971" s="3">
        <v>8615.6</v>
      </c>
      <c r="J971" s="1" t="s">
        <v>140</v>
      </c>
      <c r="K971" s="1" t="s">
        <v>88</v>
      </c>
      <c r="L971" t="str">
        <f>VLOOKUP(D971, Products!A:C, 3, FALSE)</f>
        <v>Grocery</v>
      </c>
      <c r="M971" t="str">
        <f>VLOOKUP(C971, Customers!A:E, 5, FALSE)</f>
        <v>SMB</v>
      </c>
      <c r="N971">
        <f>VLOOKUP(C971, Customers!A:E, 3, FALSE)</f>
        <v>53</v>
      </c>
      <c r="O971" s="93" t="str">
        <f>VLOOKUP(E971, Sales_Reps!A:C, 3, FALSE)</f>
        <v>East</v>
      </c>
      <c r="P971">
        <f>VLOOKUP(D971, Products!A:E, 4, FALSE)</f>
        <v>1182</v>
      </c>
      <c r="Q971">
        <f>IF(COUNTIF($A$2:A971, A971)=2, 1, 0)</f>
        <v>0</v>
      </c>
      <c r="R971">
        <f>IF(ISNA(MATCH(C971, Customers!$A:$A, 0)), 1, 0)</f>
        <v>0</v>
      </c>
      <c r="S971" s="94" t="b">
        <f>VLOOKUP(D971, Products!A:F, 6, FALSE)</f>
        <v>1</v>
      </c>
    </row>
    <row r="972" spans="1:19">
      <c r="A972" s="102" t="s">
        <v>1453</v>
      </c>
      <c r="B972" s="2">
        <v>45423</v>
      </c>
      <c r="C972" s="1" t="s">
        <v>130</v>
      </c>
      <c r="D972" s="1" t="s">
        <v>360</v>
      </c>
      <c r="E972" s="1" t="s">
        <v>92</v>
      </c>
      <c r="F972" s="83">
        <v>4</v>
      </c>
      <c r="G972" s="92">
        <v>5410</v>
      </c>
      <c r="H972" s="3">
        <v>18.7</v>
      </c>
      <c r="I972" s="3">
        <v>17593.32</v>
      </c>
      <c r="J972" s="1" t="s">
        <v>87</v>
      </c>
      <c r="K972" s="1" t="s">
        <v>133</v>
      </c>
      <c r="L972" t="str">
        <f>VLOOKUP(D972, Products!A:C, 3, FALSE)</f>
        <v>Sports</v>
      </c>
      <c r="M972" t="str">
        <f>VLOOKUP(C972, Customers!A:E, 5, FALSE)</f>
        <v>Retail</v>
      </c>
      <c r="N972">
        <f>VLOOKUP(C972, Customers!A:E, 3, FALSE)</f>
        <v>60</v>
      </c>
      <c r="O972" s="93" t="str">
        <f>VLOOKUP(E972, Sales_Reps!A:C, 3, FALSE)</f>
        <v>North</v>
      </c>
      <c r="P972">
        <f>VLOOKUP(D972, Products!A:E, 4, FALSE)</f>
        <v>2265</v>
      </c>
      <c r="Q972">
        <f>IF(COUNTIF($A$2:A972, A972)=2, 1, 0)</f>
        <v>0</v>
      </c>
      <c r="R972">
        <f>IF(ISNA(MATCH(C972, Customers!$A:$A, 0)), 1, 0)</f>
        <v>0</v>
      </c>
      <c r="S972" s="94" t="b">
        <f>VLOOKUP(D972, Products!A:F, 6, FALSE)</f>
        <v>1</v>
      </c>
    </row>
    <row r="973" spans="1:19">
      <c r="A973" s="102" t="s">
        <v>1454</v>
      </c>
      <c r="B973" s="2">
        <v>45573</v>
      </c>
      <c r="C973" s="1" t="s">
        <v>284</v>
      </c>
      <c r="D973" s="1" t="s">
        <v>443</v>
      </c>
      <c r="E973" s="1" t="s">
        <v>285</v>
      </c>
      <c r="F973" s="83">
        <v>7</v>
      </c>
      <c r="G973" s="92">
        <v>5080</v>
      </c>
      <c r="H973" s="3">
        <v>6.5</v>
      </c>
      <c r="I973" s="3">
        <v>33248.6</v>
      </c>
      <c r="J973" s="1" t="s">
        <v>87</v>
      </c>
      <c r="K973" s="1" t="s">
        <v>94</v>
      </c>
      <c r="L973" t="str">
        <f>VLOOKUP(D973, Products!A:C, 3, FALSE)</f>
        <v>Home</v>
      </c>
      <c r="M973" t="str">
        <f>VLOOKUP(C973, Customers!A:E, 5, FALSE)</f>
        <v>Retail</v>
      </c>
      <c r="N973">
        <f>VLOOKUP(C973, Customers!A:E, 3, FALSE)</f>
        <v>28</v>
      </c>
      <c r="O973" s="93" t="str">
        <f>VLOOKUP(E973, Sales_Reps!A:C, 3, FALSE)</f>
        <v>East</v>
      </c>
      <c r="P973">
        <f>VLOOKUP(D973, Products!A:E, 4, FALSE)</f>
        <v>2459</v>
      </c>
      <c r="Q973">
        <f>IF(COUNTIF($A$2:A973, A973)=2, 1, 0)</f>
        <v>0</v>
      </c>
      <c r="R973">
        <f>IF(ISNA(MATCH(C973, Customers!$A:$A, 0)), 1, 0)</f>
        <v>0</v>
      </c>
      <c r="S973" s="94" t="b">
        <f>VLOOKUP(D973, Products!A:F, 6, FALSE)</f>
        <v>1</v>
      </c>
    </row>
    <row r="974" spans="1:19">
      <c r="A974" s="102" t="s">
        <v>1455</v>
      </c>
      <c r="B974" s="2">
        <v>45339</v>
      </c>
      <c r="C974" s="1" t="s">
        <v>1172</v>
      </c>
      <c r="D974" s="1" t="s">
        <v>120</v>
      </c>
      <c r="E974" s="1" t="s">
        <v>111</v>
      </c>
      <c r="F974" s="83">
        <v>5</v>
      </c>
      <c r="G974" s="92">
        <v>1430</v>
      </c>
      <c r="H974" s="3">
        <v>19.8</v>
      </c>
      <c r="I974" s="3">
        <v>5734.3</v>
      </c>
      <c r="J974" s="1" t="s">
        <v>87</v>
      </c>
      <c r="K974" s="1" t="s">
        <v>88</v>
      </c>
      <c r="L974" t="str">
        <f>VLOOKUP(D974, Products!A:C, 3, FALSE)</f>
        <v>Electronics</v>
      </c>
      <c r="M974" t="str">
        <f>VLOOKUP(C974, Customers!A:E, 5, FALSE)</f>
        <v>Retail</v>
      </c>
      <c r="N974">
        <f>VLOOKUP(C974, Customers!A:E, 3, FALSE)</f>
        <v>39</v>
      </c>
      <c r="O974" s="93" t="str">
        <f>VLOOKUP(E974, Sales_Reps!A:C, 3, FALSE)</f>
        <v>West</v>
      </c>
      <c r="P974">
        <f>VLOOKUP(D974, Products!A:E, 4, FALSE)</f>
        <v>861</v>
      </c>
      <c r="Q974">
        <f>IF(COUNTIF($A$2:A974, A974)=2, 1, 0)</f>
        <v>0</v>
      </c>
      <c r="R974">
        <f>IF(ISNA(MATCH(C974, Customers!$A:$A, 0)), 1, 0)</f>
        <v>0</v>
      </c>
      <c r="S974" s="94" t="b">
        <f>VLOOKUP(D974, Products!A:F, 6, FALSE)</f>
        <v>1</v>
      </c>
    </row>
    <row r="975" spans="1:19">
      <c r="A975" s="102" t="s">
        <v>1456</v>
      </c>
      <c r="B975" s="2">
        <v>45611</v>
      </c>
      <c r="C975" s="1" t="s">
        <v>868</v>
      </c>
      <c r="D975" s="1" t="s">
        <v>203</v>
      </c>
      <c r="E975" s="1" t="s">
        <v>273</v>
      </c>
      <c r="F975" s="83">
        <v>7</v>
      </c>
      <c r="G975" s="92">
        <v>660</v>
      </c>
      <c r="H975" s="3">
        <v>17.3</v>
      </c>
      <c r="I975" s="3">
        <v>3820.74</v>
      </c>
      <c r="J975" s="1" t="s">
        <v>87</v>
      </c>
      <c r="K975" s="1" t="s">
        <v>99</v>
      </c>
      <c r="L975" t="str">
        <f>VLOOKUP(D975, Products!A:C, 3, FALSE)</f>
        <v>Home</v>
      </c>
      <c r="M975" t="str">
        <f>VLOOKUP(C975, Customers!A:E, 5, FALSE)</f>
        <v>SMB</v>
      </c>
      <c r="N975">
        <f>VLOOKUP(C975, Customers!A:E, 3, FALSE)</f>
        <v>38</v>
      </c>
      <c r="O975" s="93" t="str">
        <f>VLOOKUP(E975, Sales_Reps!A:C, 3, FALSE)</f>
        <v>South</v>
      </c>
      <c r="P975">
        <f>VLOOKUP(D975, Products!A:E, 4, FALSE)</f>
        <v>329</v>
      </c>
      <c r="Q975">
        <f>IF(COUNTIF($A$2:A975, A975)=2, 1, 0)</f>
        <v>0</v>
      </c>
      <c r="R975">
        <f>IF(ISNA(MATCH(C975, Customers!$A:$A, 0)), 1, 0)</f>
        <v>0</v>
      </c>
      <c r="S975" s="94" t="b">
        <f>VLOOKUP(D975, Products!A:F, 6, FALSE)</f>
        <v>1</v>
      </c>
    </row>
    <row r="976" spans="1:19">
      <c r="A976" s="102" t="s">
        <v>1457</v>
      </c>
      <c r="B976" s="2">
        <v>45505</v>
      </c>
      <c r="C976" s="1" t="s">
        <v>816</v>
      </c>
      <c r="D976" s="1" t="s">
        <v>259</v>
      </c>
      <c r="E976" s="1" t="s">
        <v>139</v>
      </c>
      <c r="F976" s="83">
        <v>10</v>
      </c>
      <c r="G976" s="92">
        <v>1540</v>
      </c>
      <c r="H976" s="3">
        <v>17.5</v>
      </c>
      <c r="I976" s="3">
        <v>12705</v>
      </c>
      <c r="J976" s="1" t="s">
        <v>87</v>
      </c>
      <c r="K976" s="1" t="s">
        <v>88</v>
      </c>
      <c r="L976" t="str">
        <f>VLOOKUP(D976, Products!A:C, 3, FALSE)</f>
        <v>Beauty</v>
      </c>
      <c r="M976" t="str">
        <f>VLOOKUP(C976, Customers!A:E, 5, FALSE)</f>
        <v>Retail</v>
      </c>
      <c r="N976">
        <f>VLOOKUP(C976, Customers!A:E, 3, FALSE)</f>
        <v>36</v>
      </c>
      <c r="O976" s="93" t="str">
        <f>VLOOKUP(E976, Sales_Reps!A:C, 3, FALSE)</f>
        <v>North</v>
      </c>
      <c r="P976">
        <f>VLOOKUP(D976, Products!A:E, 4, FALSE)</f>
        <v>647</v>
      </c>
      <c r="Q976">
        <f>IF(COUNTIF($A$2:A976, A976)=2, 1, 0)</f>
        <v>0</v>
      </c>
      <c r="R976">
        <f>IF(ISNA(MATCH(C976, Customers!$A:$A, 0)), 1, 0)</f>
        <v>0</v>
      </c>
      <c r="S976" s="94" t="b">
        <f>VLOOKUP(D976, Products!A:F, 6, FALSE)</f>
        <v>0</v>
      </c>
    </row>
    <row r="977" spans="1:19">
      <c r="A977" s="102" t="s">
        <v>1458</v>
      </c>
      <c r="B977" s="2">
        <v>45358</v>
      </c>
      <c r="C977" s="1" t="s">
        <v>533</v>
      </c>
      <c r="D977" s="1" t="s">
        <v>338</v>
      </c>
      <c r="E977" s="1" t="s">
        <v>148</v>
      </c>
      <c r="F977" s="83">
        <v>10</v>
      </c>
      <c r="G977" s="92">
        <v>2210</v>
      </c>
      <c r="H977" s="3">
        <v>24.1</v>
      </c>
      <c r="I977" s="3">
        <v>16773.900000000001</v>
      </c>
      <c r="J977" s="1" t="s">
        <v>93</v>
      </c>
      <c r="K977" s="1" t="s">
        <v>99</v>
      </c>
      <c r="L977" t="str">
        <f>VLOOKUP(D977, Products!A:C, 3, FALSE)</f>
        <v>Grocery</v>
      </c>
      <c r="M977" t="str">
        <f>VLOOKUP(C977, Customers!A:E, 5, FALSE)</f>
        <v>SMB</v>
      </c>
      <c r="N977">
        <f>VLOOKUP(C977, Customers!A:E, 3, FALSE)</f>
        <v>48</v>
      </c>
      <c r="O977" s="93" t="str">
        <f>VLOOKUP(E977, Sales_Reps!A:C, 3, FALSE)</f>
        <v>North</v>
      </c>
      <c r="P977">
        <f>VLOOKUP(D977, Products!A:E, 4, FALSE)</f>
        <v>1010</v>
      </c>
      <c r="Q977">
        <f>IF(COUNTIF($A$2:A977, A977)=2, 1, 0)</f>
        <v>0</v>
      </c>
      <c r="R977">
        <f>IF(ISNA(MATCH(C977, Customers!$A:$A, 0)), 1, 0)</f>
        <v>0</v>
      </c>
      <c r="S977" s="94" t="b">
        <f>VLOOKUP(D977, Products!A:F, 6, FALSE)</f>
        <v>1</v>
      </c>
    </row>
    <row r="978" spans="1:19">
      <c r="A978" s="102" t="s">
        <v>1459</v>
      </c>
      <c r="B978" s="2">
        <v>45519</v>
      </c>
      <c r="C978" s="1" t="s">
        <v>528</v>
      </c>
      <c r="D978" s="1" t="s">
        <v>115</v>
      </c>
      <c r="E978" s="1" t="s">
        <v>285</v>
      </c>
      <c r="F978" s="83">
        <v>4</v>
      </c>
      <c r="G978" s="92">
        <v>960</v>
      </c>
      <c r="H978" s="3">
        <v>13.4</v>
      </c>
      <c r="I978" s="3">
        <v>3325.44</v>
      </c>
      <c r="J978" s="1" t="s">
        <v>87</v>
      </c>
      <c r="K978" s="1" t="s">
        <v>112</v>
      </c>
      <c r="L978" t="str">
        <f>VLOOKUP(D978, Products!A:C, 3, FALSE)</f>
        <v>Sports</v>
      </c>
      <c r="M978" t="str">
        <f>VLOOKUP(C978, Customers!A:E, 5, FALSE)</f>
        <v>Retail</v>
      </c>
      <c r="N978">
        <f>VLOOKUP(C978, Customers!A:E, 3, FALSE)</f>
        <v>44</v>
      </c>
      <c r="O978" s="93" t="str">
        <f>VLOOKUP(E978, Sales_Reps!A:C, 3, FALSE)</f>
        <v>East</v>
      </c>
      <c r="P978">
        <f>VLOOKUP(D978, Products!A:E, 4, FALSE)</f>
        <v>705</v>
      </c>
      <c r="Q978">
        <f>IF(COUNTIF($A$2:A978, A978)=2, 1, 0)</f>
        <v>0</v>
      </c>
      <c r="R978">
        <f>IF(ISNA(MATCH(C978, Customers!$A:$A, 0)), 1, 0)</f>
        <v>0</v>
      </c>
      <c r="S978" s="94" t="b">
        <f>VLOOKUP(D978, Products!A:F, 6, FALSE)</f>
        <v>1</v>
      </c>
    </row>
    <row r="979" spans="1:19">
      <c r="A979" s="102" t="s">
        <v>1460</v>
      </c>
      <c r="B979" s="2">
        <v>45628</v>
      </c>
      <c r="C979" s="1" t="s">
        <v>1350</v>
      </c>
      <c r="D979" s="1" t="s">
        <v>157</v>
      </c>
      <c r="E979" s="1" t="s">
        <v>285</v>
      </c>
      <c r="F979" s="83">
        <v>8</v>
      </c>
      <c r="G979" s="92">
        <v>3450</v>
      </c>
      <c r="H979" s="3">
        <v>3.7</v>
      </c>
      <c r="I979" s="3">
        <v>26578.799999999999</v>
      </c>
      <c r="J979" s="1" t="s">
        <v>87</v>
      </c>
      <c r="K979" s="1" t="s">
        <v>112</v>
      </c>
      <c r="L979" t="str">
        <f>VLOOKUP(D979, Products!A:C, 3, FALSE)</f>
        <v>Beauty</v>
      </c>
      <c r="M979" t="str">
        <f>VLOOKUP(C979, Customers!A:E, 5, FALSE)</f>
        <v>Retail</v>
      </c>
      <c r="N979">
        <f>VLOOKUP(C979, Customers!A:E, 3, FALSE)</f>
        <v>38</v>
      </c>
      <c r="O979" s="93" t="str">
        <f>VLOOKUP(E979, Sales_Reps!A:C, 3, FALSE)</f>
        <v>East</v>
      </c>
      <c r="P979">
        <f>VLOOKUP(D979, Products!A:E, 4, FALSE)</f>
        <v>2420</v>
      </c>
      <c r="Q979">
        <f>IF(COUNTIF($A$2:A979, A979)=2, 1, 0)</f>
        <v>0</v>
      </c>
      <c r="R979">
        <f>IF(ISNA(MATCH(C979, Customers!$A:$A, 0)), 1, 0)</f>
        <v>0</v>
      </c>
      <c r="S979" s="94" t="b">
        <f>VLOOKUP(D979, Products!A:F, 6, FALSE)</f>
        <v>1</v>
      </c>
    </row>
    <row r="980" spans="1:19">
      <c r="A980" s="102" t="s">
        <v>1461</v>
      </c>
      <c r="B980" s="2">
        <v>45481</v>
      </c>
      <c r="C980" s="1" t="s">
        <v>1462</v>
      </c>
      <c r="D980" s="1" t="s">
        <v>295</v>
      </c>
      <c r="E980" s="1" t="s">
        <v>92</v>
      </c>
      <c r="F980" s="83">
        <v>6</v>
      </c>
      <c r="G980" s="92">
        <v>2030</v>
      </c>
      <c r="H980" s="3">
        <v>9.5</v>
      </c>
      <c r="I980" s="3">
        <v>11022.9</v>
      </c>
      <c r="J980" s="1" t="s">
        <v>87</v>
      </c>
      <c r="K980" s="1" t="s">
        <v>112</v>
      </c>
      <c r="L980" t="str">
        <f>VLOOKUP(D980, Products!A:C, 3, FALSE)</f>
        <v>Home</v>
      </c>
      <c r="M980" t="e">
        <f>VLOOKUP(C980, Customers!A:E, 5, FALSE)</f>
        <v>#N/A</v>
      </c>
      <c r="N980" t="e">
        <f>VLOOKUP(C980, Customers!A:E, 3, FALSE)</f>
        <v>#N/A</v>
      </c>
      <c r="O980" s="93" t="str">
        <f>VLOOKUP(E980, Sales_Reps!A:C, 3, FALSE)</f>
        <v>North</v>
      </c>
      <c r="P980">
        <f>VLOOKUP(D980, Products!A:E, 4, FALSE)</f>
        <v>1143</v>
      </c>
      <c r="Q980">
        <f>IF(COUNTIF($A$2:A980, A980)=2, 1, 0)</f>
        <v>0</v>
      </c>
      <c r="R980">
        <f>IF(ISNA(MATCH(C980, Customers!$A:$A, 0)), 1, 0)</f>
        <v>1</v>
      </c>
      <c r="S980" s="94" t="b">
        <f>VLOOKUP(D980, Products!A:F, 6, FALSE)</f>
        <v>1</v>
      </c>
    </row>
    <row r="981" spans="1:19">
      <c r="A981" s="102" t="s">
        <v>1463</v>
      </c>
      <c r="B981" s="2">
        <v>45399</v>
      </c>
      <c r="C981" s="1" t="s">
        <v>563</v>
      </c>
      <c r="D981" s="1" t="s">
        <v>452</v>
      </c>
      <c r="E981" s="1" t="s">
        <v>204</v>
      </c>
      <c r="F981" s="83">
        <v>7</v>
      </c>
      <c r="G981" s="92">
        <v>3450</v>
      </c>
      <c r="H981" s="3">
        <v>28.2</v>
      </c>
      <c r="I981" s="3">
        <v>17339.7</v>
      </c>
      <c r="J981" s="1" t="s">
        <v>87</v>
      </c>
      <c r="K981" s="1" t="s">
        <v>88</v>
      </c>
      <c r="L981" t="str">
        <f>VLOOKUP(D981, Products!A:C, 3, FALSE)</f>
        <v>Apparel</v>
      </c>
      <c r="M981" t="str">
        <f>VLOOKUP(C981, Customers!A:E, 5, FALSE)</f>
        <v>SMB</v>
      </c>
      <c r="N981">
        <f>VLOOKUP(C981, Customers!A:E, 3, FALSE)</f>
        <v>24</v>
      </c>
      <c r="O981" s="93" t="str">
        <f>VLOOKUP(E981, Sales_Reps!A:C, 3, FALSE)</f>
        <v>South</v>
      </c>
      <c r="P981">
        <f>VLOOKUP(D981, Products!A:E, 4, FALSE)</f>
        <v>1748</v>
      </c>
      <c r="Q981">
        <f>IF(COUNTIF($A$2:A981, A981)=2, 1, 0)</f>
        <v>0</v>
      </c>
      <c r="R981">
        <f>IF(ISNA(MATCH(C981, Customers!$A:$A, 0)), 1, 0)</f>
        <v>0</v>
      </c>
      <c r="S981" s="94" t="b">
        <f>VLOOKUP(D981, Products!A:F, 6, FALSE)</f>
        <v>1</v>
      </c>
    </row>
    <row r="982" spans="1:19">
      <c r="A982" s="102" t="s">
        <v>1464</v>
      </c>
      <c r="B982" s="2">
        <v>45531</v>
      </c>
      <c r="C982" s="1" t="s">
        <v>485</v>
      </c>
      <c r="D982" s="1" t="s">
        <v>234</v>
      </c>
      <c r="E982" s="1" t="s">
        <v>273</v>
      </c>
      <c r="F982" s="83">
        <v>7</v>
      </c>
      <c r="G982" s="92">
        <v>3780</v>
      </c>
      <c r="H982" s="3">
        <v>15.1</v>
      </c>
      <c r="I982" s="3">
        <v>22464.54</v>
      </c>
      <c r="J982" s="1" t="s">
        <v>87</v>
      </c>
      <c r="K982" s="1" t="s">
        <v>88</v>
      </c>
      <c r="L982" t="str">
        <f>VLOOKUP(D982, Products!A:C, 3, FALSE)</f>
        <v>Grocery</v>
      </c>
      <c r="M982" t="str">
        <f>VLOOKUP(C982, Customers!A:E, 5, FALSE)</f>
        <v>Retail</v>
      </c>
      <c r="N982">
        <f>VLOOKUP(C982, Customers!A:E, 3, FALSE)</f>
        <v>49</v>
      </c>
      <c r="O982" s="93" t="str">
        <f>VLOOKUP(E982, Sales_Reps!A:C, 3, FALSE)</f>
        <v>South</v>
      </c>
      <c r="P982">
        <f>VLOOKUP(D982, Products!A:E, 4, FALSE)</f>
        <v>2436</v>
      </c>
      <c r="Q982">
        <f>IF(COUNTIF($A$2:A982, A982)=2, 1, 0)</f>
        <v>0</v>
      </c>
      <c r="R982">
        <f>IF(ISNA(MATCH(C982, Customers!$A:$A, 0)), 1, 0)</f>
        <v>0</v>
      </c>
      <c r="S982" s="94" t="b">
        <f>VLOOKUP(D982, Products!A:F, 6, FALSE)</f>
        <v>1</v>
      </c>
    </row>
    <row r="983" spans="1:19">
      <c r="A983" s="102" t="s">
        <v>1427</v>
      </c>
      <c r="B983" s="2">
        <v>45417</v>
      </c>
      <c r="C983" s="1" t="s">
        <v>172</v>
      </c>
      <c r="D983" s="1" t="s">
        <v>200</v>
      </c>
      <c r="E983" s="1" t="s">
        <v>297</v>
      </c>
      <c r="F983" s="83">
        <v>4</v>
      </c>
      <c r="G983" s="92">
        <v>2760</v>
      </c>
      <c r="H983" s="3">
        <v>14.8</v>
      </c>
      <c r="I983" s="3">
        <v>9406.08</v>
      </c>
      <c r="J983" s="1" t="s">
        <v>87</v>
      </c>
      <c r="K983" s="1" t="s">
        <v>88</v>
      </c>
      <c r="L983" t="str">
        <f>VLOOKUP(D983, Products!A:C, 3, FALSE)</f>
        <v>Grocery</v>
      </c>
      <c r="M983" t="str">
        <f>VLOOKUP(C983, Customers!A:E, 5, FALSE)</f>
        <v>Retail</v>
      </c>
      <c r="N983">
        <f>VLOOKUP(C983, Customers!A:E, 3, FALSE)</f>
        <v>50</v>
      </c>
      <c r="O983" s="93" t="str">
        <f>VLOOKUP(E983, Sales_Reps!A:C, 3, FALSE)</f>
        <v>North</v>
      </c>
      <c r="P983">
        <f>VLOOKUP(D983, Products!A:E, 4, FALSE)</f>
        <v>1435</v>
      </c>
      <c r="Q983">
        <f>IF(COUNTIF($A$2:A983, A983)=2, 1, 0)</f>
        <v>1</v>
      </c>
      <c r="R983">
        <f>IF(ISNA(MATCH(C983, Customers!$A:$A, 0)), 1, 0)</f>
        <v>0</v>
      </c>
      <c r="S983" s="94" t="b">
        <f>VLOOKUP(D983, Products!A:F, 6, FALSE)</f>
        <v>1</v>
      </c>
    </row>
    <row r="984" spans="1:19">
      <c r="A984" s="102" t="s">
        <v>1465</v>
      </c>
      <c r="B984" s="2">
        <v>45327</v>
      </c>
      <c r="C984" s="1" t="s">
        <v>785</v>
      </c>
      <c r="D984" s="1" t="s">
        <v>259</v>
      </c>
      <c r="E984" s="1" t="s">
        <v>229</v>
      </c>
      <c r="F984" s="83">
        <v>4</v>
      </c>
      <c r="G984" s="92">
        <v>1540</v>
      </c>
      <c r="H984" s="3">
        <v>13.9</v>
      </c>
      <c r="I984" s="3">
        <v>5303.76</v>
      </c>
      <c r="J984" s="1" t="s">
        <v>87</v>
      </c>
      <c r="K984" s="1" t="s">
        <v>88</v>
      </c>
      <c r="L984" t="str">
        <f>VLOOKUP(D984, Products!A:C, 3, FALSE)</f>
        <v>Beauty</v>
      </c>
      <c r="M984" t="str">
        <f>VLOOKUP(C984, Customers!A:E, 5, FALSE)</f>
        <v>Retail</v>
      </c>
      <c r="N984">
        <f>VLOOKUP(C984, Customers!A:E, 3, FALSE)</f>
        <v>31</v>
      </c>
      <c r="O984" s="93" t="str">
        <f>VLOOKUP(E984, Sales_Reps!A:C, 3, FALSE)</f>
        <v>West</v>
      </c>
      <c r="P984">
        <f>VLOOKUP(D984, Products!A:E, 4, FALSE)</f>
        <v>647</v>
      </c>
      <c r="Q984">
        <f>IF(COUNTIF($A$2:A984, A984)=2, 1, 0)</f>
        <v>0</v>
      </c>
      <c r="R984">
        <f>IF(ISNA(MATCH(C984, Customers!$A:$A, 0)), 1, 0)</f>
        <v>0</v>
      </c>
      <c r="S984" s="94" t="b">
        <f>VLOOKUP(D984, Products!A:F, 6, FALSE)</f>
        <v>0</v>
      </c>
    </row>
    <row r="985" spans="1:19">
      <c r="A985" s="102" t="s">
        <v>1466</v>
      </c>
      <c r="B985" s="2">
        <v>45438</v>
      </c>
      <c r="C985" s="1" t="s">
        <v>779</v>
      </c>
      <c r="D985" s="1" t="s">
        <v>226</v>
      </c>
      <c r="E985" s="1" t="s">
        <v>86</v>
      </c>
      <c r="F985" s="83">
        <v>2</v>
      </c>
      <c r="G985" s="92">
        <v>3730</v>
      </c>
      <c r="H985" s="3">
        <v>15.7</v>
      </c>
      <c r="I985" s="3">
        <v>6288.78</v>
      </c>
      <c r="J985" s="1" t="s">
        <v>140</v>
      </c>
      <c r="K985" s="1" t="s">
        <v>117</v>
      </c>
      <c r="L985" t="str">
        <f>VLOOKUP(D985, Products!A:C, 3, FALSE)</f>
        <v>Home</v>
      </c>
      <c r="M985" t="str">
        <f>VLOOKUP(C985, Customers!A:E, 5, FALSE)</f>
        <v>Retail</v>
      </c>
      <c r="N985">
        <f>VLOOKUP(C985, Customers!A:E, 3, FALSE)</f>
        <v>27</v>
      </c>
      <c r="O985" s="93" t="str">
        <f>VLOOKUP(E985, Sales_Reps!A:C, 3, FALSE)</f>
        <v>North</v>
      </c>
      <c r="P985">
        <f>VLOOKUP(D985, Products!A:E, 4, FALSE)</f>
        <v>2135</v>
      </c>
      <c r="Q985">
        <f>IF(COUNTIF($A$2:A985, A985)=2, 1, 0)</f>
        <v>0</v>
      </c>
      <c r="R985">
        <f>IF(ISNA(MATCH(C985, Customers!$A:$A, 0)), 1, 0)</f>
        <v>0</v>
      </c>
      <c r="S985" s="94" t="b">
        <f>VLOOKUP(D985, Products!A:F, 6, FALSE)</f>
        <v>1</v>
      </c>
    </row>
    <row r="986" spans="1:19">
      <c r="A986" s="102" t="s">
        <v>1467</v>
      </c>
      <c r="B986" s="2">
        <v>45577</v>
      </c>
      <c r="C986" s="1" t="s">
        <v>835</v>
      </c>
      <c r="D986" s="1" t="s">
        <v>226</v>
      </c>
      <c r="E986" s="1" t="s">
        <v>343</v>
      </c>
      <c r="F986" s="83">
        <v>4</v>
      </c>
      <c r="G986" s="92">
        <v>3730</v>
      </c>
      <c r="H986" s="3">
        <v>2.1</v>
      </c>
      <c r="I986" s="3">
        <v>14606.68</v>
      </c>
      <c r="J986" s="1" t="s">
        <v>87</v>
      </c>
      <c r="K986" s="1" t="s">
        <v>117</v>
      </c>
      <c r="L986" t="str">
        <f>VLOOKUP(D986, Products!A:C, 3, FALSE)</f>
        <v>Home</v>
      </c>
      <c r="M986" t="str">
        <f>VLOOKUP(C986, Customers!A:E, 5, FALSE)</f>
        <v>Retail</v>
      </c>
      <c r="N986">
        <f>VLOOKUP(C986, Customers!A:E, 3, FALSE)</f>
        <v>52</v>
      </c>
      <c r="O986" s="93" t="str">
        <f>VLOOKUP(E986, Sales_Reps!A:C, 3, FALSE)</f>
        <v>West</v>
      </c>
      <c r="P986">
        <f>VLOOKUP(D986, Products!A:E, 4, FALSE)</f>
        <v>2135</v>
      </c>
      <c r="Q986">
        <f>IF(COUNTIF($A$2:A986, A986)=2, 1, 0)</f>
        <v>0</v>
      </c>
      <c r="R986">
        <f>IF(ISNA(MATCH(C986, Customers!$A:$A, 0)), 1, 0)</f>
        <v>0</v>
      </c>
      <c r="S986" s="94" t="b">
        <f>VLOOKUP(D986, Products!A:F, 6, FALSE)</f>
        <v>1</v>
      </c>
    </row>
    <row r="987" spans="1:19">
      <c r="A987" s="102" t="s">
        <v>1468</v>
      </c>
      <c r="B987" s="2">
        <v>45457</v>
      </c>
      <c r="C987" s="1" t="s">
        <v>559</v>
      </c>
      <c r="D987" s="1" t="s">
        <v>106</v>
      </c>
      <c r="E987" s="1" t="s">
        <v>252</v>
      </c>
      <c r="F987" s="83">
        <v>1</v>
      </c>
      <c r="G987" s="92">
        <v>3160</v>
      </c>
      <c r="H987" s="3">
        <v>29.8</v>
      </c>
      <c r="I987" s="3">
        <v>2218.3200000000002</v>
      </c>
      <c r="J987" s="1" t="s">
        <v>87</v>
      </c>
      <c r="K987" s="1" t="s">
        <v>88</v>
      </c>
      <c r="L987" t="str">
        <f>VLOOKUP(D987, Products!A:C, 3, FALSE)</f>
        <v>Apparel</v>
      </c>
      <c r="M987" t="str">
        <f>VLOOKUP(C987, Customers!A:E, 5, FALSE)</f>
        <v>Retail</v>
      </c>
      <c r="N987">
        <f>VLOOKUP(C987, Customers!A:E, 3, FALSE)</f>
        <v>62</v>
      </c>
      <c r="O987" s="93" t="str">
        <f>VLOOKUP(E987, Sales_Reps!A:C, 3, FALSE)</f>
        <v>South</v>
      </c>
      <c r="P987">
        <f>VLOOKUP(D987, Products!A:E, 4, FALSE)</f>
        <v>1886</v>
      </c>
      <c r="Q987">
        <f>IF(COUNTIF($A$2:A987, A987)=2, 1, 0)</f>
        <v>0</v>
      </c>
      <c r="R987">
        <f>IF(ISNA(MATCH(C987, Customers!$A:$A, 0)), 1, 0)</f>
        <v>0</v>
      </c>
      <c r="S987" s="94" t="b">
        <f>VLOOKUP(D987, Products!A:F, 6, FALSE)</f>
        <v>1</v>
      </c>
    </row>
    <row r="988" spans="1:19">
      <c r="A988" s="102" t="s">
        <v>1469</v>
      </c>
      <c r="B988" s="2">
        <v>45544</v>
      </c>
      <c r="C988" s="1" t="s">
        <v>615</v>
      </c>
      <c r="D988" s="1" t="s">
        <v>386</v>
      </c>
      <c r="E988" s="1" t="s">
        <v>285</v>
      </c>
      <c r="F988" s="83">
        <v>9</v>
      </c>
      <c r="G988" s="92">
        <v>2290</v>
      </c>
      <c r="H988" s="3">
        <v>8.3000000000000007</v>
      </c>
      <c r="I988" s="3">
        <v>18899.37</v>
      </c>
      <c r="J988" s="1" t="s">
        <v>93</v>
      </c>
      <c r="K988" s="1" t="s">
        <v>112</v>
      </c>
      <c r="L988" t="str">
        <f>VLOOKUP(D988, Products!A:C, 3, FALSE)</f>
        <v>Beauty</v>
      </c>
      <c r="M988" t="str">
        <f>VLOOKUP(C988, Customers!A:E, 5, FALSE)</f>
        <v>Retail</v>
      </c>
      <c r="N988">
        <f>VLOOKUP(C988, Customers!A:E, 3, FALSE)</f>
        <v>53</v>
      </c>
      <c r="O988" s="93" t="str">
        <f>VLOOKUP(E988, Sales_Reps!A:C, 3, FALSE)</f>
        <v>East</v>
      </c>
      <c r="P988">
        <f>VLOOKUP(D988, Products!A:E, 4, FALSE)</f>
        <v>1219</v>
      </c>
      <c r="Q988">
        <f>IF(COUNTIF($A$2:A988, A988)=2, 1, 0)</f>
        <v>0</v>
      </c>
      <c r="R988">
        <f>IF(ISNA(MATCH(C988, Customers!$A:$A, 0)), 1, 0)</f>
        <v>0</v>
      </c>
      <c r="S988" s="94" t="b">
        <f>VLOOKUP(D988, Products!A:F, 6, FALSE)</f>
        <v>1</v>
      </c>
    </row>
    <row r="989" spans="1:19">
      <c r="A989" s="102" t="s">
        <v>1470</v>
      </c>
      <c r="B989" s="2">
        <v>45632</v>
      </c>
      <c r="C989" s="1" t="s">
        <v>427</v>
      </c>
      <c r="D989" s="1" t="s">
        <v>248</v>
      </c>
      <c r="E989" s="1" t="s">
        <v>252</v>
      </c>
      <c r="F989" s="83">
        <v>2</v>
      </c>
      <c r="G989" s="92">
        <v>3870</v>
      </c>
      <c r="H989" s="3">
        <v>5.2</v>
      </c>
      <c r="I989" s="3">
        <v>7337.52</v>
      </c>
      <c r="J989" s="1" t="s">
        <v>87</v>
      </c>
      <c r="K989" s="1" t="s">
        <v>88</v>
      </c>
      <c r="L989" t="str">
        <f>VLOOKUP(D989, Products!A:C, 3, FALSE)</f>
        <v>Electronics</v>
      </c>
      <c r="M989" t="str">
        <f>VLOOKUP(C989, Customers!A:E, 5, FALSE)</f>
        <v>Corporate</v>
      </c>
      <c r="N989">
        <f>VLOOKUP(C989, Customers!A:E, 3, FALSE)</f>
        <v>48</v>
      </c>
      <c r="O989" s="93" t="str">
        <f>VLOOKUP(E989, Sales_Reps!A:C, 3, FALSE)</f>
        <v>South</v>
      </c>
      <c r="P989">
        <f>VLOOKUP(D989, Products!A:E, 4, FALSE)</f>
        <v>1559</v>
      </c>
      <c r="Q989">
        <f>IF(COUNTIF($A$2:A989, A989)=2, 1, 0)</f>
        <v>0</v>
      </c>
      <c r="R989">
        <f>IF(ISNA(MATCH(C989, Customers!$A:$A, 0)), 1, 0)</f>
        <v>0</v>
      </c>
      <c r="S989" s="94" t="b">
        <f>VLOOKUP(D989, Products!A:F, 6, FALSE)</f>
        <v>1</v>
      </c>
    </row>
    <row r="990" spans="1:19">
      <c r="A990" s="102" t="s">
        <v>1471</v>
      </c>
      <c r="B990" s="2">
        <v>45465</v>
      </c>
      <c r="C990" s="1" t="s">
        <v>429</v>
      </c>
      <c r="D990" s="1" t="s">
        <v>187</v>
      </c>
      <c r="E990" s="1" t="s">
        <v>86</v>
      </c>
      <c r="F990" s="83">
        <v>5</v>
      </c>
      <c r="G990" s="92">
        <v>3570</v>
      </c>
      <c r="H990" s="3">
        <v>19.899999999999999</v>
      </c>
      <c r="I990" s="3">
        <v>14297.85</v>
      </c>
      <c r="J990" s="1" t="s">
        <v>87</v>
      </c>
      <c r="K990" s="1" t="s">
        <v>117</v>
      </c>
      <c r="L990" t="str">
        <f>VLOOKUP(D990, Products!A:C, 3, FALSE)</f>
        <v>Electronics</v>
      </c>
      <c r="M990" t="str">
        <f>VLOOKUP(C990, Customers!A:E, 5, FALSE)</f>
        <v>Retail</v>
      </c>
      <c r="N990">
        <f>VLOOKUP(C990, Customers!A:E, 3, FALSE)</f>
        <v>55</v>
      </c>
      <c r="O990" s="93" t="str">
        <f>VLOOKUP(E990, Sales_Reps!A:C, 3, FALSE)</f>
        <v>North</v>
      </c>
      <c r="P990">
        <f>VLOOKUP(D990, Products!A:E, 4, FALSE)</f>
        <v>1665</v>
      </c>
      <c r="Q990">
        <f>IF(COUNTIF($A$2:A990, A990)=2, 1, 0)</f>
        <v>0</v>
      </c>
      <c r="R990">
        <f>IF(ISNA(MATCH(C990, Customers!$A:$A, 0)), 1, 0)</f>
        <v>0</v>
      </c>
      <c r="S990" s="94" t="b">
        <f>VLOOKUP(D990, Products!A:F, 6, FALSE)</f>
        <v>1</v>
      </c>
    </row>
    <row r="991" spans="1:19">
      <c r="A991" s="102" t="s">
        <v>1472</v>
      </c>
      <c r="B991" s="2">
        <v>45342</v>
      </c>
      <c r="C991" s="1" t="s">
        <v>289</v>
      </c>
      <c r="D991" s="1" t="s">
        <v>182</v>
      </c>
      <c r="E991" s="1" t="s">
        <v>215</v>
      </c>
      <c r="F991" s="83">
        <v>5</v>
      </c>
      <c r="G991" s="92">
        <v>1010</v>
      </c>
      <c r="H991" s="3">
        <v>2.2000000000000002</v>
      </c>
      <c r="I991" s="3">
        <v>4938.8999999999996</v>
      </c>
      <c r="J991" s="1" t="s">
        <v>87</v>
      </c>
      <c r="K991" s="1" t="s">
        <v>94</v>
      </c>
      <c r="L991" t="str">
        <f>VLOOKUP(D991, Products!A:C, 3, FALSE)</f>
        <v>Sports</v>
      </c>
      <c r="M991" t="str">
        <f>VLOOKUP(C991, Customers!A:E, 5, FALSE)</f>
        <v>Retail</v>
      </c>
      <c r="N991">
        <f>VLOOKUP(C991, Customers!A:E, 3, FALSE)</f>
        <v>38</v>
      </c>
      <c r="O991" s="93" t="str">
        <f>VLOOKUP(E991, Sales_Reps!A:C, 3, FALSE)</f>
        <v>North</v>
      </c>
      <c r="P991">
        <f>VLOOKUP(D991, Products!A:E, 4, FALSE)</f>
        <v>516</v>
      </c>
      <c r="Q991">
        <f>IF(COUNTIF($A$2:A991, A991)=2, 1, 0)</f>
        <v>0</v>
      </c>
      <c r="R991">
        <f>IF(ISNA(MATCH(C991, Customers!$A:$A, 0)), 1, 0)</f>
        <v>0</v>
      </c>
      <c r="S991" s="94" t="b">
        <f>VLOOKUP(D991, Products!A:F, 6, FALSE)</f>
        <v>1</v>
      </c>
    </row>
    <row r="992" spans="1:19">
      <c r="A992" s="102" t="s">
        <v>1473</v>
      </c>
      <c r="B992" s="2">
        <v>45309</v>
      </c>
      <c r="C992" s="1" t="s">
        <v>362</v>
      </c>
      <c r="D992" s="1" t="s">
        <v>386</v>
      </c>
      <c r="E992" s="1" t="s">
        <v>139</v>
      </c>
      <c r="F992" s="83">
        <v>10</v>
      </c>
      <c r="G992" s="92">
        <v>2290</v>
      </c>
      <c r="H992" s="3">
        <v>16.8</v>
      </c>
      <c r="I992" s="3">
        <v>19052.8</v>
      </c>
      <c r="J992" s="1" t="s">
        <v>140</v>
      </c>
      <c r="K992" s="1" t="s">
        <v>94</v>
      </c>
      <c r="L992" t="str">
        <f>VLOOKUP(D992, Products!A:C, 3, FALSE)</f>
        <v>Beauty</v>
      </c>
      <c r="M992" t="str">
        <f>VLOOKUP(C992, Customers!A:E, 5, FALSE)</f>
        <v>Corporate</v>
      </c>
      <c r="N992">
        <f>VLOOKUP(C992, Customers!A:E, 3, FALSE)</f>
        <v>51</v>
      </c>
      <c r="O992" s="93" t="str">
        <f>VLOOKUP(E992, Sales_Reps!A:C, 3, FALSE)</f>
        <v>North</v>
      </c>
      <c r="P992">
        <f>VLOOKUP(D992, Products!A:E, 4, FALSE)</f>
        <v>1219</v>
      </c>
      <c r="Q992">
        <f>IF(COUNTIF($A$2:A992, A992)=2, 1, 0)</f>
        <v>0</v>
      </c>
      <c r="R992">
        <f>IF(ISNA(MATCH(C992, Customers!$A:$A, 0)), 1, 0)</f>
        <v>0</v>
      </c>
      <c r="S992" s="94" t="b">
        <f>VLOOKUP(D992, Products!A:F, 6, FALSE)</f>
        <v>1</v>
      </c>
    </row>
    <row r="993" spans="1:19">
      <c r="A993" s="102" t="s">
        <v>1474</v>
      </c>
      <c r="B993" s="2">
        <v>45493</v>
      </c>
      <c r="C993" s="1" t="s">
        <v>482</v>
      </c>
      <c r="D993" s="1" t="s">
        <v>270</v>
      </c>
      <c r="E993" s="1" t="s">
        <v>121</v>
      </c>
      <c r="F993" s="83">
        <v>3</v>
      </c>
      <c r="G993" s="92">
        <v>4610</v>
      </c>
      <c r="H993" s="3">
        <v>13.2</v>
      </c>
      <c r="I993" s="3">
        <v>12004.44</v>
      </c>
      <c r="J993" s="1" t="s">
        <v>93</v>
      </c>
      <c r="K993" s="1" t="s">
        <v>133</v>
      </c>
      <c r="L993" t="str">
        <f>VLOOKUP(D993, Products!A:C, 3, FALSE)</f>
        <v>Home</v>
      </c>
      <c r="M993" t="str">
        <f>VLOOKUP(C993, Customers!A:E, 5, FALSE)</f>
        <v>Corporate</v>
      </c>
      <c r="N993">
        <f>VLOOKUP(C993, Customers!A:E, 3, FALSE)</f>
        <v>52</v>
      </c>
      <c r="O993" s="93" t="str">
        <f>VLOOKUP(E993, Sales_Reps!A:C, 3, FALSE)</f>
        <v>East</v>
      </c>
      <c r="P993">
        <f>VLOOKUP(D993, Products!A:E, 4, FALSE)</f>
        <v>1850</v>
      </c>
      <c r="Q993">
        <f>IF(COUNTIF($A$2:A993, A993)=2, 1, 0)</f>
        <v>0</v>
      </c>
      <c r="R993">
        <f>IF(ISNA(MATCH(C993, Customers!$A:$A, 0)), 1, 0)</f>
        <v>0</v>
      </c>
      <c r="S993" s="94" t="b">
        <f>VLOOKUP(D993, Products!A:F, 6, FALSE)</f>
        <v>1</v>
      </c>
    </row>
    <row r="994" spans="1:19">
      <c r="A994" s="102" t="s">
        <v>1475</v>
      </c>
      <c r="B994" s="2">
        <v>45356</v>
      </c>
      <c r="C994" s="1" t="s">
        <v>460</v>
      </c>
      <c r="D994" s="1" t="s">
        <v>355</v>
      </c>
      <c r="E994" s="1" t="s">
        <v>148</v>
      </c>
      <c r="F994" s="83">
        <v>1</v>
      </c>
      <c r="G994" s="92">
        <v>2510</v>
      </c>
      <c r="H994" s="3">
        <v>16.899999999999999</v>
      </c>
      <c r="I994" s="3">
        <v>2085.81</v>
      </c>
      <c r="J994" s="1" t="s">
        <v>87</v>
      </c>
      <c r="K994" s="1" t="s">
        <v>88</v>
      </c>
      <c r="L994" t="str">
        <f>VLOOKUP(D994, Products!A:C, 3, FALSE)</f>
        <v>Apparel</v>
      </c>
      <c r="M994" t="str">
        <f>VLOOKUP(C994, Customers!A:E, 5, FALSE)</f>
        <v>Corporate</v>
      </c>
      <c r="N994">
        <f>VLOOKUP(C994, Customers!A:E, 3, FALSE)</f>
        <v>37</v>
      </c>
      <c r="O994" s="93" t="str">
        <f>VLOOKUP(E994, Sales_Reps!A:C, 3, FALSE)</f>
        <v>North</v>
      </c>
      <c r="P994">
        <f>VLOOKUP(D994, Products!A:E, 4, FALSE)</f>
        <v>1075</v>
      </c>
      <c r="Q994">
        <f>IF(COUNTIF($A$2:A994, A994)=2, 1, 0)</f>
        <v>0</v>
      </c>
      <c r="R994">
        <f>IF(ISNA(MATCH(C994, Customers!$A:$A, 0)), 1, 0)</f>
        <v>0</v>
      </c>
      <c r="S994" s="94" t="b">
        <f>VLOOKUP(D994, Products!A:F, 6, FALSE)</f>
        <v>0</v>
      </c>
    </row>
    <row r="995" spans="1:19">
      <c r="A995" s="102" t="s">
        <v>1476</v>
      </c>
      <c r="B995" s="2">
        <v>45367</v>
      </c>
      <c r="C995" s="1" t="s">
        <v>643</v>
      </c>
      <c r="D995" s="1" t="s">
        <v>276</v>
      </c>
      <c r="E995" s="1" t="s">
        <v>204</v>
      </c>
      <c r="F995" s="83">
        <v>1</v>
      </c>
      <c r="G995" s="92">
        <v>3020</v>
      </c>
      <c r="H995" s="3">
        <v>26.7</v>
      </c>
      <c r="I995" s="3">
        <v>2213.66</v>
      </c>
      <c r="J995" s="1" t="s">
        <v>87</v>
      </c>
      <c r="K995" s="1" t="s">
        <v>112</v>
      </c>
      <c r="L995" t="str">
        <f>VLOOKUP(D995, Products!A:C, 3, FALSE)</f>
        <v>Beauty</v>
      </c>
      <c r="M995" t="str">
        <f>VLOOKUP(C995, Customers!A:E, 5, FALSE)</f>
        <v>SMB</v>
      </c>
      <c r="N995">
        <f>VLOOKUP(C995, Customers!A:E, 3, FALSE)</f>
        <v>27</v>
      </c>
      <c r="O995" s="93" t="str">
        <f>VLOOKUP(E995, Sales_Reps!A:C, 3, FALSE)</f>
        <v>South</v>
      </c>
      <c r="P995">
        <f>VLOOKUP(D995, Products!A:E, 4, FALSE)</f>
        <v>1626</v>
      </c>
      <c r="Q995">
        <f>IF(COUNTIF($A$2:A995, A995)=2, 1, 0)</f>
        <v>0</v>
      </c>
      <c r="R995">
        <f>IF(ISNA(MATCH(C995, Customers!$A:$A, 0)), 1, 0)</f>
        <v>0</v>
      </c>
      <c r="S995" s="94" t="b">
        <f>VLOOKUP(D995, Products!A:F, 6, FALSE)</f>
        <v>1</v>
      </c>
    </row>
    <row r="996" spans="1:19">
      <c r="A996" s="102" t="s">
        <v>1477</v>
      </c>
      <c r="B996" s="2">
        <v>45313</v>
      </c>
      <c r="C996" s="1" t="s">
        <v>559</v>
      </c>
      <c r="D996" s="1" t="s">
        <v>147</v>
      </c>
      <c r="E996" s="1" t="s">
        <v>325</v>
      </c>
      <c r="F996" s="83">
        <v>6</v>
      </c>
      <c r="G996" s="92">
        <v>190</v>
      </c>
      <c r="H996" s="3">
        <v>7.1</v>
      </c>
      <c r="I996" s="3">
        <v>1059.06</v>
      </c>
      <c r="J996" s="1" t="s">
        <v>87</v>
      </c>
      <c r="K996" s="1" t="s">
        <v>88</v>
      </c>
      <c r="L996" t="str">
        <f>VLOOKUP(D996, Products!A:C, 3, FALSE)</f>
        <v>Sports</v>
      </c>
      <c r="M996" t="str">
        <f>VLOOKUP(C996, Customers!A:E, 5, FALSE)</f>
        <v>Retail</v>
      </c>
      <c r="N996">
        <f>VLOOKUP(C996, Customers!A:E, 3, FALSE)</f>
        <v>62</v>
      </c>
      <c r="O996" s="93" t="str">
        <f>VLOOKUP(E996, Sales_Reps!A:C, 3, FALSE)</f>
        <v>South</v>
      </c>
      <c r="P996">
        <f>VLOOKUP(D996, Products!A:E, 4, FALSE)</f>
        <v>147</v>
      </c>
      <c r="Q996">
        <f>IF(COUNTIF($A$2:A996, A996)=2, 1, 0)</f>
        <v>0</v>
      </c>
      <c r="R996">
        <f>IF(ISNA(MATCH(C996, Customers!$A:$A, 0)), 1, 0)</f>
        <v>0</v>
      </c>
      <c r="S996" s="94" t="b">
        <f>VLOOKUP(D996, Products!A:F, 6, FALSE)</f>
        <v>1</v>
      </c>
    </row>
    <row r="997" spans="1:19">
      <c r="A997" s="102" t="s">
        <v>1478</v>
      </c>
      <c r="B997" s="2">
        <v>45529</v>
      </c>
      <c r="C997" s="1" t="s">
        <v>1191</v>
      </c>
      <c r="D997" s="1" t="s">
        <v>295</v>
      </c>
      <c r="E997" s="1" t="s">
        <v>297</v>
      </c>
      <c r="F997" s="83">
        <v>6</v>
      </c>
      <c r="G997" s="92">
        <v>2030</v>
      </c>
      <c r="H997" s="3">
        <v>13.5</v>
      </c>
      <c r="I997" s="3">
        <v>10535.7</v>
      </c>
      <c r="J997" s="1" t="s">
        <v>140</v>
      </c>
      <c r="K997" s="1" t="s">
        <v>117</v>
      </c>
      <c r="L997" t="str">
        <f>VLOOKUP(D997, Products!A:C, 3, FALSE)</f>
        <v>Home</v>
      </c>
      <c r="M997" t="str">
        <f>VLOOKUP(C997, Customers!A:E, 5, FALSE)</f>
        <v>Retail</v>
      </c>
      <c r="N997">
        <f>VLOOKUP(C997, Customers!A:E, 3, FALSE)</f>
        <v>36</v>
      </c>
      <c r="O997" s="93" t="str">
        <f>VLOOKUP(E997, Sales_Reps!A:C, 3, FALSE)</f>
        <v>North</v>
      </c>
      <c r="P997">
        <f>VLOOKUP(D997, Products!A:E, 4, FALSE)</f>
        <v>1143</v>
      </c>
      <c r="Q997">
        <f>IF(COUNTIF($A$2:A997, A997)=2, 1, 0)</f>
        <v>0</v>
      </c>
      <c r="R997">
        <f>IF(ISNA(MATCH(C997, Customers!$A:$A, 0)), 1, 0)</f>
        <v>0</v>
      </c>
      <c r="S997" s="94" t="b">
        <f>VLOOKUP(D997, Products!A:F, 6, FALSE)</f>
        <v>1</v>
      </c>
    </row>
    <row r="998" spans="1:19">
      <c r="A998" s="102" t="s">
        <v>1479</v>
      </c>
      <c r="B998" s="2">
        <v>45547</v>
      </c>
      <c r="C998" s="1" t="s">
        <v>828</v>
      </c>
      <c r="D998" s="1" t="s">
        <v>143</v>
      </c>
      <c r="E998" s="1" t="s">
        <v>325</v>
      </c>
      <c r="F998" s="83">
        <v>10</v>
      </c>
      <c r="G998" s="92">
        <v>3250</v>
      </c>
      <c r="H998" s="3">
        <v>8.6999999999999993</v>
      </c>
      <c r="I998" s="3">
        <v>29672.5</v>
      </c>
      <c r="J998" s="1" t="s">
        <v>87</v>
      </c>
      <c r="K998" s="1" t="s">
        <v>133</v>
      </c>
      <c r="L998" t="str">
        <f>VLOOKUP(D998, Products!A:C, 3, FALSE)</f>
        <v>Home</v>
      </c>
      <c r="M998" t="str">
        <f>VLOOKUP(C998, Customers!A:E, 5, FALSE)</f>
        <v>Retail</v>
      </c>
      <c r="N998">
        <f>VLOOKUP(C998, Customers!A:E, 3, FALSE)</f>
        <v>52</v>
      </c>
      <c r="O998" s="93" t="str">
        <f>VLOOKUP(E998, Sales_Reps!A:C, 3, FALSE)</f>
        <v>South</v>
      </c>
      <c r="P998">
        <f>VLOOKUP(D998, Products!A:E, 4, FALSE)</f>
        <v>1556</v>
      </c>
      <c r="Q998">
        <f>IF(COUNTIF($A$2:A998, A998)=2, 1, 0)</f>
        <v>0</v>
      </c>
      <c r="R998">
        <f>IF(ISNA(MATCH(C998, Customers!$A:$A, 0)), 1, 0)</f>
        <v>0</v>
      </c>
      <c r="S998" s="94" t="b">
        <f>VLOOKUP(D998, Products!A:F, 6, FALSE)</f>
        <v>1</v>
      </c>
    </row>
    <row r="999" spans="1:19">
      <c r="A999" s="102" t="s">
        <v>1480</v>
      </c>
      <c r="B999" s="2">
        <v>45299</v>
      </c>
      <c r="C999" s="1" t="s">
        <v>442</v>
      </c>
      <c r="D999" s="1" t="s">
        <v>295</v>
      </c>
      <c r="E999" s="1" t="s">
        <v>229</v>
      </c>
      <c r="F999" s="83">
        <v>9</v>
      </c>
      <c r="G999" s="92">
        <v>2030</v>
      </c>
      <c r="H999" s="3">
        <v>29.3</v>
      </c>
      <c r="I999" s="3">
        <v>12916.89</v>
      </c>
      <c r="J999" s="1" t="s">
        <v>87</v>
      </c>
      <c r="K999" s="1" t="s">
        <v>88</v>
      </c>
      <c r="L999" t="str">
        <f>VLOOKUP(D999, Products!A:C, 3, FALSE)</f>
        <v>Home</v>
      </c>
      <c r="M999" t="str">
        <f>VLOOKUP(C999, Customers!A:E, 5, FALSE)</f>
        <v>Retail</v>
      </c>
      <c r="N999">
        <f>VLOOKUP(C999, Customers!A:E, 3, FALSE)</f>
        <v>65</v>
      </c>
      <c r="O999" s="93" t="str">
        <f>VLOOKUP(E999, Sales_Reps!A:C, 3, FALSE)</f>
        <v>West</v>
      </c>
      <c r="P999">
        <f>VLOOKUP(D999, Products!A:E, 4, FALSE)</f>
        <v>1143</v>
      </c>
      <c r="Q999">
        <f>IF(COUNTIF($A$2:A999, A999)=2, 1, 0)</f>
        <v>0</v>
      </c>
      <c r="R999">
        <f>IF(ISNA(MATCH(C999, Customers!$A:$A, 0)), 1, 0)</f>
        <v>0</v>
      </c>
      <c r="S999" s="94" t="b">
        <f>VLOOKUP(D999, Products!A:F, 6, FALSE)</f>
        <v>1</v>
      </c>
    </row>
    <row r="1000" spans="1:19">
      <c r="A1000" s="102" t="s">
        <v>1481</v>
      </c>
      <c r="B1000" s="2">
        <v>45380</v>
      </c>
      <c r="C1000" s="1" t="s">
        <v>1027</v>
      </c>
      <c r="D1000" s="1" t="s">
        <v>367</v>
      </c>
      <c r="E1000" s="1" t="s">
        <v>111</v>
      </c>
      <c r="F1000" s="83">
        <v>1</v>
      </c>
      <c r="G1000" s="92">
        <v>2380</v>
      </c>
      <c r="H1000" s="3">
        <v>12.9</v>
      </c>
      <c r="I1000" s="3">
        <v>2072.98</v>
      </c>
      <c r="J1000" s="1" t="s">
        <v>87</v>
      </c>
      <c r="K1000" s="1" t="s">
        <v>112</v>
      </c>
      <c r="L1000" t="str">
        <f>VLOOKUP(D1000, Products!A:C, 3, FALSE)</f>
        <v>Grocery</v>
      </c>
      <c r="M1000" t="str">
        <f>VLOOKUP(C1000, Customers!A:E, 5, FALSE)</f>
        <v>SMB</v>
      </c>
      <c r="N1000">
        <f>VLOOKUP(C1000, Customers!A:E, 3, FALSE)</f>
        <v>47</v>
      </c>
      <c r="O1000" s="93" t="str">
        <f>VLOOKUP(E1000, Sales_Reps!A:C, 3, FALSE)</f>
        <v>West</v>
      </c>
      <c r="P1000">
        <f>VLOOKUP(D1000, Products!A:E, 4, FALSE)</f>
        <v>1182</v>
      </c>
      <c r="Q1000">
        <f>IF(COUNTIF($A$2:A1000, A1000)=2, 1, 0)</f>
        <v>0</v>
      </c>
      <c r="R1000">
        <f>IF(ISNA(MATCH(C1000, Customers!$A:$A, 0)), 1, 0)</f>
        <v>0</v>
      </c>
      <c r="S1000" s="94" t="b">
        <f>VLOOKUP(D1000, Products!A:F, 6, FALSE)</f>
        <v>1</v>
      </c>
    </row>
    <row r="1001" spans="1:19">
      <c r="A1001" s="102" t="s">
        <v>1482</v>
      </c>
      <c r="B1001" s="2">
        <v>45521</v>
      </c>
      <c r="C1001" s="1" t="s">
        <v>539</v>
      </c>
      <c r="D1001" s="1" t="s">
        <v>452</v>
      </c>
      <c r="E1001" s="1" t="s">
        <v>116</v>
      </c>
      <c r="F1001" s="83">
        <v>10</v>
      </c>
      <c r="G1001" s="92">
        <v>3450</v>
      </c>
      <c r="H1001" s="3">
        <v>18.5</v>
      </c>
      <c r="I1001" s="3">
        <v>28117.5</v>
      </c>
      <c r="J1001" s="1" t="s">
        <v>87</v>
      </c>
      <c r="K1001" s="1" t="s">
        <v>133</v>
      </c>
      <c r="L1001" t="str">
        <f>VLOOKUP(D1001, Products!A:C, 3, FALSE)</f>
        <v>Apparel</v>
      </c>
      <c r="M1001" t="str">
        <f>VLOOKUP(C1001, Customers!A:E, 5, FALSE)</f>
        <v>Retail</v>
      </c>
      <c r="N1001">
        <f>VLOOKUP(C1001, Customers!A:E, 3, FALSE)</f>
        <v>38</v>
      </c>
      <c r="O1001" s="93" t="str">
        <f>VLOOKUP(E1001, Sales_Reps!A:C, 3, FALSE)</f>
        <v>West</v>
      </c>
      <c r="P1001">
        <f>VLOOKUP(D1001, Products!A:E, 4, FALSE)</f>
        <v>1748</v>
      </c>
      <c r="Q1001">
        <f>IF(COUNTIF($A$2:A1001, A1001)=2, 1, 0)</f>
        <v>0</v>
      </c>
      <c r="R1001">
        <f>IF(ISNA(MATCH(C1001, Customers!$A:$A, 0)), 1, 0)</f>
        <v>0</v>
      </c>
      <c r="S1001" s="94" t="b">
        <f>VLOOKUP(D1001, Products!A:F, 6, FALSE)</f>
        <v>1</v>
      </c>
    </row>
    <row r="1002" spans="1:19">
      <c r="A1002" s="102" t="s">
        <v>1483</v>
      </c>
      <c r="B1002" s="2">
        <v>45500</v>
      </c>
      <c r="C1002" s="1" t="s">
        <v>278</v>
      </c>
      <c r="D1002" s="1" t="s">
        <v>106</v>
      </c>
      <c r="E1002" s="1" t="s">
        <v>297</v>
      </c>
      <c r="F1002" s="83">
        <v>10</v>
      </c>
      <c r="G1002" s="92">
        <v>3160</v>
      </c>
      <c r="H1002" s="3">
        <v>26.3</v>
      </c>
      <c r="I1002" s="3">
        <v>23289.200000000001</v>
      </c>
      <c r="J1002" s="1" t="s">
        <v>87</v>
      </c>
      <c r="K1002" s="1" t="s">
        <v>133</v>
      </c>
      <c r="L1002" t="str">
        <f>VLOOKUP(D1002, Products!A:C, 3, FALSE)</f>
        <v>Apparel</v>
      </c>
      <c r="M1002" t="str">
        <f>VLOOKUP(C1002, Customers!A:E, 5, FALSE)</f>
        <v>Corporate</v>
      </c>
      <c r="N1002">
        <f>VLOOKUP(C1002, Customers!A:E, 3, FALSE)</f>
        <v>29</v>
      </c>
      <c r="O1002" s="93" t="str">
        <f>VLOOKUP(E1002, Sales_Reps!A:C, 3, FALSE)</f>
        <v>North</v>
      </c>
      <c r="P1002">
        <f>VLOOKUP(D1002, Products!A:E, 4, FALSE)</f>
        <v>1886</v>
      </c>
      <c r="Q1002">
        <f>IF(COUNTIF($A$2:A1002, A1002)=2, 1, 0)</f>
        <v>0</v>
      </c>
      <c r="R1002">
        <f>IF(ISNA(MATCH(C1002, Customers!$A:$A, 0)), 1, 0)</f>
        <v>0</v>
      </c>
      <c r="S1002" s="94" t="b">
        <f>VLOOKUP(D1002, Products!A:F, 6, FALSE)</f>
        <v>1</v>
      </c>
    </row>
    <row r="1003" spans="1:19">
      <c r="A1003" s="102" t="s">
        <v>1484</v>
      </c>
      <c r="B1003" s="2">
        <v>45531</v>
      </c>
      <c r="C1003" s="1" t="s">
        <v>353</v>
      </c>
      <c r="D1003" s="1" t="s">
        <v>124</v>
      </c>
      <c r="E1003" s="1" t="s">
        <v>201</v>
      </c>
      <c r="F1003" s="83">
        <v>10</v>
      </c>
      <c r="G1003" s="92">
        <v>5490</v>
      </c>
      <c r="H1003" s="3">
        <v>22.7</v>
      </c>
      <c r="I1003" s="3">
        <v>42437.7</v>
      </c>
      <c r="J1003" s="1" t="s">
        <v>87</v>
      </c>
      <c r="K1003" s="1" t="s">
        <v>94</v>
      </c>
      <c r="L1003" t="str">
        <f>VLOOKUP(D1003, Products!A:C, 3, FALSE)</f>
        <v>Home</v>
      </c>
      <c r="M1003" t="str">
        <f>VLOOKUP(C1003, Customers!A:E, 5, FALSE)</f>
        <v>Retail</v>
      </c>
      <c r="N1003">
        <f>VLOOKUP(C1003, Customers!A:E, 3, FALSE)</f>
        <v>60</v>
      </c>
      <c r="O1003" s="93" t="str">
        <f>VLOOKUP(E1003, Sales_Reps!A:C, 3, FALSE)</f>
        <v>West</v>
      </c>
      <c r="P1003">
        <f>VLOOKUP(D1003, Products!A:E, 4, FALSE)</f>
        <v>2549</v>
      </c>
      <c r="Q1003">
        <f>IF(COUNTIF($A$2:A1003, A1003)=2, 1, 0)</f>
        <v>0</v>
      </c>
      <c r="R1003">
        <f>IF(ISNA(MATCH(C1003, Customers!$A:$A, 0)), 1, 0)</f>
        <v>0</v>
      </c>
      <c r="S1003" s="94" t="b">
        <f>VLOOKUP(D1003, Products!A:F, 6, FALSE)</f>
        <v>1</v>
      </c>
    </row>
    <row r="1004" spans="1:19">
      <c r="A1004" s="102" t="s">
        <v>1485</v>
      </c>
      <c r="B1004" s="2">
        <v>45563</v>
      </c>
      <c r="C1004" s="1" t="s">
        <v>700</v>
      </c>
      <c r="D1004" s="1" t="s">
        <v>195</v>
      </c>
      <c r="E1004" s="1" t="s">
        <v>103</v>
      </c>
      <c r="F1004" s="83">
        <v>8</v>
      </c>
      <c r="G1004" s="92">
        <v>2860</v>
      </c>
      <c r="H1004" s="3">
        <v>14.3</v>
      </c>
      <c r="I1004" s="3">
        <v>19608.16</v>
      </c>
      <c r="J1004" s="1" t="s">
        <v>87</v>
      </c>
      <c r="K1004" s="1" t="s">
        <v>94</v>
      </c>
      <c r="L1004" t="str">
        <f>VLOOKUP(D1004, Products!A:C, 3, FALSE)</f>
        <v>Sports</v>
      </c>
      <c r="M1004" t="str">
        <f>VLOOKUP(C1004, Customers!A:E, 5, FALSE)</f>
        <v>SMB</v>
      </c>
      <c r="N1004">
        <f>VLOOKUP(C1004, Customers!A:E, 3, FALSE)</f>
        <v>46</v>
      </c>
      <c r="O1004" s="93" t="str">
        <f>VLOOKUP(E1004, Sales_Reps!A:C, 3, FALSE)</f>
        <v>North</v>
      </c>
      <c r="P1004">
        <f>VLOOKUP(D1004, Products!A:E, 4, FALSE)</f>
        <v>2028</v>
      </c>
      <c r="Q1004">
        <f>IF(COUNTIF($A$2:A1004, A1004)=2, 1, 0)</f>
        <v>0</v>
      </c>
      <c r="R1004">
        <f>IF(ISNA(MATCH(C1004, Customers!$A:$A, 0)), 1, 0)</f>
        <v>0</v>
      </c>
      <c r="S1004" s="94" t="b">
        <f>VLOOKUP(D1004, Products!A:F, 6, FALSE)</f>
        <v>1</v>
      </c>
    </row>
    <row r="1005" spans="1:19">
      <c r="A1005" s="102" t="s">
        <v>1486</v>
      </c>
      <c r="B1005" s="2">
        <v>45416</v>
      </c>
      <c r="C1005" s="1" t="s">
        <v>247</v>
      </c>
      <c r="D1005" s="1" t="s">
        <v>380</v>
      </c>
      <c r="E1005" s="1" t="s">
        <v>273</v>
      </c>
      <c r="F1005" s="83">
        <v>1</v>
      </c>
      <c r="G1005" s="92">
        <v>960</v>
      </c>
      <c r="H1005" s="3">
        <v>11.9</v>
      </c>
      <c r="I1005" s="3">
        <v>845.76</v>
      </c>
      <c r="J1005" s="1" t="s">
        <v>87</v>
      </c>
      <c r="K1005" s="1" t="s">
        <v>117</v>
      </c>
      <c r="L1005" t="str">
        <f>VLOOKUP(D1005, Products!A:C, 3, FALSE)</f>
        <v>Beauty</v>
      </c>
      <c r="M1005" t="str">
        <f>VLOOKUP(C1005, Customers!A:E, 5, FALSE)</f>
        <v>Retail</v>
      </c>
      <c r="N1005">
        <f>VLOOKUP(C1005, Customers!A:E, 3, FALSE)</f>
        <v>34</v>
      </c>
      <c r="O1005" s="93" t="str">
        <f>VLOOKUP(E1005, Sales_Reps!A:C, 3, FALSE)</f>
        <v>South</v>
      </c>
      <c r="P1005">
        <f>VLOOKUP(D1005, Products!A:E, 4, FALSE)</f>
        <v>675</v>
      </c>
      <c r="Q1005">
        <f>IF(COUNTIF($A$2:A1005, A1005)=2, 1, 0)</f>
        <v>0</v>
      </c>
      <c r="R1005">
        <f>IF(ISNA(MATCH(C1005, Customers!$A:$A, 0)), 1, 0)</f>
        <v>0</v>
      </c>
      <c r="S1005" s="94" t="b">
        <f>VLOOKUP(D1005, Products!A:F, 6, FALSE)</f>
        <v>1</v>
      </c>
    </row>
    <row r="1006" spans="1:19">
      <c r="A1006" s="102" t="s">
        <v>1487</v>
      </c>
      <c r="B1006" s="2">
        <v>45430</v>
      </c>
      <c r="C1006" s="1" t="s">
        <v>752</v>
      </c>
      <c r="D1006" s="1" t="s">
        <v>164</v>
      </c>
      <c r="E1006" s="1" t="s">
        <v>86</v>
      </c>
      <c r="F1006" s="83">
        <v>3</v>
      </c>
      <c r="G1006" s="92">
        <v>1080</v>
      </c>
      <c r="H1006" s="3">
        <v>26</v>
      </c>
      <c r="I1006" s="3">
        <v>2397.6</v>
      </c>
      <c r="J1006" s="1" t="s">
        <v>87</v>
      </c>
      <c r="K1006" s="1" t="s">
        <v>117</v>
      </c>
      <c r="L1006" t="str">
        <f>VLOOKUP(D1006, Products!A:C, 3, FALSE)</f>
        <v>Home</v>
      </c>
      <c r="M1006" t="str">
        <f>VLOOKUP(C1006, Customers!A:E, 5, FALSE)</f>
        <v>Retail</v>
      </c>
      <c r="N1006">
        <f>VLOOKUP(C1006, Customers!A:E, 3, FALSE)</f>
        <v>32</v>
      </c>
      <c r="O1006" s="93" t="str">
        <f>VLOOKUP(E1006, Sales_Reps!A:C, 3, FALSE)</f>
        <v>North</v>
      </c>
      <c r="P1006">
        <f>VLOOKUP(D1006, Products!A:E, 4, FALSE)</f>
        <v>519</v>
      </c>
      <c r="Q1006">
        <f>IF(COUNTIF($A$2:A1006, A1006)=2, 1, 0)</f>
        <v>0</v>
      </c>
      <c r="R1006">
        <f>IF(ISNA(MATCH(C1006, Customers!$A:$A, 0)), 1, 0)</f>
        <v>0</v>
      </c>
      <c r="S1006" s="94" t="b">
        <f>VLOOKUP(D1006, Products!A:F, 6, FALSE)</f>
        <v>1</v>
      </c>
    </row>
    <row r="1007" spans="1:19">
      <c r="A1007" s="102" t="s">
        <v>1488</v>
      </c>
      <c r="B1007" s="2">
        <v>45585</v>
      </c>
      <c r="C1007" s="1" t="s">
        <v>390</v>
      </c>
      <c r="D1007" s="1" t="s">
        <v>195</v>
      </c>
      <c r="E1007" s="1" t="s">
        <v>215</v>
      </c>
      <c r="F1007" s="83">
        <v>10</v>
      </c>
      <c r="G1007" s="92">
        <v>2860</v>
      </c>
      <c r="H1007" s="3">
        <v>13.1</v>
      </c>
      <c r="I1007" s="3">
        <v>24853.4</v>
      </c>
      <c r="J1007" s="1" t="s">
        <v>144</v>
      </c>
      <c r="K1007" s="1" t="s">
        <v>88</v>
      </c>
      <c r="L1007" t="str">
        <f>VLOOKUP(D1007, Products!A:C, 3, FALSE)</f>
        <v>Sports</v>
      </c>
      <c r="M1007" t="str">
        <f>VLOOKUP(C1007, Customers!A:E, 5, FALSE)</f>
        <v>SMB</v>
      </c>
      <c r="N1007">
        <f>VLOOKUP(C1007, Customers!A:E, 3, FALSE)</f>
        <v>54</v>
      </c>
      <c r="O1007" s="93" t="str">
        <f>VLOOKUP(E1007, Sales_Reps!A:C, 3, FALSE)</f>
        <v>North</v>
      </c>
      <c r="P1007">
        <f>VLOOKUP(D1007, Products!A:E, 4, FALSE)</f>
        <v>2028</v>
      </c>
      <c r="Q1007">
        <f>IF(COUNTIF($A$2:A1007, A1007)=2, 1, 0)</f>
        <v>0</v>
      </c>
      <c r="R1007">
        <f>IF(ISNA(MATCH(C1007, Customers!$A:$A, 0)), 1, 0)</f>
        <v>0</v>
      </c>
      <c r="S1007" s="94" t="b">
        <f>VLOOKUP(D1007, Products!A:F, 6, FALSE)</f>
        <v>1</v>
      </c>
    </row>
    <row r="1008" spans="1:19">
      <c r="A1008" s="102" t="s">
        <v>1489</v>
      </c>
      <c r="B1008" s="2">
        <v>45630</v>
      </c>
      <c r="C1008" s="1" t="s">
        <v>1361</v>
      </c>
      <c r="D1008" s="1" t="s">
        <v>237</v>
      </c>
      <c r="E1008" s="1" t="s">
        <v>215</v>
      </c>
      <c r="F1008" s="83">
        <v>3</v>
      </c>
      <c r="G1008" s="92">
        <v>3640</v>
      </c>
      <c r="H1008" s="3">
        <v>18.2</v>
      </c>
      <c r="I1008" s="3">
        <v>8932.56</v>
      </c>
      <c r="J1008" s="1" t="s">
        <v>87</v>
      </c>
      <c r="K1008" s="1" t="s">
        <v>94</v>
      </c>
      <c r="L1008" t="str">
        <f>VLOOKUP(D1008, Products!A:C, 3, FALSE)</f>
        <v>Apparel</v>
      </c>
      <c r="M1008" t="str">
        <f>VLOOKUP(C1008, Customers!A:E, 5, FALSE)</f>
        <v>Retail</v>
      </c>
      <c r="N1008">
        <f>VLOOKUP(C1008, Customers!A:E, 3, FALSE)</f>
        <v>34</v>
      </c>
      <c r="O1008" s="93" t="str">
        <f>VLOOKUP(E1008, Sales_Reps!A:C, 3, FALSE)</f>
        <v>North</v>
      </c>
      <c r="P1008">
        <f>VLOOKUP(D1008, Products!A:E, 4, FALSE)</f>
        <v>2611</v>
      </c>
      <c r="Q1008">
        <f>IF(COUNTIF($A$2:A1008, A1008)=2, 1, 0)</f>
        <v>0</v>
      </c>
      <c r="R1008">
        <f>IF(ISNA(MATCH(C1008, Customers!$A:$A, 0)), 1, 0)</f>
        <v>0</v>
      </c>
      <c r="S1008" s="94" t="b">
        <f>VLOOKUP(D1008, Products!A:F, 6, FALSE)</f>
        <v>1</v>
      </c>
    </row>
    <row r="1009" spans="1:19">
      <c r="A1009" s="102" t="s">
        <v>1490</v>
      </c>
      <c r="B1009" s="2">
        <v>45405</v>
      </c>
      <c r="C1009" s="1" t="s">
        <v>206</v>
      </c>
      <c r="D1009" s="1" t="s">
        <v>173</v>
      </c>
      <c r="E1009" s="1" t="s">
        <v>303</v>
      </c>
      <c r="F1009" s="83">
        <v>3</v>
      </c>
      <c r="G1009" s="92">
        <v>2720</v>
      </c>
      <c r="H1009" s="3">
        <v>3.6</v>
      </c>
      <c r="I1009" s="3">
        <v>7866.24</v>
      </c>
      <c r="J1009" s="1" t="s">
        <v>87</v>
      </c>
      <c r="K1009" s="1" t="s">
        <v>133</v>
      </c>
      <c r="L1009" t="str">
        <f>VLOOKUP(D1009, Products!A:C, 3, FALSE)</f>
        <v>Apparel</v>
      </c>
      <c r="M1009" t="str">
        <f>VLOOKUP(C1009, Customers!A:E, 5, FALSE)</f>
        <v>SMB</v>
      </c>
      <c r="N1009">
        <f>VLOOKUP(C1009, Customers!A:E, 3, FALSE)</f>
        <v>40</v>
      </c>
      <c r="O1009" s="93" t="str">
        <f>VLOOKUP(E1009, Sales_Reps!A:C, 3, FALSE)</f>
        <v>East</v>
      </c>
      <c r="P1009">
        <f>VLOOKUP(D1009, Products!A:E, 4, FALSE)</f>
        <v>1962</v>
      </c>
      <c r="Q1009">
        <f>IF(COUNTIF($A$2:A1009, A1009)=2, 1, 0)</f>
        <v>0</v>
      </c>
      <c r="R1009">
        <f>IF(ISNA(MATCH(C1009, Customers!$A:$A, 0)), 1, 0)</f>
        <v>0</v>
      </c>
      <c r="S1009" s="94" t="b">
        <f>VLOOKUP(D1009, Products!A:F, 6, FALSE)</f>
        <v>1</v>
      </c>
    </row>
    <row r="1010" spans="1:19">
      <c r="A1010" s="102" t="s">
        <v>1491</v>
      </c>
      <c r="B1010" s="2">
        <v>45630</v>
      </c>
      <c r="C1010" s="1" t="s">
        <v>537</v>
      </c>
      <c r="D1010" s="1" t="s">
        <v>131</v>
      </c>
      <c r="E1010" s="1" t="s">
        <v>107</v>
      </c>
      <c r="F1010" s="83">
        <v>4</v>
      </c>
      <c r="G1010" s="92">
        <v>2270</v>
      </c>
      <c r="H1010" s="3">
        <v>18.399999999999999</v>
      </c>
      <c r="I1010" s="3">
        <v>7409.28</v>
      </c>
      <c r="J1010" s="1" t="s">
        <v>87</v>
      </c>
      <c r="K1010" s="1" t="s">
        <v>133</v>
      </c>
      <c r="L1010" t="str">
        <f>VLOOKUP(D1010, Products!A:C, 3, FALSE)</f>
        <v>Grocery</v>
      </c>
      <c r="M1010" t="str">
        <f>VLOOKUP(C1010, Customers!A:E, 5, FALSE)</f>
        <v>SMB</v>
      </c>
      <c r="N1010">
        <f>VLOOKUP(C1010, Customers!A:E, 3, FALSE)</f>
        <v>48</v>
      </c>
      <c r="O1010" s="93" t="str">
        <f>VLOOKUP(E1010, Sales_Reps!A:C, 3, FALSE)</f>
        <v>North</v>
      </c>
      <c r="P1010">
        <f>VLOOKUP(D1010, Products!A:E, 4, FALSE)</f>
        <v>1203</v>
      </c>
      <c r="Q1010">
        <f>IF(COUNTIF($A$2:A1010, A1010)=2, 1, 0)</f>
        <v>0</v>
      </c>
      <c r="R1010">
        <f>IF(ISNA(MATCH(C1010, Customers!$A:$A, 0)), 1, 0)</f>
        <v>0</v>
      </c>
      <c r="S1010" s="94" t="b">
        <f>VLOOKUP(D1010, Products!A:F, 6, FALSE)</f>
        <v>1</v>
      </c>
    </row>
    <row r="1011" spans="1:19">
      <c r="A1011" s="102" t="s">
        <v>1492</v>
      </c>
      <c r="B1011" s="2">
        <v>45483</v>
      </c>
      <c r="C1011" s="1" t="s">
        <v>1193</v>
      </c>
      <c r="D1011" s="1" t="s">
        <v>267</v>
      </c>
      <c r="E1011" s="1" t="s">
        <v>229</v>
      </c>
      <c r="F1011" s="83">
        <v>5</v>
      </c>
      <c r="G1011" s="92">
        <v>1220</v>
      </c>
      <c r="H1011" s="3">
        <v>13.9</v>
      </c>
      <c r="I1011" s="3">
        <v>5252.1</v>
      </c>
      <c r="J1011" s="1" t="s">
        <v>87</v>
      </c>
      <c r="K1011" s="1" t="s">
        <v>133</v>
      </c>
      <c r="L1011" t="str">
        <f>VLOOKUP(D1011, Products!A:C, 3, FALSE)</f>
        <v>Electronics</v>
      </c>
      <c r="M1011" t="str">
        <f>VLOOKUP(C1011, Customers!A:E, 5, FALSE)</f>
        <v>SMB</v>
      </c>
      <c r="N1011">
        <f>VLOOKUP(C1011, Customers!A:E, 3, FALSE)</f>
        <v>25</v>
      </c>
      <c r="O1011" s="93" t="str">
        <f>VLOOKUP(E1011, Sales_Reps!A:C, 3, FALSE)</f>
        <v>West</v>
      </c>
      <c r="P1011">
        <f>VLOOKUP(D1011, Products!A:E, 4, FALSE)</f>
        <v>517</v>
      </c>
      <c r="Q1011">
        <f>IF(COUNTIF($A$2:A1011, A1011)=2, 1, 0)</f>
        <v>0</v>
      </c>
      <c r="R1011">
        <f>IF(ISNA(MATCH(C1011, Customers!$A:$A, 0)), 1, 0)</f>
        <v>0</v>
      </c>
      <c r="S1011" s="94" t="b">
        <f>VLOOKUP(D1011, Products!A:F, 6, FALSE)</f>
        <v>1</v>
      </c>
    </row>
    <row r="1012" spans="1:19">
      <c r="A1012" s="102" t="s">
        <v>1493</v>
      </c>
      <c r="B1012" s="2">
        <v>45530</v>
      </c>
      <c r="C1012" s="1" t="s">
        <v>299</v>
      </c>
      <c r="D1012" s="1" t="s">
        <v>135</v>
      </c>
      <c r="E1012" s="1" t="s">
        <v>188</v>
      </c>
      <c r="F1012" s="83">
        <v>8</v>
      </c>
      <c r="G1012" s="92">
        <v>2640</v>
      </c>
      <c r="H1012" s="3">
        <v>17.3</v>
      </c>
      <c r="I1012" s="3">
        <v>17466.240000000002</v>
      </c>
      <c r="J1012" s="1" t="s">
        <v>87</v>
      </c>
      <c r="K1012" s="1" t="s">
        <v>133</v>
      </c>
      <c r="L1012" t="str">
        <f>VLOOKUP(D1012, Products!A:C, 3, FALSE)</f>
        <v>Electronics</v>
      </c>
      <c r="M1012" t="str">
        <f>VLOOKUP(C1012, Customers!A:E, 5, FALSE)</f>
        <v>Retail</v>
      </c>
      <c r="N1012">
        <f>VLOOKUP(C1012, Customers!A:E, 3, FALSE)</f>
        <v>29</v>
      </c>
      <c r="O1012" s="93" t="str">
        <f>VLOOKUP(E1012, Sales_Reps!A:C, 3, FALSE)</f>
        <v>South</v>
      </c>
      <c r="P1012">
        <f>VLOOKUP(D1012, Products!A:E, 4, FALSE)</f>
        <v>1149</v>
      </c>
      <c r="Q1012">
        <f>IF(COUNTIF($A$2:A1012, A1012)=2, 1, 0)</f>
        <v>0</v>
      </c>
      <c r="R1012">
        <f>IF(ISNA(MATCH(C1012, Customers!$A:$A, 0)), 1, 0)</f>
        <v>0</v>
      </c>
      <c r="S1012" s="94" t="b">
        <f>VLOOKUP(D1012, Products!A:F, 6, FALSE)</f>
        <v>1</v>
      </c>
    </row>
    <row r="1013" spans="1:19">
      <c r="A1013" s="102" t="s">
        <v>1494</v>
      </c>
      <c r="B1013" s="2">
        <v>45500</v>
      </c>
      <c r="C1013" s="1" t="s">
        <v>376</v>
      </c>
      <c r="D1013" s="1" t="s">
        <v>127</v>
      </c>
      <c r="E1013" s="1" t="s">
        <v>188</v>
      </c>
      <c r="F1013" s="83">
        <v>1</v>
      </c>
      <c r="G1013" s="92">
        <v>970</v>
      </c>
      <c r="H1013" s="3">
        <v>28</v>
      </c>
      <c r="I1013" s="3">
        <v>698.4</v>
      </c>
      <c r="J1013" s="1" t="s">
        <v>140</v>
      </c>
      <c r="K1013" s="1" t="s">
        <v>117</v>
      </c>
      <c r="L1013" t="str">
        <f>VLOOKUP(D1013, Products!A:C, 3, FALSE)</f>
        <v>Grocery</v>
      </c>
      <c r="M1013" t="str">
        <f>VLOOKUP(C1013, Customers!A:E, 5, FALSE)</f>
        <v>SMB</v>
      </c>
      <c r="N1013">
        <f>VLOOKUP(C1013, Customers!A:E, 3, FALSE)</f>
        <v>44</v>
      </c>
      <c r="O1013" s="93" t="str">
        <f>VLOOKUP(E1013, Sales_Reps!A:C, 3, FALSE)</f>
        <v>South</v>
      </c>
      <c r="P1013">
        <f>VLOOKUP(D1013, Products!A:E, 4, FALSE)</f>
        <v>434</v>
      </c>
      <c r="Q1013">
        <f>IF(COUNTIF($A$2:A1013, A1013)=2, 1, 0)</f>
        <v>0</v>
      </c>
      <c r="R1013">
        <f>IF(ISNA(MATCH(C1013, Customers!$A:$A, 0)), 1, 0)</f>
        <v>0</v>
      </c>
      <c r="S1013" s="94" t="b">
        <f>VLOOKUP(D1013, Products!A:F, 6, FALSE)</f>
        <v>1</v>
      </c>
    </row>
    <row r="1014" spans="1:19">
      <c r="A1014" s="102" t="s">
        <v>1495</v>
      </c>
      <c r="B1014" s="2">
        <v>45358</v>
      </c>
      <c r="C1014" s="1" t="s">
        <v>275</v>
      </c>
      <c r="D1014" s="1" t="s">
        <v>226</v>
      </c>
      <c r="E1014" s="1" t="s">
        <v>111</v>
      </c>
      <c r="F1014" s="83">
        <v>8</v>
      </c>
      <c r="G1014" s="92">
        <v>3730</v>
      </c>
      <c r="H1014" s="3">
        <v>2.1</v>
      </c>
      <c r="I1014" s="3">
        <v>29213.360000000001</v>
      </c>
      <c r="J1014" s="1" t="s">
        <v>144</v>
      </c>
      <c r="K1014" s="1" t="s">
        <v>88</v>
      </c>
      <c r="L1014" t="str">
        <f>VLOOKUP(D1014, Products!A:C, 3, FALSE)</f>
        <v>Home</v>
      </c>
      <c r="M1014" t="str">
        <f>VLOOKUP(C1014, Customers!A:E, 5, FALSE)</f>
        <v>Retail</v>
      </c>
      <c r="N1014">
        <f>VLOOKUP(C1014, Customers!A:E, 3, FALSE)</f>
        <v>44</v>
      </c>
      <c r="O1014" s="93" t="str">
        <f>VLOOKUP(E1014, Sales_Reps!A:C, 3, FALSE)</f>
        <v>West</v>
      </c>
      <c r="P1014">
        <f>VLOOKUP(D1014, Products!A:E, 4, FALSE)</f>
        <v>2135</v>
      </c>
      <c r="Q1014">
        <f>IF(COUNTIF($A$2:A1014, A1014)=2, 1, 0)</f>
        <v>0</v>
      </c>
      <c r="R1014">
        <f>IF(ISNA(MATCH(C1014, Customers!$A:$A, 0)), 1, 0)</f>
        <v>0</v>
      </c>
      <c r="S1014" s="94" t="b">
        <f>VLOOKUP(D1014, Products!A:F, 6, FALSE)</f>
        <v>1</v>
      </c>
    </row>
    <row r="1015" spans="1:19">
      <c r="A1015" s="102" t="s">
        <v>1496</v>
      </c>
      <c r="B1015" s="2">
        <v>45598</v>
      </c>
      <c r="C1015" s="1" t="s">
        <v>785</v>
      </c>
      <c r="D1015" s="1" t="s">
        <v>127</v>
      </c>
      <c r="E1015" s="1" t="s">
        <v>116</v>
      </c>
      <c r="F1015" s="83">
        <v>7</v>
      </c>
      <c r="G1015" s="92">
        <v>970</v>
      </c>
      <c r="H1015" s="3">
        <v>25.5</v>
      </c>
      <c r="I1015" s="3">
        <v>5058.55</v>
      </c>
      <c r="J1015" s="1" t="s">
        <v>87</v>
      </c>
      <c r="K1015" s="1" t="s">
        <v>88</v>
      </c>
      <c r="L1015" t="str">
        <f>VLOOKUP(D1015, Products!A:C, 3, FALSE)</f>
        <v>Grocery</v>
      </c>
      <c r="M1015" t="str">
        <f>VLOOKUP(C1015, Customers!A:E, 5, FALSE)</f>
        <v>Retail</v>
      </c>
      <c r="N1015">
        <f>VLOOKUP(C1015, Customers!A:E, 3, FALSE)</f>
        <v>31</v>
      </c>
      <c r="O1015" s="93" t="str">
        <f>VLOOKUP(E1015, Sales_Reps!A:C, 3, FALSE)</f>
        <v>West</v>
      </c>
      <c r="P1015">
        <f>VLOOKUP(D1015, Products!A:E, 4, FALSE)</f>
        <v>434</v>
      </c>
      <c r="Q1015">
        <f>IF(COUNTIF($A$2:A1015, A1015)=2, 1, 0)</f>
        <v>0</v>
      </c>
      <c r="R1015">
        <f>IF(ISNA(MATCH(C1015, Customers!$A:$A, 0)), 1, 0)</f>
        <v>0</v>
      </c>
      <c r="S1015" s="94" t="b">
        <f>VLOOKUP(D1015, Products!A:F, 6, FALSE)</f>
        <v>1</v>
      </c>
    </row>
    <row r="1016" spans="1:19">
      <c r="A1016" s="102" t="s">
        <v>1497</v>
      </c>
      <c r="B1016" s="2">
        <v>45318</v>
      </c>
      <c r="C1016" s="1" t="s">
        <v>359</v>
      </c>
      <c r="D1016" s="1" t="s">
        <v>187</v>
      </c>
      <c r="E1016" s="1" t="s">
        <v>285</v>
      </c>
      <c r="F1016" s="83">
        <v>6</v>
      </c>
      <c r="G1016" s="92">
        <v>3570</v>
      </c>
      <c r="H1016" s="3">
        <v>9.9</v>
      </c>
      <c r="I1016" s="3">
        <v>19299.419999999998</v>
      </c>
      <c r="J1016" s="1" t="s">
        <v>87</v>
      </c>
      <c r="K1016" s="1" t="s">
        <v>99</v>
      </c>
      <c r="L1016" t="str">
        <f>VLOOKUP(D1016, Products!A:C, 3, FALSE)</f>
        <v>Electronics</v>
      </c>
      <c r="M1016" t="str">
        <f>VLOOKUP(C1016, Customers!A:E, 5, FALSE)</f>
        <v>SMB</v>
      </c>
      <c r="N1016">
        <f>VLOOKUP(C1016, Customers!A:E, 3, FALSE)</f>
        <v>28</v>
      </c>
      <c r="O1016" s="93" t="str">
        <f>VLOOKUP(E1016, Sales_Reps!A:C, 3, FALSE)</f>
        <v>East</v>
      </c>
      <c r="P1016">
        <f>VLOOKUP(D1016, Products!A:E, 4, FALSE)</f>
        <v>1665</v>
      </c>
      <c r="Q1016">
        <f>IF(COUNTIF($A$2:A1016, A1016)=2, 1, 0)</f>
        <v>0</v>
      </c>
      <c r="R1016">
        <f>IF(ISNA(MATCH(C1016, Customers!$A:$A, 0)), 1, 0)</f>
        <v>0</v>
      </c>
      <c r="S1016" s="94" t="b">
        <f>VLOOKUP(D1016, Products!A:F, 6, FALSE)</f>
        <v>1</v>
      </c>
    </row>
    <row r="1017" spans="1:19">
      <c r="A1017" s="102" t="s">
        <v>1498</v>
      </c>
      <c r="B1017" s="2">
        <v>45524</v>
      </c>
      <c r="C1017" s="1" t="s">
        <v>1499</v>
      </c>
      <c r="D1017" s="1" t="s">
        <v>127</v>
      </c>
      <c r="E1017" s="1" t="s">
        <v>346</v>
      </c>
      <c r="F1017" s="83">
        <v>6</v>
      </c>
      <c r="G1017" s="92">
        <v>970</v>
      </c>
      <c r="H1017" s="3">
        <v>19.600000000000001</v>
      </c>
      <c r="I1017" s="3">
        <v>4679.28</v>
      </c>
      <c r="J1017" s="1" t="s">
        <v>87</v>
      </c>
      <c r="K1017" s="1" t="s">
        <v>94</v>
      </c>
      <c r="L1017" t="str">
        <f>VLOOKUP(D1017, Products!A:C, 3, FALSE)</f>
        <v>Grocery</v>
      </c>
      <c r="M1017" t="str">
        <f>VLOOKUP(C1017, Customers!A:E, 5, FALSE)</f>
        <v>Retail</v>
      </c>
      <c r="N1017">
        <f>VLOOKUP(C1017, Customers!A:E, 3, FALSE)</f>
        <v>26</v>
      </c>
      <c r="O1017" s="93" t="str">
        <f>VLOOKUP(E1017, Sales_Reps!A:C, 3, FALSE)</f>
        <v>South</v>
      </c>
      <c r="P1017">
        <f>VLOOKUP(D1017, Products!A:E, 4, FALSE)</f>
        <v>434</v>
      </c>
      <c r="Q1017">
        <f>IF(COUNTIF($A$2:A1017, A1017)=2, 1, 0)</f>
        <v>0</v>
      </c>
      <c r="R1017">
        <f>IF(ISNA(MATCH(C1017, Customers!$A:$A, 0)), 1, 0)</f>
        <v>0</v>
      </c>
      <c r="S1017" s="94" t="b">
        <f>VLOOKUP(D1017, Products!A:F, 6, FALSE)</f>
        <v>1</v>
      </c>
    </row>
    <row r="1018" spans="1:19">
      <c r="A1018" s="102" t="s">
        <v>1500</v>
      </c>
      <c r="B1018" s="2">
        <v>45554</v>
      </c>
      <c r="C1018" s="1" t="s">
        <v>219</v>
      </c>
      <c r="D1018" s="1" t="s">
        <v>461</v>
      </c>
      <c r="E1018" s="1" t="s">
        <v>273</v>
      </c>
      <c r="F1018" s="83">
        <v>8</v>
      </c>
      <c r="G1018" s="92">
        <v>3780</v>
      </c>
      <c r="H1018" s="3">
        <v>26.5</v>
      </c>
      <c r="I1018" s="3">
        <v>22226.400000000001</v>
      </c>
      <c r="J1018" s="1" t="s">
        <v>87</v>
      </c>
      <c r="K1018" s="1" t="s">
        <v>99</v>
      </c>
      <c r="L1018" t="str">
        <f>VLOOKUP(D1018, Products!A:C, 3, FALSE)</f>
        <v>Sports</v>
      </c>
      <c r="M1018" t="str">
        <f>VLOOKUP(C1018, Customers!A:E, 5, FALSE)</f>
        <v>SMB</v>
      </c>
      <c r="N1018">
        <f>VLOOKUP(C1018, Customers!A:E, 3, FALSE)</f>
        <v>50</v>
      </c>
      <c r="O1018" s="93" t="str">
        <f>VLOOKUP(E1018, Sales_Reps!A:C, 3, FALSE)</f>
        <v>South</v>
      </c>
      <c r="P1018">
        <f>VLOOKUP(D1018, Products!A:E, 4, FALSE)</f>
        <v>1860</v>
      </c>
      <c r="Q1018">
        <f>IF(COUNTIF($A$2:A1018, A1018)=2, 1, 0)</f>
        <v>0</v>
      </c>
      <c r="R1018">
        <f>IF(ISNA(MATCH(C1018, Customers!$A:$A, 0)), 1, 0)</f>
        <v>0</v>
      </c>
      <c r="S1018" s="94" t="b">
        <f>VLOOKUP(D1018, Products!A:F, 6, FALSE)</f>
        <v>1</v>
      </c>
    </row>
    <row r="1019" spans="1:19">
      <c r="A1019" s="102" t="s">
        <v>1501</v>
      </c>
      <c r="B1019" s="2">
        <v>45528</v>
      </c>
      <c r="C1019" s="1" t="s">
        <v>921</v>
      </c>
      <c r="D1019" s="1" t="s">
        <v>151</v>
      </c>
      <c r="E1019" s="1" t="s">
        <v>273</v>
      </c>
      <c r="F1019" s="83">
        <v>6</v>
      </c>
      <c r="G1019" s="92">
        <v>2400</v>
      </c>
      <c r="H1019" s="3">
        <v>1.4</v>
      </c>
      <c r="I1019" s="3">
        <v>14198.4</v>
      </c>
      <c r="J1019" s="1" t="s">
        <v>87</v>
      </c>
      <c r="K1019" s="1" t="s">
        <v>117</v>
      </c>
      <c r="L1019" t="str">
        <f>VLOOKUP(D1019, Products!A:C, 3, FALSE)</f>
        <v>Sports</v>
      </c>
      <c r="M1019" t="str">
        <f>VLOOKUP(C1019, Customers!A:E, 5, FALSE)</f>
        <v>Retail</v>
      </c>
      <c r="N1019">
        <f>VLOOKUP(C1019, Customers!A:E, 3, FALSE)</f>
        <v>28</v>
      </c>
      <c r="O1019" s="93" t="str">
        <f>VLOOKUP(E1019, Sales_Reps!A:C, 3, FALSE)</f>
        <v>South</v>
      </c>
      <c r="P1019">
        <f>VLOOKUP(D1019, Products!A:E, 4, FALSE)</f>
        <v>974</v>
      </c>
      <c r="Q1019">
        <f>IF(COUNTIF($A$2:A1019, A1019)=2, 1, 0)</f>
        <v>0</v>
      </c>
      <c r="R1019">
        <f>IF(ISNA(MATCH(C1019, Customers!$A:$A, 0)), 1, 0)</f>
        <v>0</v>
      </c>
      <c r="S1019" s="94" t="b">
        <f>VLOOKUP(D1019, Products!A:F, 6, FALSE)</f>
        <v>1</v>
      </c>
    </row>
    <row r="1020" spans="1:19">
      <c r="A1020" s="102" t="s">
        <v>1502</v>
      </c>
      <c r="B1020" s="2">
        <v>45486</v>
      </c>
      <c r="C1020" s="1" t="s">
        <v>357</v>
      </c>
      <c r="D1020" s="1" t="s">
        <v>143</v>
      </c>
      <c r="E1020" s="1" t="s">
        <v>158</v>
      </c>
      <c r="F1020" s="83">
        <v>10</v>
      </c>
      <c r="G1020" s="92">
        <v>3250</v>
      </c>
      <c r="H1020" s="3">
        <v>19.3</v>
      </c>
      <c r="I1020" s="3">
        <v>26227.5</v>
      </c>
      <c r="J1020" s="1" t="s">
        <v>87</v>
      </c>
      <c r="K1020" s="1" t="s">
        <v>99</v>
      </c>
      <c r="L1020" t="str">
        <f>VLOOKUP(D1020, Products!A:C, 3, FALSE)</f>
        <v>Home</v>
      </c>
      <c r="M1020" t="str">
        <f>VLOOKUP(C1020, Customers!A:E, 5, FALSE)</f>
        <v>SMB</v>
      </c>
      <c r="N1020">
        <f>VLOOKUP(C1020, Customers!A:E, 3, FALSE)</f>
        <v>38</v>
      </c>
      <c r="O1020" s="93" t="str">
        <f>VLOOKUP(E1020, Sales_Reps!A:C, 3, FALSE)</f>
        <v>East</v>
      </c>
      <c r="P1020">
        <f>VLOOKUP(D1020, Products!A:E, 4, FALSE)</f>
        <v>1556</v>
      </c>
      <c r="Q1020">
        <f>IF(COUNTIF($A$2:A1020, A1020)=2, 1, 0)</f>
        <v>0</v>
      </c>
      <c r="R1020">
        <f>IF(ISNA(MATCH(C1020, Customers!$A:$A, 0)), 1, 0)</f>
        <v>0</v>
      </c>
      <c r="S1020" s="94" t="b">
        <f>VLOOKUP(D1020, Products!A:F, 6, FALSE)</f>
        <v>1</v>
      </c>
    </row>
    <row r="1021" spans="1:19">
      <c r="A1021" s="102" t="s">
        <v>1503</v>
      </c>
      <c r="B1021" s="2">
        <v>45336</v>
      </c>
      <c r="C1021" s="1" t="s">
        <v>388</v>
      </c>
      <c r="D1021" s="1" t="s">
        <v>200</v>
      </c>
      <c r="E1021" s="1" t="s">
        <v>98</v>
      </c>
      <c r="F1021" s="83">
        <v>7</v>
      </c>
      <c r="G1021" s="92">
        <v>2760</v>
      </c>
      <c r="H1021" s="3">
        <v>23.6</v>
      </c>
      <c r="I1021" s="3">
        <v>14760.48</v>
      </c>
      <c r="J1021" s="1" t="s">
        <v>93</v>
      </c>
      <c r="K1021" s="1" t="s">
        <v>133</v>
      </c>
      <c r="L1021" t="str">
        <f>VLOOKUP(D1021, Products!A:C, 3, FALSE)</f>
        <v>Grocery</v>
      </c>
      <c r="M1021" t="str">
        <f>VLOOKUP(C1021, Customers!A:E, 5, FALSE)</f>
        <v>Retail</v>
      </c>
      <c r="N1021">
        <f>VLOOKUP(C1021, Customers!A:E, 3, FALSE)</f>
        <v>44</v>
      </c>
      <c r="O1021" s="93" t="str">
        <f>VLOOKUP(E1021, Sales_Reps!A:C, 3, FALSE)</f>
        <v>South</v>
      </c>
      <c r="P1021">
        <f>VLOOKUP(D1021, Products!A:E, 4, FALSE)</f>
        <v>1435</v>
      </c>
      <c r="Q1021">
        <f>IF(COUNTIF($A$2:A1021, A1021)=2, 1, 0)</f>
        <v>0</v>
      </c>
      <c r="R1021">
        <f>IF(ISNA(MATCH(C1021, Customers!$A:$A, 0)), 1, 0)</f>
        <v>0</v>
      </c>
      <c r="S1021" s="94" t="b">
        <f>VLOOKUP(D1021, Products!A:F, 6, FALSE)</f>
        <v>1</v>
      </c>
    </row>
    <row r="1022" spans="1:19">
      <c r="A1022" s="102" t="s">
        <v>1504</v>
      </c>
      <c r="B1022" s="2">
        <v>45463</v>
      </c>
      <c r="C1022" s="1" t="s">
        <v>231</v>
      </c>
      <c r="D1022" s="1" t="s">
        <v>187</v>
      </c>
      <c r="E1022" s="1" t="s">
        <v>215</v>
      </c>
      <c r="F1022" s="83">
        <v>3</v>
      </c>
      <c r="G1022" s="92">
        <v>3570</v>
      </c>
      <c r="H1022" s="3">
        <v>26.3</v>
      </c>
      <c r="I1022" s="3">
        <v>7893.27</v>
      </c>
      <c r="J1022" s="1" t="s">
        <v>87</v>
      </c>
      <c r="K1022" s="1" t="s">
        <v>117</v>
      </c>
      <c r="L1022" t="str">
        <f>VLOOKUP(D1022, Products!A:C, 3, FALSE)</f>
        <v>Electronics</v>
      </c>
      <c r="M1022" t="str">
        <f>VLOOKUP(C1022, Customers!A:E, 5, FALSE)</f>
        <v>SMB</v>
      </c>
      <c r="N1022">
        <f>VLOOKUP(C1022, Customers!A:E, 3, FALSE)</f>
        <v>64</v>
      </c>
      <c r="O1022" s="93" t="str">
        <f>VLOOKUP(E1022, Sales_Reps!A:C, 3, FALSE)</f>
        <v>North</v>
      </c>
      <c r="P1022">
        <f>VLOOKUP(D1022, Products!A:E, 4, FALSE)</f>
        <v>1665</v>
      </c>
      <c r="Q1022">
        <f>IF(COUNTIF($A$2:A1022, A1022)=2, 1, 0)</f>
        <v>0</v>
      </c>
      <c r="R1022">
        <f>IF(ISNA(MATCH(C1022, Customers!$A:$A, 0)), 1, 0)</f>
        <v>0</v>
      </c>
      <c r="S1022" s="94" t="b">
        <f>VLOOKUP(D1022, Products!A:F, 6, FALSE)</f>
        <v>1</v>
      </c>
    </row>
    <row r="1023" spans="1:19">
      <c r="A1023" s="102" t="s">
        <v>1505</v>
      </c>
      <c r="B1023" s="2">
        <v>45392</v>
      </c>
      <c r="C1023" s="1" t="s">
        <v>585</v>
      </c>
      <c r="D1023" s="1" t="s">
        <v>234</v>
      </c>
      <c r="E1023" s="1" t="s">
        <v>188</v>
      </c>
      <c r="F1023" s="83">
        <v>4</v>
      </c>
      <c r="G1023" s="92">
        <v>3780</v>
      </c>
      <c r="H1023" s="3">
        <v>10.1</v>
      </c>
      <c r="I1023" s="3">
        <v>13592.88</v>
      </c>
      <c r="J1023" s="1" t="s">
        <v>87</v>
      </c>
      <c r="K1023" s="1" t="s">
        <v>94</v>
      </c>
      <c r="L1023" t="str">
        <f>VLOOKUP(D1023, Products!A:C, 3, FALSE)</f>
        <v>Grocery</v>
      </c>
      <c r="M1023" t="str">
        <f>VLOOKUP(C1023, Customers!A:E, 5, FALSE)</f>
        <v>Retail</v>
      </c>
      <c r="N1023">
        <f>VLOOKUP(C1023, Customers!A:E, 3, FALSE)</f>
        <v>26</v>
      </c>
      <c r="O1023" s="93" t="str">
        <f>VLOOKUP(E1023, Sales_Reps!A:C, 3, FALSE)</f>
        <v>South</v>
      </c>
      <c r="P1023">
        <f>VLOOKUP(D1023, Products!A:E, 4, FALSE)</f>
        <v>2436</v>
      </c>
      <c r="Q1023">
        <f>IF(COUNTIF($A$2:A1023, A1023)=2, 1, 0)</f>
        <v>0</v>
      </c>
      <c r="R1023">
        <f>IF(ISNA(MATCH(C1023, Customers!$A:$A, 0)), 1, 0)</f>
        <v>0</v>
      </c>
      <c r="S1023" s="94" t="b">
        <f>VLOOKUP(D1023, Products!A:F, 6, FALSE)</f>
        <v>1</v>
      </c>
    </row>
    <row r="1024" spans="1:19">
      <c r="A1024" s="102" t="s">
        <v>1506</v>
      </c>
      <c r="B1024" s="2">
        <v>45600</v>
      </c>
      <c r="C1024" s="1" t="s">
        <v>602</v>
      </c>
      <c r="D1024" s="1" t="s">
        <v>120</v>
      </c>
      <c r="E1024" s="1" t="s">
        <v>121</v>
      </c>
      <c r="F1024" s="83">
        <v>10</v>
      </c>
      <c r="G1024" s="92">
        <v>1430</v>
      </c>
      <c r="H1024" s="3">
        <v>3.7</v>
      </c>
      <c r="I1024" s="3">
        <v>13770.9</v>
      </c>
      <c r="J1024" s="1" t="s">
        <v>87</v>
      </c>
      <c r="K1024" s="1" t="s">
        <v>94</v>
      </c>
      <c r="L1024" t="str">
        <f>VLOOKUP(D1024, Products!A:C, 3, FALSE)</f>
        <v>Electronics</v>
      </c>
      <c r="M1024" t="str">
        <f>VLOOKUP(C1024, Customers!A:E, 5, FALSE)</f>
        <v>Retail</v>
      </c>
      <c r="N1024">
        <f>VLOOKUP(C1024, Customers!A:E, 3, FALSE)</f>
        <v>61</v>
      </c>
      <c r="O1024" s="93" t="str">
        <f>VLOOKUP(E1024, Sales_Reps!A:C, 3, FALSE)</f>
        <v>East</v>
      </c>
      <c r="P1024">
        <f>VLOOKUP(D1024, Products!A:E, 4, FALSE)</f>
        <v>861</v>
      </c>
      <c r="Q1024">
        <f>IF(COUNTIF($A$2:A1024, A1024)=2, 1, 0)</f>
        <v>0</v>
      </c>
      <c r="R1024">
        <f>IF(ISNA(MATCH(C1024, Customers!$A:$A, 0)), 1, 0)</f>
        <v>0</v>
      </c>
      <c r="S1024" s="94" t="b">
        <f>VLOOKUP(D1024, Products!A:F, 6, FALSE)</f>
        <v>1</v>
      </c>
    </row>
    <row r="1025" spans="1:19">
      <c r="A1025" s="102" t="s">
        <v>1507</v>
      </c>
      <c r="B1025" s="2">
        <v>45411</v>
      </c>
      <c r="C1025" s="1" t="s">
        <v>741</v>
      </c>
      <c r="D1025" s="1" t="s">
        <v>245</v>
      </c>
      <c r="E1025" s="1" t="s">
        <v>273</v>
      </c>
      <c r="F1025" s="83">
        <v>6</v>
      </c>
      <c r="G1025" s="92">
        <v>2270</v>
      </c>
      <c r="H1025" s="3">
        <v>7.9</v>
      </c>
      <c r="I1025" s="3">
        <v>12544.02</v>
      </c>
      <c r="J1025" s="1" t="s">
        <v>144</v>
      </c>
      <c r="K1025" s="1" t="s">
        <v>133</v>
      </c>
      <c r="L1025" t="str">
        <f>VLOOKUP(D1025, Products!A:C, 3, FALSE)</f>
        <v>Grocery</v>
      </c>
      <c r="M1025" t="str">
        <f>VLOOKUP(C1025, Customers!A:E, 5, FALSE)</f>
        <v>SMB</v>
      </c>
      <c r="N1025">
        <f>VLOOKUP(C1025, Customers!A:E, 3, FALSE)</f>
        <v>29</v>
      </c>
      <c r="O1025" s="93" t="str">
        <f>VLOOKUP(E1025, Sales_Reps!A:C, 3, FALSE)</f>
        <v>South</v>
      </c>
      <c r="P1025">
        <f>VLOOKUP(D1025, Products!A:E, 4, FALSE)</f>
        <v>1412</v>
      </c>
      <c r="Q1025">
        <f>IF(COUNTIF($A$2:A1025, A1025)=2, 1, 0)</f>
        <v>0</v>
      </c>
      <c r="R1025">
        <f>IF(ISNA(MATCH(C1025, Customers!$A:$A, 0)), 1, 0)</f>
        <v>0</v>
      </c>
      <c r="S1025" s="94" t="b">
        <f>VLOOKUP(D1025, Products!A:F, 6, FALSE)</f>
        <v>1</v>
      </c>
    </row>
    <row r="1026" spans="1:19">
      <c r="A1026" s="102" t="s">
        <v>1508</v>
      </c>
      <c r="B1026" s="2">
        <v>45406</v>
      </c>
      <c r="C1026" s="1" t="s">
        <v>482</v>
      </c>
      <c r="D1026" s="1" t="s">
        <v>182</v>
      </c>
      <c r="E1026" s="1" t="s">
        <v>252</v>
      </c>
      <c r="F1026" s="83">
        <v>1</v>
      </c>
      <c r="G1026" s="92">
        <v>1010</v>
      </c>
      <c r="H1026" s="3">
        <v>6.9</v>
      </c>
      <c r="I1026" s="3">
        <v>940.31</v>
      </c>
      <c r="J1026" s="1" t="s">
        <v>93</v>
      </c>
      <c r="K1026" s="1" t="s">
        <v>133</v>
      </c>
      <c r="L1026" t="str">
        <f>VLOOKUP(D1026, Products!A:C, 3, FALSE)</f>
        <v>Sports</v>
      </c>
      <c r="M1026" t="str">
        <f>VLOOKUP(C1026, Customers!A:E, 5, FALSE)</f>
        <v>Corporate</v>
      </c>
      <c r="N1026">
        <f>VLOOKUP(C1026, Customers!A:E, 3, FALSE)</f>
        <v>52</v>
      </c>
      <c r="O1026" s="93" t="str">
        <f>VLOOKUP(E1026, Sales_Reps!A:C, 3, FALSE)</f>
        <v>South</v>
      </c>
      <c r="P1026">
        <f>VLOOKUP(D1026, Products!A:E, 4, FALSE)</f>
        <v>516</v>
      </c>
      <c r="Q1026">
        <f>IF(COUNTIF($A$2:A1026, A1026)=2, 1, 0)</f>
        <v>0</v>
      </c>
      <c r="R1026">
        <f>IF(ISNA(MATCH(C1026, Customers!$A:$A, 0)), 1, 0)</f>
        <v>0</v>
      </c>
      <c r="S1026" s="94" t="b">
        <f>VLOOKUP(D1026, Products!A:F, 6, FALSE)</f>
        <v>1</v>
      </c>
    </row>
    <row r="1027" spans="1:19">
      <c r="A1027" s="102" t="s">
        <v>1509</v>
      </c>
      <c r="B1027" s="2">
        <v>45411</v>
      </c>
      <c r="C1027" s="1" t="s">
        <v>175</v>
      </c>
      <c r="D1027" s="1" t="s">
        <v>195</v>
      </c>
      <c r="E1027" s="1" t="s">
        <v>98</v>
      </c>
      <c r="F1027" s="83">
        <v>2</v>
      </c>
      <c r="G1027" s="92">
        <v>2860</v>
      </c>
      <c r="H1027" s="3">
        <v>20.100000000000001</v>
      </c>
      <c r="I1027" s="3">
        <v>4570.28</v>
      </c>
      <c r="J1027" s="1" t="s">
        <v>87</v>
      </c>
      <c r="K1027" s="1" t="s">
        <v>133</v>
      </c>
      <c r="L1027" t="str">
        <f>VLOOKUP(D1027, Products!A:C, 3, FALSE)</f>
        <v>Sports</v>
      </c>
      <c r="M1027" t="str">
        <f>VLOOKUP(C1027, Customers!A:E, 5, FALSE)</f>
        <v>SMB</v>
      </c>
      <c r="N1027">
        <f>VLOOKUP(C1027, Customers!A:E, 3, FALSE)</f>
        <v>40</v>
      </c>
      <c r="O1027" s="93" t="str">
        <f>VLOOKUP(E1027, Sales_Reps!A:C, 3, FALSE)</f>
        <v>South</v>
      </c>
      <c r="P1027">
        <f>VLOOKUP(D1027, Products!A:E, 4, FALSE)</f>
        <v>2028</v>
      </c>
      <c r="Q1027">
        <f>IF(COUNTIF($A$2:A1027, A1027)=2, 1, 0)</f>
        <v>0</v>
      </c>
      <c r="R1027">
        <f>IF(ISNA(MATCH(C1027, Customers!$A:$A, 0)), 1, 0)</f>
        <v>0</v>
      </c>
      <c r="S1027" s="94" t="b">
        <f>VLOOKUP(D1027, Products!A:F, 6, FALSE)</f>
        <v>1</v>
      </c>
    </row>
    <row r="1028" spans="1:19">
      <c r="A1028" s="102" t="s">
        <v>1510</v>
      </c>
      <c r="B1028" s="2">
        <v>45461</v>
      </c>
      <c r="C1028" s="1" t="s">
        <v>886</v>
      </c>
      <c r="D1028" s="1" t="s">
        <v>138</v>
      </c>
      <c r="E1028" s="1" t="s">
        <v>121</v>
      </c>
      <c r="F1028" s="83">
        <v>9</v>
      </c>
      <c r="G1028" s="92">
        <v>2600</v>
      </c>
      <c r="H1028" s="3">
        <v>15.9</v>
      </c>
      <c r="I1028" s="3">
        <v>19679.400000000001</v>
      </c>
      <c r="J1028" s="1" t="s">
        <v>140</v>
      </c>
      <c r="K1028" s="1" t="s">
        <v>94</v>
      </c>
      <c r="L1028" t="str">
        <f>VLOOKUP(D1028, Products!A:C, 3, FALSE)</f>
        <v>Electronics</v>
      </c>
      <c r="M1028" t="str">
        <f>VLOOKUP(C1028, Customers!A:E, 5, FALSE)</f>
        <v>Corporate</v>
      </c>
      <c r="N1028">
        <f>VLOOKUP(C1028, Customers!A:E, 3, FALSE)</f>
        <v>44</v>
      </c>
      <c r="O1028" s="93" t="str">
        <f>VLOOKUP(E1028, Sales_Reps!A:C, 3, FALSE)</f>
        <v>East</v>
      </c>
      <c r="P1028">
        <f>VLOOKUP(D1028, Products!A:E, 4, FALSE)</f>
        <v>1052</v>
      </c>
      <c r="Q1028">
        <f>IF(COUNTIF($A$2:A1028, A1028)=2, 1, 0)</f>
        <v>0</v>
      </c>
      <c r="R1028">
        <f>IF(ISNA(MATCH(C1028, Customers!$A:$A, 0)), 1, 0)</f>
        <v>0</v>
      </c>
      <c r="S1028" s="94" t="b">
        <f>VLOOKUP(D1028, Products!A:F, 6, FALSE)</f>
        <v>1</v>
      </c>
    </row>
    <row r="1029" spans="1:19">
      <c r="A1029" s="102" t="s">
        <v>1511</v>
      </c>
      <c r="B1029" s="2">
        <v>45409</v>
      </c>
      <c r="C1029" s="1" t="s">
        <v>493</v>
      </c>
      <c r="D1029" s="1" t="s">
        <v>97</v>
      </c>
      <c r="E1029" s="1" t="s">
        <v>116</v>
      </c>
      <c r="F1029" s="83">
        <v>10</v>
      </c>
      <c r="G1029" s="92">
        <v>470</v>
      </c>
      <c r="H1029" s="3">
        <v>23.1</v>
      </c>
      <c r="I1029" s="3">
        <v>3614.3</v>
      </c>
      <c r="J1029" s="1" t="s">
        <v>93</v>
      </c>
      <c r="K1029" s="1" t="s">
        <v>88</v>
      </c>
      <c r="L1029" t="str">
        <f>VLOOKUP(D1029, Products!A:C, 3, FALSE)</f>
        <v>Sports</v>
      </c>
      <c r="M1029" t="str">
        <f>VLOOKUP(C1029, Customers!A:E, 5, FALSE)</f>
        <v>Retail</v>
      </c>
      <c r="N1029">
        <f>VLOOKUP(C1029, Customers!A:E, 3, FALSE)</f>
        <v>57</v>
      </c>
      <c r="O1029" s="93" t="str">
        <f>VLOOKUP(E1029, Sales_Reps!A:C, 3, FALSE)</f>
        <v>West</v>
      </c>
      <c r="P1029">
        <f>VLOOKUP(D1029, Products!A:E, 4, FALSE)</f>
        <v>302</v>
      </c>
      <c r="Q1029">
        <f>IF(COUNTIF($A$2:A1029, A1029)=2, 1, 0)</f>
        <v>0</v>
      </c>
      <c r="R1029">
        <f>IF(ISNA(MATCH(C1029, Customers!$A:$A, 0)), 1, 0)</f>
        <v>0</v>
      </c>
      <c r="S1029" s="94" t="b">
        <f>VLOOKUP(D1029, Products!A:F, 6, FALSE)</f>
        <v>0</v>
      </c>
    </row>
    <row r="1030" spans="1:19">
      <c r="A1030" s="102" t="s">
        <v>1512</v>
      </c>
      <c r="B1030" s="2">
        <v>45495</v>
      </c>
      <c r="C1030" s="1" t="s">
        <v>166</v>
      </c>
      <c r="D1030" s="1" t="s">
        <v>203</v>
      </c>
      <c r="E1030" s="1" t="s">
        <v>252</v>
      </c>
      <c r="F1030" s="83">
        <v>10</v>
      </c>
      <c r="G1030" s="92">
        <v>660</v>
      </c>
      <c r="H1030" s="3">
        <v>9.4</v>
      </c>
      <c r="I1030" s="3">
        <v>5979.6</v>
      </c>
      <c r="J1030" s="1" t="s">
        <v>87</v>
      </c>
      <c r="K1030" s="1" t="s">
        <v>133</v>
      </c>
      <c r="L1030" t="str">
        <f>VLOOKUP(D1030, Products!A:C, 3, FALSE)</f>
        <v>Home</v>
      </c>
      <c r="M1030" t="str">
        <f>VLOOKUP(C1030, Customers!A:E, 5, FALSE)</f>
        <v>Retail</v>
      </c>
      <c r="N1030">
        <f>VLOOKUP(C1030, Customers!A:E, 3, FALSE)</f>
        <v>32</v>
      </c>
      <c r="O1030" s="93" t="str">
        <f>VLOOKUP(E1030, Sales_Reps!A:C, 3, FALSE)</f>
        <v>South</v>
      </c>
      <c r="P1030">
        <f>VLOOKUP(D1030, Products!A:E, 4, FALSE)</f>
        <v>329</v>
      </c>
      <c r="Q1030">
        <f>IF(COUNTIF($A$2:A1030, A1030)=2, 1, 0)</f>
        <v>0</v>
      </c>
      <c r="R1030">
        <f>IF(ISNA(MATCH(C1030, Customers!$A:$A, 0)), 1, 0)</f>
        <v>0</v>
      </c>
      <c r="S1030" s="94" t="b">
        <f>VLOOKUP(D1030, Products!A:F, 6, FALSE)</f>
        <v>1</v>
      </c>
    </row>
    <row r="1031" spans="1:19">
      <c r="A1031" s="102" t="s">
        <v>1513</v>
      </c>
      <c r="B1031" s="2">
        <v>45307</v>
      </c>
      <c r="C1031" s="1" t="s">
        <v>479</v>
      </c>
      <c r="D1031" s="1" t="s">
        <v>267</v>
      </c>
      <c r="E1031" s="1" t="s">
        <v>154</v>
      </c>
      <c r="F1031" s="83">
        <v>5</v>
      </c>
      <c r="G1031" s="92">
        <v>1220</v>
      </c>
      <c r="H1031" s="3">
        <v>23.3</v>
      </c>
      <c r="I1031" s="3">
        <v>4678.7</v>
      </c>
      <c r="J1031" s="1" t="s">
        <v>87</v>
      </c>
      <c r="K1031" s="1" t="s">
        <v>88</v>
      </c>
      <c r="L1031" t="str">
        <f>VLOOKUP(D1031, Products!A:C, 3, FALSE)</f>
        <v>Electronics</v>
      </c>
      <c r="M1031" t="str">
        <f>VLOOKUP(C1031, Customers!A:E, 5, FALSE)</f>
        <v>SMB</v>
      </c>
      <c r="N1031">
        <f>VLOOKUP(C1031, Customers!A:E, 3, FALSE)</f>
        <v>49</v>
      </c>
      <c r="O1031" s="93" t="str">
        <f>VLOOKUP(E1031, Sales_Reps!A:C, 3, FALSE)</f>
        <v>East</v>
      </c>
      <c r="P1031">
        <f>VLOOKUP(D1031, Products!A:E, 4, FALSE)</f>
        <v>517</v>
      </c>
      <c r="Q1031">
        <f>IF(COUNTIF($A$2:A1031, A1031)=2, 1, 0)</f>
        <v>0</v>
      </c>
      <c r="R1031">
        <f>IF(ISNA(MATCH(C1031, Customers!$A:$A, 0)), 1, 0)</f>
        <v>0</v>
      </c>
      <c r="S1031" s="94" t="b">
        <f>VLOOKUP(D1031, Products!A:F, 6, FALSE)</f>
        <v>1</v>
      </c>
    </row>
    <row r="1032" spans="1:19">
      <c r="A1032" s="102" t="s">
        <v>1514</v>
      </c>
      <c r="B1032" s="2">
        <v>45294</v>
      </c>
      <c r="C1032" s="1" t="s">
        <v>595</v>
      </c>
      <c r="D1032" s="1" t="s">
        <v>143</v>
      </c>
      <c r="E1032" s="1" t="s">
        <v>273</v>
      </c>
      <c r="F1032" s="83">
        <v>9</v>
      </c>
      <c r="G1032" s="92">
        <v>3250</v>
      </c>
      <c r="H1032" s="3">
        <v>19.600000000000001</v>
      </c>
      <c r="I1032" s="3">
        <v>23517</v>
      </c>
      <c r="J1032" s="1" t="s">
        <v>93</v>
      </c>
      <c r="K1032" s="1" t="s">
        <v>99</v>
      </c>
      <c r="L1032" t="str">
        <f>VLOOKUP(D1032, Products!A:C, 3, FALSE)</f>
        <v>Home</v>
      </c>
      <c r="M1032" t="str">
        <f>VLOOKUP(C1032, Customers!A:E, 5, FALSE)</f>
        <v>SMB</v>
      </c>
      <c r="N1032">
        <f>VLOOKUP(C1032, Customers!A:E, 3, FALSE)</f>
        <v>48</v>
      </c>
      <c r="O1032" s="93" t="str">
        <f>VLOOKUP(E1032, Sales_Reps!A:C, 3, FALSE)</f>
        <v>South</v>
      </c>
      <c r="P1032">
        <f>VLOOKUP(D1032, Products!A:E, 4, FALSE)</f>
        <v>1556</v>
      </c>
      <c r="Q1032">
        <f>IF(COUNTIF($A$2:A1032, A1032)=2, 1, 0)</f>
        <v>0</v>
      </c>
      <c r="R1032">
        <f>IF(ISNA(MATCH(C1032, Customers!$A:$A, 0)), 1, 0)</f>
        <v>0</v>
      </c>
      <c r="S1032" s="94" t="b">
        <f>VLOOKUP(D1032, Products!A:F, 6, FALSE)</f>
        <v>1</v>
      </c>
    </row>
    <row r="1033" spans="1:19">
      <c r="A1033" s="102" t="s">
        <v>1515</v>
      </c>
      <c r="B1033" s="2">
        <v>45542</v>
      </c>
      <c r="C1033" s="1" t="s">
        <v>1191</v>
      </c>
      <c r="D1033" s="1" t="s">
        <v>292</v>
      </c>
      <c r="E1033" s="1" t="s">
        <v>303</v>
      </c>
      <c r="F1033" s="83">
        <v>7</v>
      </c>
      <c r="G1033" s="92">
        <v>620</v>
      </c>
      <c r="H1033" s="3">
        <v>29</v>
      </c>
      <c r="I1033" s="3">
        <v>3081.4</v>
      </c>
      <c r="J1033" s="1" t="s">
        <v>87</v>
      </c>
      <c r="K1033" s="1" t="s">
        <v>117</v>
      </c>
      <c r="L1033" t="str">
        <f>VLOOKUP(D1033, Products!A:C, 3, FALSE)</f>
        <v>Apparel</v>
      </c>
      <c r="M1033" t="str">
        <f>VLOOKUP(C1033, Customers!A:E, 5, FALSE)</f>
        <v>Retail</v>
      </c>
      <c r="N1033">
        <f>VLOOKUP(C1033, Customers!A:E, 3, FALSE)</f>
        <v>36</v>
      </c>
      <c r="O1033" s="93" t="str">
        <f>VLOOKUP(E1033, Sales_Reps!A:C, 3, FALSE)</f>
        <v>East</v>
      </c>
      <c r="P1033">
        <f>VLOOKUP(D1033, Products!A:E, 4, FALSE)</f>
        <v>396</v>
      </c>
      <c r="Q1033">
        <f>IF(COUNTIF($A$2:A1033, A1033)=2, 1, 0)</f>
        <v>0</v>
      </c>
      <c r="R1033">
        <f>IF(ISNA(MATCH(C1033, Customers!$A:$A, 0)), 1, 0)</f>
        <v>0</v>
      </c>
      <c r="S1033" s="94" t="b">
        <f>VLOOKUP(D1033, Products!A:F, 6, FALSE)</f>
        <v>1</v>
      </c>
    </row>
    <row r="1034" spans="1:19">
      <c r="A1034" s="102" t="s">
        <v>1516</v>
      </c>
      <c r="B1034" s="2">
        <v>45453</v>
      </c>
      <c r="C1034" s="1" t="s">
        <v>163</v>
      </c>
      <c r="D1034" s="1" t="s">
        <v>264</v>
      </c>
      <c r="E1034" s="1" t="s">
        <v>103</v>
      </c>
      <c r="F1034" s="83">
        <v>9</v>
      </c>
      <c r="G1034" s="92">
        <v>4070</v>
      </c>
      <c r="H1034" s="3">
        <v>16.2</v>
      </c>
      <c r="I1034" s="3">
        <v>30695.94</v>
      </c>
      <c r="J1034" s="1" t="s">
        <v>87</v>
      </c>
      <c r="K1034" s="1" t="s">
        <v>94</v>
      </c>
      <c r="L1034" t="str">
        <f>VLOOKUP(D1034, Products!A:C, 3, FALSE)</f>
        <v>Grocery</v>
      </c>
      <c r="M1034" t="str">
        <f>VLOOKUP(C1034, Customers!A:E, 5, FALSE)</f>
        <v>Retail</v>
      </c>
      <c r="N1034">
        <f>VLOOKUP(C1034, Customers!A:E, 3, FALSE)</f>
        <v>49</v>
      </c>
      <c r="O1034" s="93" t="str">
        <f>VLOOKUP(E1034, Sales_Reps!A:C, 3, FALSE)</f>
        <v>North</v>
      </c>
      <c r="P1034">
        <f>VLOOKUP(D1034, Products!A:E, 4, FALSE)</f>
        <v>2027</v>
      </c>
      <c r="Q1034">
        <f>IF(COUNTIF($A$2:A1034, A1034)=2, 1, 0)</f>
        <v>0</v>
      </c>
      <c r="R1034">
        <f>IF(ISNA(MATCH(C1034, Customers!$A:$A, 0)), 1, 0)</f>
        <v>0</v>
      </c>
      <c r="S1034" s="94" t="b">
        <f>VLOOKUP(D1034, Products!A:F, 6, FALSE)</f>
        <v>1</v>
      </c>
    </row>
    <row r="1035" spans="1:19">
      <c r="A1035" s="102" t="s">
        <v>1517</v>
      </c>
      <c r="B1035" s="2">
        <v>45351</v>
      </c>
      <c r="C1035" s="1" t="s">
        <v>1000</v>
      </c>
      <c r="D1035" s="1" t="s">
        <v>106</v>
      </c>
      <c r="E1035" s="1" t="s">
        <v>86</v>
      </c>
      <c r="F1035" s="83">
        <v>8</v>
      </c>
      <c r="G1035" s="92">
        <v>3160</v>
      </c>
      <c r="H1035" s="3">
        <v>23.8</v>
      </c>
      <c r="I1035" s="3">
        <v>19263.36</v>
      </c>
      <c r="J1035" s="1" t="s">
        <v>87</v>
      </c>
      <c r="K1035" s="1" t="s">
        <v>117</v>
      </c>
      <c r="L1035" t="str">
        <f>VLOOKUP(D1035, Products!A:C, 3, FALSE)</f>
        <v>Apparel</v>
      </c>
      <c r="M1035" t="str">
        <f>VLOOKUP(C1035, Customers!A:E, 5, FALSE)</f>
        <v>Retail</v>
      </c>
      <c r="N1035">
        <f>VLOOKUP(C1035, Customers!A:E, 3, FALSE)</f>
        <v>27</v>
      </c>
      <c r="O1035" s="93" t="str">
        <f>VLOOKUP(E1035, Sales_Reps!A:C, 3, FALSE)</f>
        <v>North</v>
      </c>
      <c r="P1035">
        <f>VLOOKUP(D1035, Products!A:E, 4, FALSE)</f>
        <v>1886</v>
      </c>
      <c r="Q1035">
        <f>IF(COUNTIF($A$2:A1035, A1035)=2, 1, 0)</f>
        <v>0</v>
      </c>
      <c r="R1035">
        <f>IF(ISNA(MATCH(C1035, Customers!$A:$A, 0)), 1, 0)</f>
        <v>0</v>
      </c>
      <c r="S1035" s="94" t="b">
        <f>VLOOKUP(D1035, Products!A:F, 6, FALSE)</f>
        <v>1</v>
      </c>
    </row>
    <row r="1036" spans="1:19">
      <c r="A1036" s="102" t="s">
        <v>1518</v>
      </c>
      <c r="B1036" s="2">
        <v>45422</v>
      </c>
      <c r="C1036" s="1" t="s">
        <v>105</v>
      </c>
      <c r="D1036" s="1" t="s">
        <v>338</v>
      </c>
      <c r="E1036" s="1" t="s">
        <v>285</v>
      </c>
      <c r="F1036" s="83">
        <v>3</v>
      </c>
      <c r="G1036" s="92">
        <v>2210</v>
      </c>
      <c r="H1036" s="3">
        <v>29.7</v>
      </c>
      <c r="I1036" s="3">
        <v>4660.8900000000003</v>
      </c>
      <c r="J1036" s="1" t="s">
        <v>87</v>
      </c>
      <c r="K1036" s="1" t="s">
        <v>94</v>
      </c>
      <c r="L1036" t="str">
        <f>VLOOKUP(D1036, Products!A:C, 3, FALSE)</f>
        <v>Grocery</v>
      </c>
      <c r="M1036" t="str">
        <f>VLOOKUP(C1036, Customers!A:E, 5, FALSE)</f>
        <v>Retail</v>
      </c>
      <c r="N1036">
        <f>VLOOKUP(C1036, Customers!A:E, 3, FALSE)</f>
        <v>36</v>
      </c>
      <c r="O1036" s="93" t="str">
        <f>VLOOKUP(E1036, Sales_Reps!A:C, 3, FALSE)</f>
        <v>East</v>
      </c>
      <c r="P1036">
        <f>VLOOKUP(D1036, Products!A:E, 4, FALSE)</f>
        <v>1010</v>
      </c>
      <c r="Q1036">
        <f>IF(COUNTIF($A$2:A1036, A1036)=2, 1, 0)</f>
        <v>0</v>
      </c>
      <c r="R1036">
        <f>IF(ISNA(MATCH(C1036, Customers!$A:$A, 0)), 1, 0)</f>
        <v>0</v>
      </c>
      <c r="S1036" s="94" t="b">
        <f>VLOOKUP(D1036, Products!A:F, 6, FALSE)</f>
        <v>1</v>
      </c>
    </row>
    <row r="1037" spans="1:19">
      <c r="A1037" s="102" t="s">
        <v>1519</v>
      </c>
      <c r="B1037" s="2">
        <v>45361</v>
      </c>
      <c r="C1037" s="1" t="s">
        <v>602</v>
      </c>
      <c r="D1037" s="1" t="s">
        <v>97</v>
      </c>
      <c r="E1037" s="1" t="s">
        <v>111</v>
      </c>
      <c r="F1037" s="83">
        <v>9</v>
      </c>
      <c r="G1037" s="92">
        <v>470</v>
      </c>
      <c r="H1037" s="3">
        <v>27.1</v>
      </c>
      <c r="I1037" s="3">
        <v>3083.67</v>
      </c>
      <c r="J1037" s="1" t="s">
        <v>87</v>
      </c>
      <c r="K1037" s="1" t="s">
        <v>94</v>
      </c>
      <c r="L1037" t="str">
        <f>VLOOKUP(D1037, Products!A:C, 3, FALSE)</f>
        <v>Sports</v>
      </c>
      <c r="M1037" t="str">
        <f>VLOOKUP(C1037, Customers!A:E, 5, FALSE)</f>
        <v>Retail</v>
      </c>
      <c r="N1037">
        <f>VLOOKUP(C1037, Customers!A:E, 3, FALSE)</f>
        <v>61</v>
      </c>
      <c r="O1037" s="93" t="str">
        <f>VLOOKUP(E1037, Sales_Reps!A:C, 3, FALSE)</f>
        <v>West</v>
      </c>
      <c r="P1037">
        <f>VLOOKUP(D1037, Products!A:E, 4, FALSE)</f>
        <v>302</v>
      </c>
      <c r="Q1037">
        <f>IF(COUNTIF($A$2:A1037, A1037)=2, 1, 0)</f>
        <v>0</v>
      </c>
      <c r="R1037">
        <f>IF(ISNA(MATCH(C1037, Customers!$A:$A, 0)), 1, 0)</f>
        <v>0</v>
      </c>
      <c r="S1037" s="94" t="b">
        <f>VLOOKUP(D1037, Products!A:F, 6, FALSE)</f>
        <v>0</v>
      </c>
    </row>
    <row r="1038" spans="1:19">
      <c r="A1038" s="102" t="s">
        <v>1520</v>
      </c>
      <c r="B1038" s="2">
        <v>45622</v>
      </c>
      <c r="C1038" s="1" t="s">
        <v>289</v>
      </c>
      <c r="D1038" s="1" t="s">
        <v>110</v>
      </c>
      <c r="E1038" s="1" t="s">
        <v>192</v>
      </c>
      <c r="F1038" s="83">
        <v>6</v>
      </c>
      <c r="G1038" s="92">
        <v>370</v>
      </c>
      <c r="H1038" s="3">
        <v>5.4</v>
      </c>
      <c r="I1038" s="3">
        <v>2100.12</v>
      </c>
      <c r="J1038" s="1" t="s">
        <v>87</v>
      </c>
      <c r="K1038" s="1" t="s">
        <v>94</v>
      </c>
      <c r="L1038" t="str">
        <f>VLOOKUP(D1038, Products!A:C, 3, FALSE)</f>
        <v>Home</v>
      </c>
      <c r="M1038" t="str">
        <f>VLOOKUP(C1038, Customers!A:E, 5, FALSE)</f>
        <v>Retail</v>
      </c>
      <c r="N1038">
        <f>VLOOKUP(C1038, Customers!A:E, 3, FALSE)</f>
        <v>38</v>
      </c>
      <c r="O1038" s="93" t="str">
        <f>VLOOKUP(E1038, Sales_Reps!A:C, 3, FALSE)</f>
        <v>East</v>
      </c>
      <c r="P1038">
        <f>VLOOKUP(D1038, Products!A:E, 4, FALSE)</f>
        <v>288</v>
      </c>
      <c r="Q1038">
        <f>IF(COUNTIF($A$2:A1038, A1038)=2, 1, 0)</f>
        <v>0</v>
      </c>
      <c r="R1038">
        <f>IF(ISNA(MATCH(C1038, Customers!$A:$A, 0)), 1, 0)</f>
        <v>0</v>
      </c>
      <c r="S1038" s="94" t="b">
        <f>VLOOKUP(D1038, Products!A:F, 6, FALSE)</f>
        <v>1</v>
      </c>
    </row>
    <row r="1039" spans="1:19">
      <c r="A1039" s="102" t="s">
        <v>1521</v>
      </c>
      <c r="B1039" s="2">
        <v>45496</v>
      </c>
      <c r="C1039" s="1" t="s">
        <v>613</v>
      </c>
      <c r="D1039" s="1" t="s">
        <v>461</v>
      </c>
      <c r="E1039" s="1" t="s">
        <v>303</v>
      </c>
      <c r="F1039" s="83">
        <v>10</v>
      </c>
      <c r="G1039" s="92">
        <v>3780</v>
      </c>
      <c r="H1039" s="3">
        <v>21.5</v>
      </c>
      <c r="I1039" s="3">
        <v>29673</v>
      </c>
      <c r="J1039" s="1" t="s">
        <v>93</v>
      </c>
      <c r="K1039" s="1" t="s">
        <v>112</v>
      </c>
      <c r="L1039" t="str">
        <f>VLOOKUP(D1039, Products!A:C, 3, FALSE)</f>
        <v>Sports</v>
      </c>
      <c r="M1039" t="str">
        <f>VLOOKUP(C1039, Customers!A:E, 5, FALSE)</f>
        <v>Retail</v>
      </c>
      <c r="N1039">
        <f>VLOOKUP(C1039, Customers!A:E, 3, FALSE)</f>
        <v>44</v>
      </c>
      <c r="O1039" s="93" t="str">
        <f>VLOOKUP(E1039, Sales_Reps!A:C, 3, FALSE)</f>
        <v>East</v>
      </c>
      <c r="P1039">
        <f>VLOOKUP(D1039, Products!A:E, 4, FALSE)</f>
        <v>1860</v>
      </c>
      <c r="Q1039">
        <f>IF(COUNTIF($A$2:A1039, A1039)=2, 1, 0)</f>
        <v>0</v>
      </c>
      <c r="R1039">
        <f>IF(ISNA(MATCH(C1039, Customers!$A:$A, 0)), 1, 0)</f>
        <v>0</v>
      </c>
      <c r="S1039" s="94" t="b">
        <f>VLOOKUP(D1039, Products!A:F, 6, FALSE)</f>
        <v>1</v>
      </c>
    </row>
    <row r="1040" spans="1:19">
      <c r="A1040" s="102" t="s">
        <v>1522</v>
      </c>
      <c r="B1040" s="2">
        <v>45578</v>
      </c>
      <c r="C1040" s="1" t="s">
        <v>490</v>
      </c>
      <c r="D1040" s="1" t="s">
        <v>515</v>
      </c>
      <c r="E1040" s="1" t="s">
        <v>204</v>
      </c>
      <c r="F1040" s="83">
        <v>4</v>
      </c>
      <c r="G1040" s="92">
        <v>6940</v>
      </c>
      <c r="H1040" s="3">
        <v>3.9</v>
      </c>
      <c r="I1040" s="3">
        <v>26677.360000000001</v>
      </c>
      <c r="J1040" s="1" t="s">
        <v>140</v>
      </c>
      <c r="K1040" s="1" t="s">
        <v>99</v>
      </c>
      <c r="L1040" t="str">
        <f>VLOOKUP(D1040, Products!A:C, 3, FALSE)</f>
        <v>Sports</v>
      </c>
      <c r="M1040" t="str">
        <f>VLOOKUP(C1040, Customers!A:E, 5, FALSE)</f>
        <v>Retail</v>
      </c>
      <c r="N1040">
        <f>VLOOKUP(C1040, Customers!A:E, 3, FALSE)</f>
        <v>59</v>
      </c>
      <c r="O1040" s="93" t="str">
        <f>VLOOKUP(E1040, Sales_Reps!A:C, 3, FALSE)</f>
        <v>South</v>
      </c>
      <c r="P1040">
        <f>VLOOKUP(D1040, Products!A:E, 4, FALSE)</f>
        <v>2827</v>
      </c>
      <c r="Q1040">
        <f>IF(COUNTIF($A$2:A1040, A1040)=2, 1, 0)</f>
        <v>0</v>
      </c>
      <c r="R1040">
        <f>IF(ISNA(MATCH(C1040, Customers!$A:$A, 0)), 1, 0)</f>
        <v>0</v>
      </c>
      <c r="S1040" s="94" t="b">
        <f>VLOOKUP(D1040, Products!A:F, 6, FALSE)</f>
        <v>1</v>
      </c>
    </row>
    <row r="1041" spans="1:19">
      <c r="A1041" s="102" t="s">
        <v>1523</v>
      </c>
      <c r="B1041" s="2">
        <v>45476</v>
      </c>
      <c r="C1041" s="1" t="s">
        <v>533</v>
      </c>
      <c r="D1041" s="1" t="s">
        <v>226</v>
      </c>
      <c r="E1041" s="1" t="s">
        <v>285</v>
      </c>
      <c r="F1041" s="83">
        <v>3</v>
      </c>
      <c r="G1041" s="92">
        <v>3730</v>
      </c>
      <c r="H1041" s="3">
        <v>20.7</v>
      </c>
      <c r="I1041" s="3">
        <v>8873.67</v>
      </c>
      <c r="J1041" s="1" t="s">
        <v>87</v>
      </c>
      <c r="K1041" s="1" t="s">
        <v>99</v>
      </c>
      <c r="L1041" t="str">
        <f>VLOOKUP(D1041, Products!A:C, 3, FALSE)</f>
        <v>Home</v>
      </c>
      <c r="M1041" t="str">
        <f>VLOOKUP(C1041, Customers!A:E, 5, FALSE)</f>
        <v>SMB</v>
      </c>
      <c r="N1041">
        <f>VLOOKUP(C1041, Customers!A:E, 3, FALSE)</f>
        <v>48</v>
      </c>
      <c r="O1041" s="93" t="str">
        <f>VLOOKUP(E1041, Sales_Reps!A:C, 3, FALSE)</f>
        <v>East</v>
      </c>
      <c r="P1041">
        <f>VLOOKUP(D1041, Products!A:E, 4, FALSE)</f>
        <v>2135</v>
      </c>
      <c r="Q1041">
        <f>IF(COUNTIF($A$2:A1041, A1041)=2, 1, 0)</f>
        <v>0</v>
      </c>
      <c r="R1041">
        <f>IF(ISNA(MATCH(C1041, Customers!$A:$A, 0)), 1, 0)</f>
        <v>0</v>
      </c>
      <c r="S1041" s="94" t="b">
        <f>VLOOKUP(D1041, Products!A:F, 6, FALSE)</f>
        <v>1</v>
      </c>
    </row>
    <row r="1042" spans="1:19">
      <c r="A1042" s="102" t="s">
        <v>1524</v>
      </c>
      <c r="B1042" s="2">
        <v>45300</v>
      </c>
      <c r="C1042" s="1" t="s">
        <v>1055</v>
      </c>
      <c r="D1042" s="1" t="s">
        <v>443</v>
      </c>
      <c r="E1042" s="1" t="s">
        <v>111</v>
      </c>
      <c r="F1042" s="83">
        <v>8</v>
      </c>
      <c r="G1042" s="92">
        <v>5080</v>
      </c>
      <c r="H1042" s="3">
        <v>6.2</v>
      </c>
      <c r="I1042" s="3">
        <v>38120.32</v>
      </c>
      <c r="J1042" s="1" t="s">
        <v>87</v>
      </c>
      <c r="K1042" s="1" t="s">
        <v>112</v>
      </c>
      <c r="L1042" t="str">
        <f>VLOOKUP(D1042, Products!A:C, 3, FALSE)</f>
        <v>Home</v>
      </c>
      <c r="M1042" t="str">
        <f>VLOOKUP(C1042, Customers!A:E, 5, FALSE)</f>
        <v>Retail</v>
      </c>
      <c r="N1042">
        <f>VLOOKUP(C1042, Customers!A:E, 3, FALSE)</f>
        <v>37</v>
      </c>
      <c r="O1042" s="93" t="str">
        <f>VLOOKUP(E1042, Sales_Reps!A:C, 3, FALSE)</f>
        <v>West</v>
      </c>
      <c r="P1042">
        <f>VLOOKUP(D1042, Products!A:E, 4, FALSE)</f>
        <v>2459</v>
      </c>
      <c r="Q1042">
        <f>IF(COUNTIF($A$2:A1042, A1042)=2, 1, 0)</f>
        <v>0</v>
      </c>
      <c r="R1042">
        <f>IF(ISNA(MATCH(C1042, Customers!$A:$A, 0)), 1, 0)</f>
        <v>0</v>
      </c>
      <c r="S1042" s="94" t="b">
        <f>VLOOKUP(D1042, Products!A:F, 6, FALSE)</f>
        <v>1</v>
      </c>
    </row>
    <row r="1043" spans="1:19">
      <c r="A1043" s="102" t="s">
        <v>1525</v>
      </c>
      <c r="B1043" s="2">
        <v>45455</v>
      </c>
      <c r="C1043" s="1" t="s">
        <v>166</v>
      </c>
      <c r="D1043" s="1" t="s">
        <v>360</v>
      </c>
      <c r="E1043" s="1" t="s">
        <v>215</v>
      </c>
      <c r="F1043" s="83">
        <v>5</v>
      </c>
      <c r="G1043" s="92">
        <v>5410</v>
      </c>
      <c r="H1043" s="3">
        <v>5.2</v>
      </c>
      <c r="I1043" s="3">
        <v>25643.4</v>
      </c>
      <c r="J1043" s="1" t="s">
        <v>87</v>
      </c>
      <c r="K1043" s="1" t="s">
        <v>133</v>
      </c>
      <c r="L1043" t="str">
        <f>VLOOKUP(D1043, Products!A:C, 3, FALSE)</f>
        <v>Sports</v>
      </c>
      <c r="M1043" t="str">
        <f>VLOOKUP(C1043, Customers!A:E, 5, FALSE)</f>
        <v>Retail</v>
      </c>
      <c r="N1043">
        <f>VLOOKUP(C1043, Customers!A:E, 3, FALSE)</f>
        <v>32</v>
      </c>
      <c r="O1043" s="93" t="str">
        <f>VLOOKUP(E1043, Sales_Reps!A:C, 3, FALSE)</f>
        <v>North</v>
      </c>
      <c r="P1043">
        <f>VLOOKUP(D1043, Products!A:E, 4, FALSE)</f>
        <v>2265</v>
      </c>
      <c r="Q1043">
        <f>IF(COUNTIF($A$2:A1043, A1043)=2, 1, 0)</f>
        <v>0</v>
      </c>
      <c r="R1043">
        <f>IF(ISNA(MATCH(C1043, Customers!$A:$A, 0)), 1, 0)</f>
        <v>0</v>
      </c>
      <c r="S1043" s="94" t="b">
        <f>VLOOKUP(D1043, Products!A:F, 6, FALSE)</f>
        <v>1</v>
      </c>
    </row>
    <row r="1044" spans="1:19">
      <c r="A1044" s="102" t="s">
        <v>1526</v>
      </c>
      <c r="B1044" s="2">
        <v>45404</v>
      </c>
      <c r="C1044" s="1" t="s">
        <v>420</v>
      </c>
      <c r="D1044" s="1" t="s">
        <v>173</v>
      </c>
      <c r="E1044" s="1" t="s">
        <v>201</v>
      </c>
      <c r="F1044" s="83">
        <v>6</v>
      </c>
      <c r="G1044" s="92">
        <v>2720</v>
      </c>
      <c r="H1044" s="3">
        <v>29.8</v>
      </c>
      <c r="I1044" s="3">
        <v>11456.64</v>
      </c>
      <c r="J1044" s="1" t="s">
        <v>93</v>
      </c>
      <c r="K1044" s="1" t="s">
        <v>99</v>
      </c>
      <c r="L1044" t="str">
        <f>VLOOKUP(D1044, Products!A:C, 3, FALSE)</f>
        <v>Apparel</v>
      </c>
      <c r="M1044" t="str">
        <f>VLOOKUP(C1044, Customers!A:E, 5, FALSE)</f>
        <v>Retail</v>
      </c>
      <c r="N1044">
        <f>VLOOKUP(C1044, Customers!A:E, 3, FALSE)</f>
        <v>44</v>
      </c>
      <c r="O1044" s="93" t="str">
        <f>VLOOKUP(E1044, Sales_Reps!A:C, 3, FALSE)</f>
        <v>West</v>
      </c>
      <c r="P1044">
        <f>VLOOKUP(D1044, Products!A:E, 4, FALSE)</f>
        <v>1962</v>
      </c>
      <c r="Q1044">
        <f>IF(COUNTIF($A$2:A1044, A1044)=2, 1, 0)</f>
        <v>0</v>
      </c>
      <c r="R1044">
        <f>IF(ISNA(MATCH(C1044, Customers!$A:$A, 0)), 1, 0)</f>
        <v>0</v>
      </c>
      <c r="S1044" s="94" t="b">
        <f>VLOOKUP(D1044, Products!A:F, 6, FALSE)</f>
        <v>1</v>
      </c>
    </row>
    <row r="1045" spans="1:19">
      <c r="A1045" s="102" t="s">
        <v>1527</v>
      </c>
      <c r="B1045" s="2">
        <v>45468</v>
      </c>
      <c r="C1045" s="1" t="s">
        <v>376</v>
      </c>
      <c r="D1045" s="1" t="s">
        <v>267</v>
      </c>
      <c r="E1045" s="1" t="s">
        <v>132</v>
      </c>
      <c r="F1045" s="83">
        <v>1</v>
      </c>
      <c r="G1045" s="92">
        <v>1220</v>
      </c>
      <c r="H1045" s="3">
        <v>22.6</v>
      </c>
      <c r="I1045" s="3">
        <v>944.28</v>
      </c>
      <c r="J1045" s="1" t="s">
        <v>87</v>
      </c>
      <c r="K1045" s="1" t="s">
        <v>117</v>
      </c>
      <c r="L1045" t="str">
        <f>VLOOKUP(D1045, Products!A:C, 3, FALSE)</f>
        <v>Electronics</v>
      </c>
      <c r="M1045" t="str">
        <f>VLOOKUP(C1045, Customers!A:E, 5, FALSE)</f>
        <v>SMB</v>
      </c>
      <c r="N1045">
        <f>VLOOKUP(C1045, Customers!A:E, 3, FALSE)</f>
        <v>44</v>
      </c>
      <c r="O1045" s="93" t="str">
        <f>VLOOKUP(E1045, Sales_Reps!A:C, 3, FALSE)</f>
        <v>South</v>
      </c>
      <c r="P1045">
        <f>VLOOKUP(D1045, Products!A:E, 4, FALSE)</f>
        <v>517</v>
      </c>
      <c r="Q1045">
        <f>IF(COUNTIF($A$2:A1045, A1045)=2, 1, 0)</f>
        <v>0</v>
      </c>
      <c r="R1045">
        <f>IF(ISNA(MATCH(C1045, Customers!$A:$A, 0)), 1, 0)</f>
        <v>0</v>
      </c>
      <c r="S1045" s="94" t="b">
        <f>VLOOKUP(D1045, Products!A:F, 6, FALSE)</f>
        <v>1</v>
      </c>
    </row>
    <row r="1046" spans="1:19">
      <c r="A1046" s="102" t="s">
        <v>1528</v>
      </c>
      <c r="B1046" s="2">
        <v>45640</v>
      </c>
      <c r="C1046" s="1" t="s">
        <v>1529</v>
      </c>
      <c r="D1046" s="1" t="s">
        <v>184</v>
      </c>
      <c r="E1046" s="1" t="s">
        <v>107</v>
      </c>
      <c r="F1046" s="83">
        <v>10</v>
      </c>
      <c r="G1046" s="92">
        <v>4880</v>
      </c>
      <c r="H1046" s="3">
        <v>7.3</v>
      </c>
      <c r="I1046" s="3">
        <v>45237.599999999999</v>
      </c>
      <c r="J1046" s="1" t="s">
        <v>87</v>
      </c>
      <c r="K1046" s="1" t="s">
        <v>94</v>
      </c>
      <c r="L1046" t="str">
        <f>VLOOKUP(D1046, Products!A:C, 3, FALSE)</f>
        <v>Beauty</v>
      </c>
      <c r="M1046" t="str">
        <f>VLOOKUP(C1046, Customers!A:E, 5, FALSE)</f>
        <v>Retail</v>
      </c>
      <c r="N1046">
        <f>VLOOKUP(C1046, Customers!A:E, 3, FALSE)</f>
        <v>31</v>
      </c>
      <c r="O1046" s="93" t="str">
        <f>VLOOKUP(E1046, Sales_Reps!A:C, 3, FALSE)</f>
        <v>North</v>
      </c>
      <c r="P1046">
        <f>VLOOKUP(D1046, Products!A:E, 4, FALSE)</f>
        <v>2768</v>
      </c>
      <c r="Q1046">
        <f>IF(COUNTIF($A$2:A1046, A1046)=2, 1, 0)</f>
        <v>0</v>
      </c>
      <c r="R1046">
        <f>IF(ISNA(MATCH(C1046, Customers!$A:$A, 0)), 1, 0)</f>
        <v>0</v>
      </c>
      <c r="S1046" s="94" t="b">
        <f>VLOOKUP(D1046, Products!A:F, 6, FALSE)</f>
        <v>1</v>
      </c>
    </row>
    <row r="1047" spans="1:19">
      <c r="A1047" s="102" t="s">
        <v>1530</v>
      </c>
      <c r="B1047" s="2">
        <v>45450</v>
      </c>
      <c r="C1047" s="1" t="s">
        <v>872</v>
      </c>
      <c r="D1047" s="1" t="s">
        <v>245</v>
      </c>
      <c r="E1047" s="1" t="s">
        <v>158</v>
      </c>
      <c r="F1047" s="83">
        <v>10</v>
      </c>
      <c r="G1047" s="92">
        <v>2270</v>
      </c>
      <c r="H1047" s="3">
        <v>1.6</v>
      </c>
      <c r="I1047" s="3">
        <v>22336.799999999999</v>
      </c>
      <c r="J1047" s="1" t="s">
        <v>87</v>
      </c>
      <c r="K1047" s="1" t="s">
        <v>112</v>
      </c>
      <c r="L1047" t="str">
        <f>VLOOKUP(D1047, Products!A:C, 3, FALSE)</f>
        <v>Grocery</v>
      </c>
      <c r="M1047" t="str">
        <f>VLOOKUP(C1047, Customers!A:E, 5, FALSE)</f>
        <v>Corporate</v>
      </c>
      <c r="N1047">
        <f>VLOOKUP(C1047, Customers!A:E, 3, FALSE)</f>
        <v>62</v>
      </c>
      <c r="O1047" s="93" t="str">
        <f>VLOOKUP(E1047, Sales_Reps!A:C, 3, FALSE)</f>
        <v>East</v>
      </c>
      <c r="P1047">
        <f>VLOOKUP(D1047, Products!A:E, 4, FALSE)</f>
        <v>1412</v>
      </c>
      <c r="Q1047">
        <f>IF(COUNTIF($A$2:A1047, A1047)=2, 1, 0)</f>
        <v>0</v>
      </c>
      <c r="R1047">
        <f>IF(ISNA(MATCH(C1047, Customers!$A:$A, 0)), 1, 0)</f>
        <v>0</v>
      </c>
      <c r="S1047" s="94" t="b">
        <f>VLOOKUP(D1047, Products!A:F, 6, FALSE)</f>
        <v>1</v>
      </c>
    </row>
    <row r="1048" spans="1:19">
      <c r="A1048" s="102" t="s">
        <v>1531</v>
      </c>
      <c r="B1048" s="2">
        <v>45589</v>
      </c>
      <c r="C1048" s="1" t="s">
        <v>407</v>
      </c>
      <c r="D1048" s="1" t="s">
        <v>127</v>
      </c>
      <c r="E1048" s="1" t="s">
        <v>148</v>
      </c>
      <c r="F1048" s="83">
        <v>8</v>
      </c>
      <c r="G1048" s="92">
        <v>970</v>
      </c>
      <c r="H1048" s="3">
        <v>13.1</v>
      </c>
      <c r="I1048" s="3">
        <v>6743.44</v>
      </c>
      <c r="J1048" s="1" t="s">
        <v>87</v>
      </c>
      <c r="K1048" s="1" t="s">
        <v>88</v>
      </c>
      <c r="L1048" t="str">
        <f>VLOOKUP(D1048, Products!A:C, 3, FALSE)</f>
        <v>Grocery</v>
      </c>
      <c r="M1048" t="str">
        <f>VLOOKUP(C1048, Customers!A:E, 5, FALSE)</f>
        <v>SMB</v>
      </c>
      <c r="N1048">
        <f>VLOOKUP(C1048, Customers!A:E, 3, FALSE)</f>
        <v>53</v>
      </c>
      <c r="O1048" s="93" t="str">
        <f>VLOOKUP(E1048, Sales_Reps!A:C, 3, FALSE)</f>
        <v>North</v>
      </c>
      <c r="P1048">
        <f>VLOOKUP(D1048, Products!A:E, 4, FALSE)</f>
        <v>434</v>
      </c>
      <c r="Q1048">
        <f>IF(COUNTIF($A$2:A1048, A1048)=2, 1, 0)</f>
        <v>0</v>
      </c>
      <c r="R1048">
        <f>IF(ISNA(MATCH(C1048, Customers!$A:$A, 0)), 1, 0)</f>
        <v>0</v>
      </c>
      <c r="S1048" s="94" t="b">
        <f>VLOOKUP(D1048, Products!A:F, 6, FALSE)</f>
        <v>1</v>
      </c>
    </row>
    <row r="1049" spans="1:19">
      <c r="A1049" s="102" t="s">
        <v>1532</v>
      </c>
      <c r="B1049" s="2">
        <v>45646</v>
      </c>
      <c r="C1049" s="1" t="s">
        <v>382</v>
      </c>
      <c r="D1049" s="1" t="s">
        <v>367</v>
      </c>
      <c r="E1049" s="1" t="s">
        <v>325</v>
      </c>
      <c r="F1049" s="83">
        <v>7</v>
      </c>
      <c r="G1049" s="92">
        <v>2380</v>
      </c>
      <c r="H1049" s="3">
        <v>10.6</v>
      </c>
      <c r="I1049" s="3">
        <v>14894.04</v>
      </c>
      <c r="J1049" s="1" t="s">
        <v>140</v>
      </c>
      <c r="K1049" s="1" t="s">
        <v>99</v>
      </c>
      <c r="L1049" t="str">
        <f>VLOOKUP(D1049, Products!A:C, 3, FALSE)</f>
        <v>Grocery</v>
      </c>
      <c r="M1049" t="str">
        <f>VLOOKUP(C1049, Customers!A:E, 5, FALSE)</f>
        <v>Corporate</v>
      </c>
      <c r="N1049">
        <f>VLOOKUP(C1049, Customers!A:E, 3, FALSE)</f>
        <v>27</v>
      </c>
      <c r="O1049" s="93" t="str">
        <f>VLOOKUP(E1049, Sales_Reps!A:C, 3, FALSE)</f>
        <v>South</v>
      </c>
      <c r="P1049">
        <f>VLOOKUP(D1049, Products!A:E, 4, FALSE)</f>
        <v>1182</v>
      </c>
      <c r="Q1049">
        <f>IF(COUNTIF($A$2:A1049, A1049)=2, 1, 0)</f>
        <v>0</v>
      </c>
      <c r="R1049">
        <f>IF(ISNA(MATCH(C1049, Customers!$A:$A, 0)), 1, 0)</f>
        <v>0</v>
      </c>
      <c r="S1049" s="94" t="b">
        <f>VLOOKUP(D1049, Products!A:F, 6, FALSE)</f>
        <v>1</v>
      </c>
    </row>
    <row r="1050" spans="1:19">
      <c r="A1050" s="102" t="s">
        <v>1533</v>
      </c>
      <c r="B1050" s="2">
        <v>45488</v>
      </c>
      <c r="C1050" s="1" t="s">
        <v>1534</v>
      </c>
      <c r="D1050" s="1" t="s">
        <v>85</v>
      </c>
      <c r="E1050" s="1" t="s">
        <v>346</v>
      </c>
      <c r="F1050" s="83">
        <v>6</v>
      </c>
      <c r="G1050" s="92">
        <v>3620</v>
      </c>
      <c r="H1050" s="3">
        <v>21.3</v>
      </c>
      <c r="I1050" s="3">
        <v>17093.64</v>
      </c>
      <c r="J1050" s="1" t="s">
        <v>140</v>
      </c>
      <c r="K1050" s="1" t="s">
        <v>133</v>
      </c>
      <c r="L1050" t="str">
        <f>VLOOKUP(D1050, Products!A:C, 3, FALSE)</f>
        <v>Apparel</v>
      </c>
      <c r="M1050" t="str">
        <f>VLOOKUP(C1050, Customers!A:E, 5, FALSE)</f>
        <v>Corporate</v>
      </c>
      <c r="N1050">
        <f>VLOOKUP(C1050, Customers!A:E, 3, FALSE)</f>
        <v>25</v>
      </c>
      <c r="O1050" s="93" t="str">
        <f>VLOOKUP(E1050, Sales_Reps!A:C, 3, FALSE)</f>
        <v>South</v>
      </c>
      <c r="P1050">
        <f>VLOOKUP(D1050, Products!A:E, 4, FALSE)</f>
        <v>2509</v>
      </c>
      <c r="Q1050">
        <f>IF(COUNTIF($A$2:A1050, A1050)=2, 1, 0)</f>
        <v>0</v>
      </c>
      <c r="R1050">
        <f>IF(ISNA(MATCH(C1050, Customers!$A:$A, 0)), 1, 0)</f>
        <v>0</v>
      </c>
      <c r="S1050" s="94" t="b">
        <f>VLOOKUP(D1050, Products!A:F, 6, FALSE)</f>
        <v>1</v>
      </c>
    </row>
    <row r="1051" spans="1:19">
      <c r="A1051" s="102" t="s">
        <v>1535</v>
      </c>
      <c r="B1051" s="2">
        <v>45555</v>
      </c>
      <c r="C1051" s="1" t="s">
        <v>490</v>
      </c>
      <c r="D1051" s="1" t="s">
        <v>264</v>
      </c>
      <c r="E1051" s="1" t="s">
        <v>343</v>
      </c>
      <c r="F1051" s="83">
        <v>3</v>
      </c>
      <c r="G1051" s="92">
        <v>4070</v>
      </c>
      <c r="H1051" s="3">
        <v>8.1999999999999993</v>
      </c>
      <c r="I1051" s="3">
        <v>11208.78</v>
      </c>
      <c r="J1051" s="1" t="s">
        <v>140</v>
      </c>
      <c r="K1051" s="1" t="s">
        <v>99</v>
      </c>
      <c r="L1051" t="str">
        <f>VLOOKUP(D1051, Products!A:C, 3, FALSE)</f>
        <v>Grocery</v>
      </c>
      <c r="M1051" t="str">
        <f>VLOOKUP(C1051, Customers!A:E, 5, FALSE)</f>
        <v>Retail</v>
      </c>
      <c r="N1051">
        <f>VLOOKUP(C1051, Customers!A:E, 3, FALSE)</f>
        <v>59</v>
      </c>
      <c r="O1051" s="93" t="str">
        <f>VLOOKUP(E1051, Sales_Reps!A:C, 3, FALSE)</f>
        <v>West</v>
      </c>
      <c r="P1051">
        <f>VLOOKUP(D1051, Products!A:E, 4, FALSE)</f>
        <v>2027</v>
      </c>
      <c r="Q1051">
        <f>IF(COUNTIF($A$2:A1051, A1051)=2, 1, 0)</f>
        <v>0</v>
      </c>
      <c r="R1051">
        <f>IF(ISNA(MATCH(C1051, Customers!$A:$A, 0)), 1, 0)</f>
        <v>0</v>
      </c>
      <c r="S1051" s="94" t="b">
        <f>VLOOKUP(D1051, Products!A:F, 6, FALSE)</f>
        <v>1</v>
      </c>
    </row>
    <row r="1052" spans="1:19">
      <c r="A1052" s="102" t="s">
        <v>1536</v>
      </c>
      <c r="B1052" s="2">
        <v>45578</v>
      </c>
      <c r="C1052" s="1" t="s">
        <v>454</v>
      </c>
      <c r="D1052" s="1" t="s">
        <v>191</v>
      </c>
      <c r="E1052" s="1" t="s">
        <v>201</v>
      </c>
      <c r="F1052" s="83">
        <v>8</v>
      </c>
      <c r="G1052" s="92">
        <v>5100</v>
      </c>
      <c r="H1052" s="3">
        <v>26.9</v>
      </c>
      <c r="I1052" s="3">
        <v>29824.799999999999</v>
      </c>
      <c r="J1052" s="1" t="s">
        <v>87</v>
      </c>
      <c r="K1052" s="1" t="s">
        <v>133</v>
      </c>
      <c r="L1052" t="str">
        <f>VLOOKUP(D1052, Products!A:C, 3, FALSE)</f>
        <v>Beauty</v>
      </c>
      <c r="M1052" t="str">
        <f>VLOOKUP(C1052, Customers!A:E, 5, FALSE)</f>
        <v>Corporate</v>
      </c>
      <c r="N1052">
        <f>VLOOKUP(C1052, Customers!A:E, 3, FALSE)</f>
        <v>43</v>
      </c>
      <c r="O1052" s="93" t="str">
        <f>VLOOKUP(E1052, Sales_Reps!A:C, 3, FALSE)</f>
        <v>West</v>
      </c>
      <c r="P1052">
        <f>VLOOKUP(D1052, Products!A:E, 4, FALSE)</f>
        <v>2237</v>
      </c>
      <c r="Q1052">
        <f>IF(COUNTIF($A$2:A1052, A1052)=2, 1, 0)</f>
        <v>0</v>
      </c>
      <c r="R1052">
        <f>IF(ISNA(MATCH(C1052, Customers!$A:$A, 0)), 1, 0)</f>
        <v>0</v>
      </c>
      <c r="S1052" s="94" t="b">
        <f>VLOOKUP(D1052, Products!A:F, 6, FALSE)</f>
        <v>1</v>
      </c>
    </row>
    <row r="1053" spans="1:19">
      <c r="A1053" s="102" t="s">
        <v>1288</v>
      </c>
      <c r="B1053" s="2">
        <v>45296</v>
      </c>
      <c r="C1053" s="1" t="s">
        <v>872</v>
      </c>
      <c r="D1053" s="1" t="s">
        <v>276</v>
      </c>
      <c r="E1053" s="1" t="s">
        <v>238</v>
      </c>
      <c r="F1053" s="83">
        <v>3</v>
      </c>
      <c r="G1053" s="92">
        <v>3020</v>
      </c>
      <c r="H1053" s="3">
        <v>18.5</v>
      </c>
      <c r="I1053" s="3">
        <v>7383.9</v>
      </c>
      <c r="J1053" s="1" t="s">
        <v>140</v>
      </c>
      <c r="K1053" s="1" t="s">
        <v>112</v>
      </c>
      <c r="L1053" t="str">
        <f>VLOOKUP(D1053, Products!A:C, 3, FALSE)</f>
        <v>Beauty</v>
      </c>
      <c r="M1053" t="str">
        <f>VLOOKUP(C1053, Customers!A:E, 5, FALSE)</f>
        <v>Corporate</v>
      </c>
      <c r="N1053">
        <f>VLOOKUP(C1053, Customers!A:E, 3, FALSE)</f>
        <v>62</v>
      </c>
      <c r="O1053" s="93" t="str">
        <f>VLOOKUP(E1053, Sales_Reps!A:C, 3, FALSE)</f>
        <v>East</v>
      </c>
      <c r="P1053">
        <f>VLOOKUP(D1053, Products!A:E, 4, FALSE)</f>
        <v>1626</v>
      </c>
      <c r="Q1053">
        <f>IF(COUNTIF($A$2:A1053, A1053)=2, 1, 0)</f>
        <v>1</v>
      </c>
      <c r="R1053">
        <f>IF(ISNA(MATCH(C1053, Customers!$A:$A, 0)), 1, 0)</f>
        <v>0</v>
      </c>
      <c r="S1053" s="94" t="b">
        <f>VLOOKUP(D1053, Products!A:F, 6, FALSE)</f>
        <v>1</v>
      </c>
    </row>
    <row r="1054" spans="1:19">
      <c r="A1054" s="102" t="s">
        <v>1537</v>
      </c>
      <c r="B1054" s="2">
        <v>45564</v>
      </c>
      <c r="C1054" s="1" t="s">
        <v>1096</v>
      </c>
      <c r="D1054" s="1" t="s">
        <v>380</v>
      </c>
      <c r="E1054" s="1" t="s">
        <v>297</v>
      </c>
      <c r="F1054" s="83">
        <v>8</v>
      </c>
      <c r="G1054" s="92">
        <v>960</v>
      </c>
      <c r="H1054" s="3">
        <v>7.1</v>
      </c>
      <c r="I1054" s="3">
        <v>7134.72</v>
      </c>
      <c r="J1054" s="1" t="s">
        <v>87</v>
      </c>
      <c r="K1054" s="1" t="s">
        <v>88</v>
      </c>
      <c r="L1054" t="str">
        <f>VLOOKUP(D1054, Products!A:C, 3, FALSE)</f>
        <v>Beauty</v>
      </c>
      <c r="M1054" t="str">
        <f>VLOOKUP(C1054, Customers!A:E, 5, FALSE)</f>
        <v>Corporate</v>
      </c>
      <c r="N1054">
        <f>VLOOKUP(C1054, Customers!A:E, 3, FALSE)</f>
        <v>42</v>
      </c>
      <c r="O1054" s="93" t="str">
        <f>VLOOKUP(E1054, Sales_Reps!A:C, 3, FALSE)</f>
        <v>North</v>
      </c>
      <c r="P1054">
        <f>VLOOKUP(D1054, Products!A:E, 4, FALSE)</f>
        <v>675</v>
      </c>
      <c r="Q1054">
        <f>IF(COUNTIF($A$2:A1054, A1054)=2, 1, 0)</f>
        <v>0</v>
      </c>
      <c r="R1054">
        <f>IF(ISNA(MATCH(C1054, Customers!$A:$A, 0)), 1, 0)</f>
        <v>0</v>
      </c>
      <c r="S1054" s="94" t="b">
        <f>VLOOKUP(D1054, Products!A:F, 6, FALSE)</f>
        <v>1</v>
      </c>
    </row>
    <row r="1055" spans="1:19">
      <c r="A1055" s="102" t="s">
        <v>1538</v>
      </c>
      <c r="B1055" s="2">
        <v>45383</v>
      </c>
      <c r="C1055" s="1" t="s">
        <v>602</v>
      </c>
      <c r="D1055" s="1" t="s">
        <v>443</v>
      </c>
      <c r="E1055" s="1" t="s">
        <v>188</v>
      </c>
      <c r="F1055" s="83">
        <v>8</v>
      </c>
      <c r="G1055" s="92">
        <v>5080</v>
      </c>
      <c r="H1055" s="3">
        <v>6.2</v>
      </c>
      <c r="I1055" s="3">
        <v>38120.32</v>
      </c>
      <c r="J1055" s="1" t="s">
        <v>87</v>
      </c>
      <c r="K1055" s="1" t="s">
        <v>94</v>
      </c>
      <c r="L1055" t="str">
        <f>VLOOKUP(D1055, Products!A:C, 3, FALSE)</f>
        <v>Home</v>
      </c>
      <c r="M1055" t="str">
        <f>VLOOKUP(C1055, Customers!A:E, 5, FALSE)</f>
        <v>Retail</v>
      </c>
      <c r="N1055">
        <f>VLOOKUP(C1055, Customers!A:E, 3, FALSE)</f>
        <v>61</v>
      </c>
      <c r="O1055" s="93" t="str">
        <f>VLOOKUP(E1055, Sales_Reps!A:C, 3, FALSE)</f>
        <v>South</v>
      </c>
      <c r="P1055">
        <f>VLOOKUP(D1055, Products!A:E, 4, FALSE)</f>
        <v>2459</v>
      </c>
      <c r="Q1055">
        <f>IF(COUNTIF($A$2:A1055, A1055)=2, 1, 0)</f>
        <v>0</v>
      </c>
      <c r="R1055">
        <f>IF(ISNA(MATCH(C1055, Customers!$A:$A, 0)), 1, 0)</f>
        <v>0</v>
      </c>
      <c r="S1055" s="94" t="b">
        <f>VLOOKUP(D1055, Products!A:F, 6, FALSE)</f>
        <v>1</v>
      </c>
    </row>
    <row r="1056" spans="1:19">
      <c r="A1056" s="102" t="s">
        <v>1539</v>
      </c>
      <c r="B1056" s="2">
        <v>45436</v>
      </c>
      <c r="C1056" s="1" t="s">
        <v>541</v>
      </c>
      <c r="D1056" s="1" t="s">
        <v>241</v>
      </c>
      <c r="E1056" s="1" t="s">
        <v>132</v>
      </c>
      <c r="F1056" s="83">
        <v>6</v>
      </c>
      <c r="G1056" s="92">
        <v>6080</v>
      </c>
      <c r="H1056" s="3">
        <v>25.8</v>
      </c>
      <c r="I1056" s="3">
        <v>27068.16</v>
      </c>
      <c r="J1056" s="1" t="s">
        <v>87</v>
      </c>
      <c r="K1056" s="1" t="s">
        <v>94</v>
      </c>
      <c r="L1056" t="str">
        <f>VLOOKUP(D1056, Products!A:C, 3, FALSE)</f>
        <v>Beauty</v>
      </c>
      <c r="M1056" t="str">
        <f>VLOOKUP(C1056, Customers!A:E, 5, FALSE)</f>
        <v>Corporate</v>
      </c>
      <c r="N1056">
        <f>VLOOKUP(C1056, Customers!A:E, 3, FALSE)</f>
        <v>34</v>
      </c>
      <c r="O1056" s="93" t="str">
        <f>VLOOKUP(E1056, Sales_Reps!A:C, 3, FALSE)</f>
        <v>South</v>
      </c>
      <c r="P1056">
        <f>VLOOKUP(D1056, Products!A:E, 4, FALSE)</f>
        <v>2617</v>
      </c>
      <c r="Q1056">
        <f>IF(COUNTIF($A$2:A1056, A1056)=2, 1, 0)</f>
        <v>0</v>
      </c>
      <c r="R1056">
        <f>IF(ISNA(MATCH(C1056, Customers!$A:$A, 0)), 1, 0)</f>
        <v>0</v>
      </c>
      <c r="S1056" s="94" t="b">
        <f>VLOOKUP(D1056, Products!A:F, 6, FALSE)</f>
        <v>1</v>
      </c>
    </row>
    <row r="1057" spans="1:19">
      <c r="A1057" s="102" t="s">
        <v>1540</v>
      </c>
      <c r="B1057" s="2">
        <v>45544</v>
      </c>
      <c r="C1057" s="1" t="s">
        <v>539</v>
      </c>
      <c r="D1057" s="1" t="s">
        <v>259</v>
      </c>
      <c r="E1057" s="1" t="s">
        <v>132</v>
      </c>
      <c r="F1057" s="83">
        <v>5</v>
      </c>
      <c r="G1057" s="92">
        <v>1540</v>
      </c>
      <c r="H1057" s="3">
        <v>24.6</v>
      </c>
      <c r="I1057" s="3">
        <v>5805.8</v>
      </c>
      <c r="J1057" s="1" t="s">
        <v>87</v>
      </c>
      <c r="K1057" s="1" t="s">
        <v>133</v>
      </c>
      <c r="L1057" t="str">
        <f>VLOOKUP(D1057, Products!A:C, 3, FALSE)</f>
        <v>Beauty</v>
      </c>
      <c r="M1057" t="str">
        <f>VLOOKUP(C1057, Customers!A:E, 5, FALSE)</f>
        <v>Retail</v>
      </c>
      <c r="N1057">
        <f>VLOOKUP(C1057, Customers!A:E, 3, FALSE)</f>
        <v>38</v>
      </c>
      <c r="O1057" s="93" t="str">
        <f>VLOOKUP(E1057, Sales_Reps!A:C, 3, FALSE)</f>
        <v>South</v>
      </c>
      <c r="P1057">
        <f>VLOOKUP(D1057, Products!A:E, 4, FALSE)</f>
        <v>647</v>
      </c>
      <c r="Q1057">
        <f>IF(COUNTIF($A$2:A1057, A1057)=2, 1, 0)</f>
        <v>0</v>
      </c>
      <c r="R1057">
        <f>IF(ISNA(MATCH(C1057, Customers!$A:$A, 0)), 1, 0)</f>
        <v>0</v>
      </c>
      <c r="S1057" s="94" t="b">
        <f>VLOOKUP(D1057, Products!A:F, 6, FALSE)</f>
        <v>0</v>
      </c>
    </row>
    <row r="1058" spans="1:19">
      <c r="A1058" s="102" t="s">
        <v>1541</v>
      </c>
      <c r="B1058" s="2">
        <v>45404</v>
      </c>
      <c r="C1058" s="1" t="s">
        <v>779</v>
      </c>
      <c r="D1058" s="1" t="s">
        <v>182</v>
      </c>
      <c r="E1058" s="1" t="s">
        <v>116</v>
      </c>
      <c r="F1058" s="83">
        <v>4</v>
      </c>
      <c r="G1058" s="92">
        <v>1010</v>
      </c>
      <c r="H1058" s="3">
        <v>2.9</v>
      </c>
      <c r="I1058" s="3">
        <v>3922.84</v>
      </c>
      <c r="J1058" s="1" t="s">
        <v>93</v>
      </c>
      <c r="K1058" s="1" t="s">
        <v>117</v>
      </c>
      <c r="L1058" t="str">
        <f>VLOOKUP(D1058, Products!A:C, 3, FALSE)</f>
        <v>Sports</v>
      </c>
      <c r="M1058" t="str">
        <f>VLOOKUP(C1058, Customers!A:E, 5, FALSE)</f>
        <v>Retail</v>
      </c>
      <c r="N1058">
        <f>VLOOKUP(C1058, Customers!A:E, 3, FALSE)</f>
        <v>27</v>
      </c>
      <c r="O1058" s="93" t="str">
        <f>VLOOKUP(E1058, Sales_Reps!A:C, 3, FALSE)</f>
        <v>West</v>
      </c>
      <c r="P1058">
        <f>VLOOKUP(D1058, Products!A:E, 4, FALSE)</f>
        <v>516</v>
      </c>
      <c r="Q1058">
        <f>IF(COUNTIF($A$2:A1058, A1058)=2, 1, 0)</f>
        <v>0</v>
      </c>
      <c r="R1058">
        <f>IF(ISNA(MATCH(C1058, Customers!$A:$A, 0)), 1, 0)</f>
        <v>0</v>
      </c>
      <c r="S1058" s="94" t="b">
        <f>VLOOKUP(D1058, Products!A:F, 6, FALSE)</f>
        <v>1</v>
      </c>
    </row>
    <row r="1059" spans="1:19">
      <c r="A1059" s="102" t="s">
        <v>1542</v>
      </c>
      <c r="B1059" s="2">
        <v>45586</v>
      </c>
      <c r="C1059" s="1" t="s">
        <v>533</v>
      </c>
      <c r="D1059" s="1" t="s">
        <v>380</v>
      </c>
      <c r="E1059" s="1" t="s">
        <v>201</v>
      </c>
      <c r="F1059" s="83">
        <v>5</v>
      </c>
      <c r="G1059" s="92">
        <v>960</v>
      </c>
      <c r="H1059" s="3">
        <v>11.4</v>
      </c>
      <c r="I1059" s="3">
        <v>4252.8</v>
      </c>
      <c r="J1059" s="1" t="s">
        <v>87</v>
      </c>
      <c r="K1059" s="1" t="s">
        <v>99</v>
      </c>
      <c r="L1059" t="str">
        <f>VLOOKUP(D1059, Products!A:C, 3, FALSE)</f>
        <v>Beauty</v>
      </c>
      <c r="M1059" t="str">
        <f>VLOOKUP(C1059, Customers!A:E, 5, FALSE)</f>
        <v>SMB</v>
      </c>
      <c r="N1059">
        <f>VLOOKUP(C1059, Customers!A:E, 3, FALSE)</f>
        <v>48</v>
      </c>
      <c r="O1059" s="93" t="str">
        <f>VLOOKUP(E1059, Sales_Reps!A:C, 3, FALSE)</f>
        <v>West</v>
      </c>
      <c r="P1059">
        <f>VLOOKUP(D1059, Products!A:E, 4, FALSE)</f>
        <v>675</v>
      </c>
      <c r="Q1059">
        <f>IF(COUNTIF($A$2:A1059, A1059)=2, 1, 0)</f>
        <v>0</v>
      </c>
      <c r="R1059">
        <f>IF(ISNA(MATCH(C1059, Customers!$A:$A, 0)), 1, 0)</f>
        <v>0</v>
      </c>
      <c r="S1059" s="94" t="b">
        <f>VLOOKUP(D1059, Products!A:F, 6, FALSE)</f>
        <v>1</v>
      </c>
    </row>
    <row r="1060" spans="1:19">
      <c r="A1060" s="102" t="s">
        <v>1543</v>
      </c>
      <c r="B1060" s="2">
        <v>45524</v>
      </c>
      <c r="C1060" s="1" t="s">
        <v>231</v>
      </c>
      <c r="D1060" s="1" t="s">
        <v>259</v>
      </c>
      <c r="E1060" s="1" t="s">
        <v>132</v>
      </c>
      <c r="F1060" s="83">
        <v>1</v>
      </c>
      <c r="G1060" s="92">
        <v>1540</v>
      </c>
      <c r="H1060" s="3">
        <v>5.6</v>
      </c>
      <c r="I1060" s="3">
        <v>1453.76</v>
      </c>
      <c r="J1060" s="1" t="s">
        <v>87</v>
      </c>
      <c r="K1060" s="1" t="s">
        <v>117</v>
      </c>
      <c r="L1060" t="str">
        <f>VLOOKUP(D1060, Products!A:C, 3, FALSE)</f>
        <v>Beauty</v>
      </c>
      <c r="M1060" t="str">
        <f>VLOOKUP(C1060, Customers!A:E, 5, FALSE)</f>
        <v>SMB</v>
      </c>
      <c r="N1060">
        <f>VLOOKUP(C1060, Customers!A:E, 3, FALSE)</f>
        <v>64</v>
      </c>
      <c r="O1060" s="93" t="str">
        <f>VLOOKUP(E1060, Sales_Reps!A:C, 3, FALSE)</f>
        <v>South</v>
      </c>
      <c r="P1060">
        <f>VLOOKUP(D1060, Products!A:E, 4, FALSE)</f>
        <v>647</v>
      </c>
      <c r="Q1060">
        <f>IF(COUNTIF($A$2:A1060, A1060)=2, 1, 0)</f>
        <v>0</v>
      </c>
      <c r="R1060">
        <f>IF(ISNA(MATCH(C1060, Customers!$A:$A, 0)), 1, 0)</f>
        <v>0</v>
      </c>
      <c r="S1060" s="94" t="b">
        <f>VLOOKUP(D1060, Products!A:F, 6, FALSE)</f>
        <v>0</v>
      </c>
    </row>
    <row r="1061" spans="1:19">
      <c r="A1061" s="102" t="s">
        <v>1544</v>
      </c>
      <c r="B1061" s="2">
        <v>45397</v>
      </c>
      <c r="C1061" s="1" t="s">
        <v>1003</v>
      </c>
      <c r="D1061" s="1" t="s">
        <v>179</v>
      </c>
      <c r="E1061" s="1" t="s">
        <v>121</v>
      </c>
      <c r="F1061" s="83">
        <v>9</v>
      </c>
      <c r="G1061" s="92">
        <v>3350</v>
      </c>
      <c r="H1061" s="3">
        <v>2.1</v>
      </c>
      <c r="I1061" s="3">
        <v>29516.85</v>
      </c>
      <c r="J1061" s="1" t="s">
        <v>87</v>
      </c>
      <c r="K1061" s="1" t="s">
        <v>99</v>
      </c>
      <c r="L1061" t="str">
        <f>VLOOKUP(D1061, Products!A:C, 3, FALSE)</f>
        <v>Beauty</v>
      </c>
      <c r="M1061" t="str">
        <f>VLOOKUP(C1061, Customers!A:E, 5, FALSE)</f>
        <v>SMB</v>
      </c>
      <c r="N1061">
        <f>VLOOKUP(C1061, Customers!A:E, 3, FALSE)</f>
        <v>45</v>
      </c>
      <c r="O1061" s="93" t="str">
        <f>VLOOKUP(E1061, Sales_Reps!A:C, 3, FALSE)</f>
        <v>East</v>
      </c>
      <c r="P1061">
        <f>VLOOKUP(D1061, Products!A:E, 4, FALSE)</f>
        <v>1728</v>
      </c>
      <c r="Q1061">
        <f>IF(COUNTIF($A$2:A1061, A1061)=2, 1, 0)</f>
        <v>0</v>
      </c>
      <c r="R1061">
        <f>IF(ISNA(MATCH(C1061, Customers!$A:$A, 0)), 1, 0)</f>
        <v>0</v>
      </c>
      <c r="S1061" s="94" t="b">
        <f>VLOOKUP(D1061, Products!A:F, 6, FALSE)</f>
        <v>1</v>
      </c>
    </row>
    <row r="1062" spans="1:19">
      <c r="A1062" s="102" t="s">
        <v>1545</v>
      </c>
      <c r="B1062" s="2">
        <v>45336</v>
      </c>
      <c r="C1062" s="1" t="s">
        <v>908</v>
      </c>
      <c r="D1062" s="1" t="s">
        <v>161</v>
      </c>
      <c r="E1062" s="1" t="s">
        <v>158</v>
      </c>
      <c r="F1062" s="83">
        <v>7</v>
      </c>
      <c r="G1062" s="92">
        <v>3450</v>
      </c>
      <c r="H1062" s="3">
        <v>4.7</v>
      </c>
      <c r="I1062" s="3">
        <v>23014.95</v>
      </c>
      <c r="J1062" s="1" t="s">
        <v>87</v>
      </c>
      <c r="K1062" s="1" t="s">
        <v>133</v>
      </c>
      <c r="L1062" t="str">
        <f>VLOOKUP(D1062, Products!A:C, 3, FALSE)</f>
        <v>Sports</v>
      </c>
      <c r="M1062" t="str">
        <f>VLOOKUP(C1062, Customers!A:E, 5, FALSE)</f>
        <v>Retail</v>
      </c>
      <c r="N1062">
        <f>VLOOKUP(C1062, Customers!A:E, 3, FALSE)</f>
        <v>31</v>
      </c>
      <c r="O1062" s="93" t="str">
        <f>VLOOKUP(E1062, Sales_Reps!A:C, 3, FALSE)</f>
        <v>East</v>
      </c>
      <c r="P1062">
        <f>VLOOKUP(D1062, Products!A:E, 4, FALSE)</f>
        <v>2467</v>
      </c>
      <c r="Q1062">
        <f>IF(COUNTIF($A$2:A1062, A1062)=2, 1, 0)</f>
        <v>0</v>
      </c>
      <c r="R1062">
        <f>IF(ISNA(MATCH(C1062, Customers!$A:$A, 0)), 1, 0)</f>
        <v>0</v>
      </c>
      <c r="S1062" s="94" t="b">
        <f>VLOOKUP(D1062, Products!A:F, 6, FALSE)</f>
        <v>1</v>
      </c>
    </row>
    <row r="1063" spans="1:19">
      <c r="A1063" s="102" t="s">
        <v>1546</v>
      </c>
      <c r="B1063" s="2">
        <v>45594</v>
      </c>
      <c r="C1063" s="1" t="s">
        <v>294</v>
      </c>
      <c r="D1063" s="1" t="s">
        <v>115</v>
      </c>
      <c r="E1063" s="1" t="s">
        <v>121</v>
      </c>
      <c r="F1063" s="83">
        <v>10</v>
      </c>
      <c r="G1063" s="92">
        <v>960</v>
      </c>
      <c r="H1063" s="3">
        <v>17.899999999999999</v>
      </c>
      <c r="I1063" s="3">
        <v>7881.6</v>
      </c>
      <c r="J1063" s="1" t="s">
        <v>87</v>
      </c>
      <c r="K1063" s="1" t="s">
        <v>133</v>
      </c>
      <c r="L1063" t="str">
        <f>VLOOKUP(D1063, Products!A:C, 3, FALSE)</f>
        <v>Sports</v>
      </c>
      <c r="M1063" t="str">
        <f>VLOOKUP(C1063, Customers!A:E, 5, FALSE)</f>
        <v>SMB</v>
      </c>
      <c r="N1063">
        <f>VLOOKUP(C1063, Customers!A:E, 3, FALSE)</f>
        <v>43</v>
      </c>
      <c r="O1063" s="93" t="str">
        <f>VLOOKUP(E1063, Sales_Reps!A:C, 3, FALSE)</f>
        <v>East</v>
      </c>
      <c r="P1063">
        <f>VLOOKUP(D1063, Products!A:E, 4, FALSE)</f>
        <v>705</v>
      </c>
      <c r="Q1063">
        <f>IF(COUNTIF($A$2:A1063, A1063)=2, 1, 0)</f>
        <v>0</v>
      </c>
      <c r="R1063">
        <f>IF(ISNA(MATCH(C1063, Customers!$A:$A, 0)), 1, 0)</f>
        <v>0</v>
      </c>
      <c r="S1063" s="94" t="b">
        <f>VLOOKUP(D1063, Products!A:F, 6, FALSE)</f>
        <v>1</v>
      </c>
    </row>
    <row r="1064" spans="1:19">
      <c r="A1064" s="102" t="s">
        <v>1547</v>
      </c>
      <c r="B1064" s="2">
        <v>45617</v>
      </c>
      <c r="C1064" s="1" t="s">
        <v>429</v>
      </c>
      <c r="D1064" s="1" t="s">
        <v>237</v>
      </c>
      <c r="E1064" s="1" t="s">
        <v>98</v>
      </c>
      <c r="F1064" s="83">
        <v>1</v>
      </c>
      <c r="G1064" s="92">
        <v>3640</v>
      </c>
      <c r="H1064" s="3">
        <v>8.8000000000000007</v>
      </c>
      <c r="I1064" s="3">
        <v>3319.68</v>
      </c>
      <c r="J1064" s="1" t="s">
        <v>87</v>
      </c>
      <c r="K1064" s="1" t="s">
        <v>117</v>
      </c>
      <c r="L1064" t="str">
        <f>VLOOKUP(D1064, Products!A:C, 3, FALSE)</f>
        <v>Apparel</v>
      </c>
      <c r="M1064" t="str">
        <f>VLOOKUP(C1064, Customers!A:E, 5, FALSE)</f>
        <v>Retail</v>
      </c>
      <c r="N1064">
        <f>VLOOKUP(C1064, Customers!A:E, 3, FALSE)</f>
        <v>55</v>
      </c>
      <c r="O1064" s="93" t="str">
        <f>VLOOKUP(E1064, Sales_Reps!A:C, 3, FALSE)</f>
        <v>South</v>
      </c>
      <c r="P1064">
        <f>VLOOKUP(D1064, Products!A:E, 4, FALSE)</f>
        <v>2611</v>
      </c>
      <c r="Q1064">
        <f>IF(COUNTIF($A$2:A1064, A1064)=2, 1, 0)</f>
        <v>0</v>
      </c>
      <c r="R1064">
        <f>IF(ISNA(MATCH(C1064, Customers!$A:$A, 0)), 1, 0)</f>
        <v>0</v>
      </c>
      <c r="S1064" s="94" t="b">
        <f>VLOOKUP(D1064, Products!A:F, 6, FALSE)</f>
        <v>1</v>
      </c>
    </row>
    <row r="1065" spans="1:19">
      <c r="A1065" s="102" t="s">
        <v>1548</v>
      </c>
      <c r="B1065" s="2">
        <v>45378</v>
      </c>
      <c r="C1065" s="1" t="s">
        <v>779</v>
      </c>
      <c r="D1065" s="1" t="s">
        <v>338</v>
      </c>
      <c r="E1065" s="1" t="s">
        <v>238</v>
      </c>
      <c r="F1065" s="83">
        <v>1</v>
      </c>
      <c r="G1065" s="92">
        <v>2210</v>
      </c>
      <c r="H1065" s="3">
        <v>10.7</v>
      </c>
      <c r="I1065" s="3">
        <v>1973.53</v>
      </c>
      <c r="J1065" s="1" t="s">
        <v>87</v>
      </c>
      <c r="K1065" s="1" t="s">
        <v>117</v>
      </c>
      <c r="L1065" t="str">
        <f>VLOOKUP(D1065, Products!A:C, 3, FALSE)</f>
        <v>Grocery</v>
      </c>
      <c r="M1065" t="str">
        <f>VLOOKUP(C1065, Customers!A:E, 5, FALSE)</f>
        <v>Retail</v>
      </c>
      <c r="N1065">
        <f>VLOOKUP(C1065, Customers!A:E, 3, FALSE)</f>
        <v>27</v>
      </c>
      <c r="O1065" s="93" t="str">
        <f>VLOOKUP(E1065, Sales_Reps!A:C, 3, FALSE)</f>
        <v>East</v>
      </c>
      <c r="P1065">
        <f>VLOOKUP(D1065, Products!A:E, 4, FALSE)</f>
        <v>1010</v>
      </c>
      <c r="Q1065">
        <f>IF(COUNTIF($A$2:A1065, A1065)=2, 1, 0)</f>
        <v>0</v>
      </c>
      <c r="R1065">
        <f>IF(ISNA(MATCH(C1065, Customers!$A:$A, 0)), 1, 0)</f>
        <v>0</v>
      </c>
      <c r="S1065" s="94" t="b">
        <f>VLOOKUP(D1065, Products!A:F, 6, FALSE)</f>
        <v>1</v>
      </c>
    </row>
    <row r="1066" spans="1:19">
      <c r="A1066" s="102" t="s">
        <v>1549</v>
      </c>
      <c r="B1066" s="2">
        <v>45318</v>
      </c>
      <c r="C1066" s="1" t="s">
        <v>101</v>
      </c>
      <c r="D1066" s="1" t="s">
        <v>226</v>
      </c>
      <c r="E1066" s="1" t="s">
        <v>92</v>
      </c>
      <c r="F1066" s="83">
        <v>2</v>
      </c>
      <c r="G1066" s="92">
        <v>3730</v>
      </c>
      <c r="H1066" s="3">
        <v>13.9</v>
      </c>
      <c r="I1066" s="3">
        <v>6423.06</v>
      </c>
      <c r="J1066" s="1" t="s">
        <v>87</v>
      </c>
      <c r="K1066" s="1" t="s">
        <v>99</v>
      </c>
      <c r="L1066" t="str">
        <f>VLOOKUP(D1066, Products!A:C, 3, FALSE)</f>
        <v>Home</v>
      </c>
      <c r="M1066" t="str">
        <f>VLOOKUP(C1066, Customers!A:E, 5, FALSE)</f>
        <v>Corporate</v>
      </c>
      <c r="N1066">
        <f>VLOOKUP(C1066, Customers!A:E, 3, FALSE)</f>
        <v>46</v>
      </c>
      <c r="O1066" s="93" t="str">
        <f>VLOOKUP(E1066, Sales_Reps!A:C, 3, FALSE)</f>
        <v>North</v>
      </c>
      <c r="P1066">
        <f>VLOOKUP(D1066, Products!A:E, 4, FALSE)</f>
        <v>2135</v>
      </c>
      <c r="Q1066">
        <f>IF(COUNTIF($A$2:A1066, A1066)=2, 1, 0)</f>
        <v>0</v>
      </c>
      <c r="R1066">
        <f>IF(ISNA(MATCH(C1066, Customers!$A:$A, 0)), 1, 0)</f>
        <v>0</v>
      </c>
      <c r="S1066" s="94" t="b">
        <f>VLOOKUP(D1066, Products!A:F, 6, FALSE)</f>
        <v>1</v>
      </c>
    </row>
    <row r="1067" spans="1:19">
      <c r="A1067" s="102" t="s">
        <v>1550</v>
      </c>
      <c r="B1067" s="2">
        <v>45542</v>
      </c>
      <c r="C1067" s="1" t="s">
        <v>427</v>
      </c>
      <c r="D1067" s="1" t="s">
        <v>360</v>
      </c>
      <c r="E1067" s="1" t="s">
        <v>132</v>
      </c>
      <c r="F1067" s="83">
        <v>7</v>
      </c>
      <c r="G1067" s="92">
        <v>5410</v>
      </c>
      <c r="H1067" s="3">
        <v>23.6</v>
      </c>
      <c r="I1067" s="3">
        <v>28932.68</v>
      </c>
      <c r="J1067" s="1" t="s">
        <v>87</v>
      </c>
      <c r="K1067" s="1" t="s">
        <v>88</v>
      </c>
      <c r="L1067" t="str">
        <f>VLOOKUP(D1067, Products!A:C, 3, FALSE)</f>
        <v>Sports</v>
      </c>
      <c r="M1067" t="str">
        <f>VLOOKUP(C1067, Customers!A:E, 5, FALSE)</f>
        <v>Corporate</v>
      </c>
      <c r="N1067">
        <f>VLOOKUP(C1067, Customers!A:E, 3, FALSE)</f>
        <v>48</v>
      </c>
      <c r="O1067" s="93" t="str">
        <f>VLOOKUP(E1067, Sales_Reps!A:C, 3, FALSE)</f>
        <v>South</v>
      </c>
      <c r="P1067">
        <f>VLOOKUP(D1067, Products!A:E, 4, FALSE)</f>
        <v>2265</v>
      </c>
      <c r="Q1067">
        <f>IF(COUNTIF($A$2:A1067, A1067)=2, 1, 0)</f>
        <v>0</v>
      </c>
      <c r="R1067">
        <f>IF(ISNA(MATCH(C1067, Customers!$A:$A, 0)), 1, 0)</f>
        <v>0</v>
      </c>
      <c r="S1067" s="94" t="b">
        <f>VLOOKUP(D1067, Products!A:F, 6, FALSE)</f>
        <v>1</v>
      </c>
    </row>
    <row r="1068" spans="1:19">
      <c r="A1068" s="102" t="s">
        <v>1551</v>
      </c>
      <c r="B1068" s="2">
        <v>45618</v>
      </c>
      <c r="C1068" s="1" t="s">
        <v>872</v>
      </c>
      <c r="D1068" s="1" t="s">
        <v>234</v>
      </c>
      <c r="E1068" s="1" t="s">
        <v>303</v>
      </c>
      <c r="F1068" s="83">
        <v>7</v>
      </c>
      <c r="G1068" s="92">
        <v>3780</v>
      </c>
      <c r="H1068" s="3">
        <v>8.5</v>
      </c>
      <c r="I1068" s="3">
        <v>24210.9</v>
      </c>
      <c r="J1068" s="1" t="s">
        <v>140</v>
      </c>
      <c r="K1068" s="1" t="s">
        <v>112</v>
      </c>
      <c r="L1068" t="str">
        <f>VLOOKUP(D1068, Products!A:C, 3, FALSE)</f>
        <v>Grocery</v>
      </c>
      <c r="M1068" t="str">
        <f>VLOOKUP(C1068, Customers!A:E, 5, FALSE)</f>
        <v>Corporate</v>
      </c>
      <c r="N1068">
        <f>VLOOKUP(C1068, Customers!A:E, 3, FALSE)</f>
        <v>62</v>
      </c>
      <c r="O1068" s="93" t="str">
        <f>VLOOKUP(E1068, Sales_Reps!A:C, 3, FALSE)</f>
        <v>East</v>
      </c>
      <c r="P1068">
        <f>VLOOKUP(D1068, Products!A:E, 4, FALSE)</f>
        <v>2436</v>
      </c>
      <c r="Q1068">
        <f>IF(COUNTIF($A$2:A1068, A1068)=2, 1, 0)</f>
        <v>0</v>
      </c>
      <c r="R1068">
        <f>IF(ISNA(MATCH(C1068, Customers!$A:$A, 0)), 1, 0)</f>
        <v>0</v>
      </c>
      <c r="S1068" s="94" t="b">
        <f>VLOOKUP(D1068, Products!A:F, 6, FALSE)</f>
        <v>1</v>
      </c>
    </row>
    <row r="1069" spans="1:19">
      <c r="A1069" s="102" t="s">
        <v>1552</v>
      </c>
      <c r="B1069" s="2">
        <v>45555</v>
      </c>
      <c r="C1069" s="1" t="s">
        <v>258</v>
      </c>
      <c r="D1069" s="1" t="s">
        <v>270</v>
      </c>
      <c r="E1069" s="1" t="s">
        <v>346</v>
      </c>
      <c r="F1069" s="83">
        <v>9</v>
      </c>
      <c r="G1069" s="92">
        <v>4610</v>
      </c>
      <c r="H1069" s="3">
        <v>26.6</v>
      </c>
      <c r="I1069" s="3">
        <v>30453.66</v>
      </c>
      <c r="J1069" s="1" t="s">
        <v>87</v>
      </c>
      <c r="K1069" s="1" t="s">
        <v>99</v>
      </c>
      <c r="L1069" t="str">
        <f>VLOOKUP(D1069, Products!A:C, 3, FALSE)</f>
        <v>Home</v>
      </c>
      <c r="M1069" t="str">
        <f>VLOOKUP(C1069, Customers!A:E, 5, FALSE)</f>
        <v>SMB</v>
      </c>
      <c r="N1069">
        <f>VLOOKUP(C1069, Customers!A:E, 3, FALSE)</f>
        <v>55</v>
      </c>
      <c r="O1069" s="93" t="str">
        <f>VLOOKUP(E1069, Sales_Reps!A:C, 3, FALSE)</f>
        <v>South</v>
      </c>
      <c r="P1069">
        <f>VLOOKUP(D1069, Products!A:E, 4, FALSE)</f>
        <v>1850</v>
      </c>
      <c r="Q1069">
        <f>IF(COUNTIF($A$2:A1069, A1069)=2, 1, 0)</f>
        <v>0</v>
      </c>
      <c r="R1069">
        <f>IF(ISNA(MATCH(C1069, Customers!$A:$A, 0)), 1, 0)</f>
        <v>0</v>
      </c>
      <c r="S1069" s="94" t="b">
        <f>VLOOKUP(D1069, Products!A:F, 6, FALSE)</f>
        <v>1</v>
      </c>
    </row>
    <row r="1070" spans="1:19">
      <c r="A1070" s="102" t="s">
        <v>1553</v>
      </c>
      <c r="B1070" s="2">
        <v>45373</v>
      </c>
      <c r="C1070" s="1" t="s">
        <v>602</v>
      </c>
      <c r="D1070" s="1" t="s">
        <v>135</v>
      </c>
      <c r="E1070" s="1" t="s">
        <v>111</v>
      </c>
      <c r="F1070" s="83">
        <v>5</v>
      </c>
      <c r="G1070" s="92">
        <v>2640</v>
      </c>
      <c r="H1070" s="3">
        <v>1.5</v>
      </c>
      <c r="I1070" s="3">
        <v>13002</v>
      </c>
      <c r="J1070" s="1" t="s">
        <v>87</v>
      </c>
      <c r="K1070" s="1" t="s">
        <v>94</v>
      </c>
      <c r="L1070" t="str">
        <f>VLOOKUP(D1070, Products!A:C, 3, FALSE)</f>
        <v>Electronics</v>
      </c>
      <c r="M1070" t="str">
        <f>VLOOKUP(C1070, Customers!A:E, 5, FALSE)</f>
        <v>Retail</v>
      </c>
      <c r="N1070">
        <f>VLOOKUP(C1070, Customers!A:E, 3, FALSE)</f>
        <v>61</v>
      </c>
      <c r="O1070" s="93" t="str">
        <f>VLOOKUP(E1070, Sales_Reps!A:C, 3, FALSE)</f>
        <v>West</v>
      </c>
      <c r="P1070">
        <f>VLOOKUP(D1070, Products!A:E, 4, FALSE)</f>
        <v>1149</v>
      </c>
      <c r="Q1070">
        <f>IF(COUNTIF($A$2:A1070, A1070)=2, 1, 0)</f>
        <v>0</v>
      </c>
      <c r="R1070">
        <f>IF(ISNA(MATCH(C1070, Customers!$A:$A, 0)), 1, 0)</f>
        <v>0</v>
      </c>
      <c r="S1070" s="94" t="b">
        <f>VLOOKUP(D1070, Products!A:F, 6, FALSE)</f>
        <v>1</v>
      </c>
    </row>
    <row r="1071" spans="1:19">
      <c r="A1071" s="102" t="s">
        <v>1554</v>
      </c>
      <c r="B1071" s="2">
        <v>45515</v>
      </c>
      <c r="C1071" s="1" t="s">
        <v>223</v>
      </c>
      <c r="D1071" s="1" t="s">
        <v>85</v>
      </c>
      <c r="E1071" s="1" t="s">
        <v>132</v>
      </c>
      <c r="F1071" s="83">
        <v>3</v>
      </c>
      <c r="G1071" s="92">
        <v>3620</v>
      </c>
      <c r="H1071" s="3">
        <v>3.1</v>
      </c>
      <c r="I1071" s="3">
        <v>10523.34</v>
      </c>
      <c r="J1071" s="1" t="s">
        <v>87</v>
      </c>
      <c r="K1071" s="1" t="s">
        <v>99</v>
      </c>
      <c r="L1071" t="str">
        <f>VLOOKUP(D1071, Products!A:C, 3, FALSE)</f>
        <v>Apparel</v>
      </c>
      <c r="M1071" t="str">
        <f>VLOOKUP(C1071, Customers!A:E, 5, FALSE)</f>
        <v>Retail</v>
      </c>
      <c r="N1071">
        <f>VLOOKUP(C1071, Customers!A:E, 3, FALSE)</f>
        <v>53</v>
      </c>
      <c r="O1071" s="93" t="str">
        <f>VLOOKUP(E1071, Sales_Reps!A:C, 3, FALSE)</f>
        <v>South</v>
      </c>
      <c r="P1071">
        <f>VLOOKUP(D1071, Products!A:E, 4, FALSE)</f>
        <v>2509</v>
      </c>
      <c r="Q1071">
        <f>IF(COUNTIF($A$2:A1071, A1071)=2, 1, 0)</f>
        <v>0</v>
      </c>
      <c r="R1071">
        <f>IF(ISNA(MATCH(C1071, Customers!$A:$A, 0)), 1, 0)</f>
        <v>0</v>
      </c>
      <c r="S1071" s="94" t="b">
        <f>VLOOKUP(D1071, Products!A:F, 6, FALSE)</f>
        <v>1</v>
      </c>
    </row>
    <row r="1072" spans="1:19">
      <c r="A1072" s="102" t="s">
        <v>1555</v>
      </c>
      <c r="B1072" s="2">
        <v>45530</v>
      </c>
      <c r="C1072" s="1" t="s">
        <v>797</v>
      </c>
      <c r="D1072" s="1" t="s">
        <v>97</v>
      </c>
      <c r="E1072" s="1" t="s">
        <v>303</v>
      </c>
      <c r="F1072" s="83">
        <v>5</v>
      </c>
      <c r="G1072" s="92">
        <v>470</v>
      </c>
      <c r="H1072" s="3">
        <v>10.6</v>
      </c>
      <c r="I1072" s="3">
        <v>2100.9</v>
      </c>
      <c r="J1072" s="1" t="s">
        <v>140</v>
      </c>
      <c r="K1072" s="1" t="s">
        <v>99</v>
      </c>
      <c r="L1072" t="str">
        <f>VLOOKUP(D1072, Products!A:C, 3, FALSE)</f>
        <v>Sports</v>
      </c>
      <c r="M1072" t="str">
        <f>VLOOKUP(C1072, Customers!A:E, 5, FALSE)</f>
        <v>Retail</v>
      </c>
      <c r="N1072">
        <f>VLOOKUP(C1072, Customers!A:E, 3, FALSE)</f>
        <v>63</v>
      </c>
      <c r="O1072" s="93" t="str">
        <f>VLOOKUP(E1072, Sales_Reps!A:C, 3, FALSE)</f>
        <v>East</v>
      </c>
      <c r="P1072">
        <f>VLOOKUP(D1072, Products!A:E, 4, FALSE)</f>
        <v>302</v>
      </c>
      <c r="Q1072">
        <f>IF(COUNTIF($A$2:A1072, A1072)=2, 1, 0)</f>
        <v>0</v>
      </c>
      <c r="R1072">
        <f>IF(ISNA(MATCH(C1072, Customers!$A:$A, 0)), 1, 0)</f>
        <v>0</v>
      </c>
      <c r="S1072" s="94" t="b">
        <f>VLOOKUP(D1072, Products!A:F, 6, FALSE)</f>
        <v>0</v>
      </c>
    </row>
    <row r="1073" spans="1:19">
      <c r="A1073" s="102" t="s">
        <v>1556</v>
      </c>
      <c r="B1073" s="2">
        <v>45463</v>
      </c>
      <c r="C1073" s="1" t="s">
        <v>261</v>
      </c>
      <c r="D1073" s="1" t="s">
        <v>364</v>
      </c>
      <c r="E1073" s="1" t="s">
        <v>204</v>
      </c>
      <c r="F1073" s="83">
        <v>7</v>
      </c>
      <c r="G1073" s="92">
        <v>5330</v>
      </c>
      <c r="H1073" s="3">
        <v>25</v>
      </c>
      <c r="I1073" s="3">
        <v>27982.5</v>
      </c>
      <c r="J1073" s="1" t="s">
        <v>140</v>
      </c>
      <c r="K1073" s="1" t="s">
        <v>99</v>
      </c>
      <c r="L1073" t="str">
        <f>VLOOKUP(D1073, Products!A:C, 3, FALSE)</f>
        <v>Electronics</v>
      </c>
      <c r="M1073" t="str">
        <f>VLOOKUP(C1073, Customers!A:E, 5, FALSE)</f>
        <v>Retail</v>
      </c>
      <c r="N1073">
        <f>VLOOKUP(C1073, Customers!A:E, 3, FALSE)</f>
        <v>54</v>
      </c>
      <c r="O1073" s="93" t="str">
        <f>VLOOKUP(E1073, Sales_Reps!A:C, 3, FALSE)</f>
        <v>South</v>
      </c>
      <c r="P1073">
        <f>VLOOKUP(D1073, Products!A:E, 4, FALSE)</f>
        <v>2405</v>
      </c>
      <c r="Q1073">
        <f>IF(COUNTIF($A$2:A1073, A1073)=2, 1, 0)</f>
        <v>0</v>
      </c>
      <c r="R1073">
        <f>IF(ISNA(MATCH(C1073, Customers!$A:$A, 0)), 1, 0)</f>
        <v>0</v>
      </c>
      <c r="S1073" s="94" t="b">
        <f>VLOOKUP(D1073, Products!A:F, 6, FALSE)</f>
        <v>1</v>
      </c>
    </row>
    <row r="1074" spans="1:19">
      <c r="A1074" s="102" t="s">
        <v>1557</v>
      </c>
      <c r="B1074" s="2">
        <v>45292</v>
      </c>
      <c r="C1074" s="1" t="s">
        <v>802</v>
      </c>
      <c r="D1074" s="1" t="s">
        <v>241</v>
      </c>
      <c r="E1074" s="1" t="s">
        <v>98</v>
      </c>
      <c r="F1074" s="83">
        <v>1</v>
      </c>
      <c r="G1074" s="92">
        <v>6080</v>
      </c>
      <c r="H1074" s="3">
        <v>27.8</v>
      </c>
      <c r="I1074" s="3">
        <v>4389.76</v>
      </c>
      <c r="J1074" s="1" t="s">
        <v>87</v>
      </c>
      <c r="K1074" s="1" t="s">
        <v>94</v>
      </c>
      <c r="L1074" t="str">
        <f>VLOOKUP(D1074, Products!A:C, 3, FALSE)</f>
        <v>Beauty</v>
      </c>
      <c r="M1074" t="str">
        <f>VLOOKUP(C1074, Customers!A:E, 5, FALSE)</f>
        <v>SMB</v>
      </c>
      <c r="N1074">
        <f>VLOOKUP(C1074, Customers!A:E, 3, FALSE)</f>
        <v>39</v>
      </c>
      <c r="O1074" s="93" t="str">
        <f>VLOOKUP(E1074, Sales_Reps!A:C, 3, FALSE)</f>
        <v>South</v>
      </c>
      <c r="P1074">
        <f>VLOOKUP(D1074, Products!A:E, 4, FALSE)</f>
        <v>2617</v>
      </c>
      <c r="Q1074">
        <f>IF(COUNTIF($A$2:A1074, A1074)=2, 1, 0)</f>
        <v>0</v>
      </c>
      <c r="R1074">
        <f>IF(ISNA(MATCH(C1074, Customers!$A:$A, 0)), 1, 0)</f>
        <v>0</v>
      </c>
      <c r="S1074" s="94" t="b">
        <f>VLOOKUP(D1074, Products!A:F, 6, FALSE)</f>
        <v>1</v>
      </c>
    </row>
    <row r="1075" spans="1:19">
      <c r="A1075" s="102" t="s">
        <v>1558</v>
      </c>
      <c r="B1075" s="2">
        <v>45347</v>
      </c>
      <c r="C1075" s="1" t="s">
        <v>206</v>
      </c>
      <c r="D1075" s="1" t="s">
        <v>179</v>
      </c>
      <c r="E1075" s="1" t="s">
        <v>116</v>
      </c>
      <c r="F1075" s="83">
        <v>6</v>
      </c>
      <c r="G1075" s="92">
        <v>3350</v>
      </c>
      <c r="H1075" s="3">
        <v>12</v>
      </c>
      <c r="I1075" s="3">
        <v>17688</v>
      </c>
      <c r="J1075" s="1" t="s">
        <v>87</v>
      </c>
      <c r="K1075" s="1" t="s">
        <v>133</v>
      </c>
      <c r="L1075" t="str">
        <f>VLOOKUP(D1075, Products!A:C, 3, FALSE)</f>
        <v>Beauty</v>
      </c>
      <c r="M1075" t="str">
        <f>VLOOKUP(C1075, Customers!A:E, 5, FALSE)</f>
        <v>SMB</v>
      </c>
      <c r="N1075">
        <f>VLOOKUP(C1075, Customers!A:E, 3, FALSE)</f>
        <v>40</v>
      </c>
      <c r="O1075" s="93" t="str">
        <f>VLOOKUP(E1075, Sales_Reps!A:C, 3, FALSE)</f>
        <v>West</v>
      </c>
      <c r="P1075">
        <f>VLOOKUP(D1075, Products!A:E, 4, FALSE)</f>
        <v>1728</v>
      </c>
      <c r="Q1075">
        <f>IF(COUNTIF($A$2:A1075, A1075)=2, 1, 0)</f>
        <v>0</v>
      </c>
      <c r="R1075">
        <f>IF(ISNA(MATCH(C1075, Customers!$A:$A, 0)), 1, 0)</f>
        <v>0</v>
      </c>
      <c r="S1075" s="94" t="b">
        <f>VLOOKUP(D1075, Products!A:F, 6, FALSE)</f>
        <v>1</v>
      </c>
    </row>
    <row r="1076" spans="1:19">
      <c r="A1076" s="102" t="s">
        <v>1559</v>
      </c>
      <c r="B1076" s="2">
        <v>45592</v>
      </c>
      <c r="C1076" s="1" t="s">
        <v>1560</v>
      </c>
      <c r="D1076" s="1" t="s">
        <v>515</v>
      </c>
      <c r="E1076" s="1" t="s">
        <v>343</v>
      </c>
      <c r="F1076" s="83">
        <v>6</v>
      </c>
      <c r="G1076" s="92">
        <v>6940</v>
      </c>
      <c r="H1076" s="3">
        <v>20</v>
      </c>
      <c r="I1076" s="3">
        <v>33312</v>
      </c>
      <c r="J1076" s="1" t="s">
        <v>87</v>
      </c>
      <c r="K1076" s="1" t="s">
        <v>94</v>
      </c>
      <c r="L1076" t="str">
        <f>VLOOKUP(D1076, Products!A:C, 3, FALSE)</f>
        <v>Sports</v>
      </c>
      <c r="M1076" t="e">
        <f>VLOOKUP(C1076, Customers!A:E, 5, FALSE)</f>
        <v>#N/A</v>
      </c>
      <c r="N1076" t="e">
        <f>VLOOKUP(C1076, Customers!A:E, 3, FALSE)</f>
        <v>#N/A</v>
      </c>
      <c r="O1076" s="93" t="str">
        <f>VLOOKUP(E1076, Sales_Reps!A:C, 3, FALSE)</f>
        <v>West</v>
      </c>
      <c r="P1076">
        <f>VLOOKUP(D1076, Products!A:E, 4, FALSE)</f>
        <v>2827</v>
      </c>
      <c r="Q1076">
        <f>IF(COUNTIF($A$2:A1076, A1076)=2, 1, 0)</f>
        <v>0</v>
      </c>
      <c r="R1076">
        <f>IF(ISNA(MATCH(C1076, Customers!$A:$A, 0)), 1, 0)</f>
        <v>1</v>
      </c>
      <c r="S1076" s="94" t="b">
        <f>VLOOKUP(D1076, Products!A:F, 6, FALSE)</f>
        <v>1</v>
      </c>
    </row>
    <row r="1077" spans="1:19">
      <c r="A1077" s="102" t="s">
        <v>1561</v>
      </c>
      <c r="B1077" s="2">
        <v>45636</v>
      </c>
      <c r="C1077" s="1" t="s">
        <v>305</v>
      </c>
      <c r="D1077" s="1" t="s">
        <v>110</v>
      </c>
      <c r="E1077" s="1" t="s">
        <v>86</v>
      </c>
      <c r="F1077" s="83">
        <v>1</v>
      </c>
      <c r="G1077" s="92">
        <v>370</v>
      </c>
      <c r="H1077" s="3">
        <v>10</v>
      </c>
      <c r="I1077" s="3">
        <v>333</v>
      </c>
      <c r="J1077" s="1" t="s">
        <v>87</v>
      </c>
      <c r="K1077" s="1" t="s">
        <v>133</v>
      </c>
      <c r="L1077" t="str">
        <f>VLOOKUP(D1077, Products!A:C, 3, FALSE)</f>
        <v>Home</v>
      </c>
      <c r="M1077" t="str">
        <f>VLOOKUP(C1077, Customers!A:E, 5, FALSE)</f>
        <v>Corporate</v>
      </c>
      <c r="N1077">
        <f>VLOOKUP(C1077, Customers!A:E, 3, FALSE)</f>
        <v>46</v>
      </c>
      <c r="O1077" s="93" t="str">
        <f>VLOOKUP(E1077, Sales_Reps!A:C, 3, FALSE)</f>
        <v>North</v>
      </c>
      <c r="P1077">
        <f>VLOOKUP(D1077, Products!A:E, 4, FALSE)</f>
        <v>288</v>
      </c>
      <c r="Q1077">
        <f>IF(COUNTIF($A$2:A1077, A1077)=2, 1, 0)</f>
        <v>0</v>
      </c>
      <c r="R1077">
        <f>IF(ISNA(MATCH(C1077, Customers!$A:$A, 0)), 1, 0)</f>
        <v>0</v>
      </c>
      <c r="S1077" s="94" t="b">
        <f>VLOOKUP(D1077, Products!A:F, 6, FALSE)</f>
        <v>1</v>
      </c>
    </row>
    <row r="1078" spans="1:19">
      <c r="A1078" s="102" t="s">
        <v>1562</v>
      </c>
      <c r="B1078" s="2">
        <v>45432</v>
      </c>
      <c r="C1078" s="1" t="s">
        <v>1016</v>
      </c>
      <c r="D1078" s="1" t="s">
        <v>124</v>
      </c>
      <c r="E1078" s="1" t="s">
        <v>192</v>
      </c>
      <c r="F1078" s="83">
        <v>2</v>
      </c>
      <c r="G1078" s="92">
        <v>5490</v>
      </c>
      <c r="H1078" s="3">
        <v>27.9</v>
      </c>
      <c r="I1078" s="3">
        <v>7916.58</v>
      </c>
      <c r="J1078" s="1" t="s">
        <v>87</v>
      </c>
      <c r="K1078" s="1" t="s">
        <v>117</v>
      </c>
      <c r="L1078" t="str">
        <f>VLOOKUP(D1078, Products!A:C, 3, FALSE)</f>
        <v>Home</v>
      </c>
      <c r="M1078" t="str">
        <f>VLOOKUP(C1078, Customers!A:E, 5, FALSE)</f>
        <v>SMB</v>
      </c>
      <c r="N1078">
        <f>VLOOKUP(C1078, Customers!A:E, 3, FALSE)</f>
        <v>49</v>
      </c>
      <c r="O1078" s="93" t="str">
        <f>VLOOKUP(E1078, Sales_Reps!A:C, 3, FALSE)</f>
        <v>East</v>
      </c>
      <c r="P1078">
        <f>VLOOKUP(D1078, Products!A:E, 4, FALSE)</f>
        <v>2549</v>
      </c>
      <c r="Q1078">
        <f>IF(COUNTIF($A$2:A1078, A1078)=2, 1, 0)</f>
        <v>0</v>
      </c>
      <c r="R1078">
        <f>IF(ISNA(MATCH(C1078, Customers!$A:$A, 0)), 1, 0)</f>
        <v>0</v>
      </c>
      <c r="S1078" s="94" t="b">
        <f>VLOOKUP(D1078, Products!A:F, 6, FALSE)</f>
        <v>1</v>
      </c>
    </row>
    <row r="1079" spans="1:19">
      <c r="A1079" s="102" t="s">
        <v>1563</v>
      </c>
      <c r="B1079" s="2">
        <v>45479</v>
      </c>
      <c r="C1079" s="1" t="s">
        <v>1036</v>
      </c>
      <c r="D1079" s="1" t="s">
        <v>102</v>
      </c>
      <c r="E1079" s="1" t="s">
        <v>204</v>
      </c>
      <c r="F1079" s="83">
        <v>5</v>
      </c>
      <c r="G1079" s="92">
        <v>3660</v>
      </c>
      <c r="H1079" s="3">
        <v>4.5999999999999996</v>
      </c>
      <c r="I1079" s="3">
        <v>17458.2</v>
      </c>
      <c r="J1079" s="1" t="s">
        <v>87</v>
      </c>
      <c r="K1079" s="1" t="s">
        <v>112</v>
      </c>
      <c r="L1079" t="str">
        <f>VLOOKUP(D1079, Products!A:C, 3, FALSE)</f>
        <v>Grocery</v>
      </c>
      <c r="M1079" t="str">
        <f>VLOOKUP(C1079, Customers!A:E, 5, FALSE)</f>
        <v>Retail</v>
      </c>
      <c r="N1079">
        <f>VLOOKUP(C1079, Customers!A:E, 3, FALSE)</f>
        <v>33</v>
      </c>
      <c r="O1079" s="93" t="str">
        <f>VLOOKUP(E1079, Sales_Reps!A:C, 3, FALSE)</f>
        <v>South</v>
      </c>
      <c r="P1079">
        <f>VLOOKUP(D1079, Products!A:E, 4, FALSE)</f>
        <v>2214</v>
      </c>
      <c r="Q1079">
        <f>IF(COUNTIF($A$2:A1079, A1079)=2, 1, 0)</f>
        <v>0</v>
      </c>
      <c r="R1079">
        <f>IF(ISNA(MATCH(C1079, Customers!$A:$A, 0)), 1, 0)</f>
        <v>0</v>
      </c>
      <c r="S1079" s="94" t="b">
        <f>VLOOKUP(D1079, Products!A:F, 6, FALSE)</f>
        <v>0</v>
      </c>
    </row>
    <row r="1080" spans="1:19">
      <c r="A1080" s="102" t="s">
        <v>1564</v>
      </c>
      <c r="B1080" s="2">
        <v>45563</v>
      </c>
      <c r="C1080" s="1" t="s">
        <v>172</v>
      </c>
      <c r="D1080" s="1" t="s">
        <v>282</v>
      </c>
      <c r="E1080" s="1" t="s">
        <v>229</v>
      </c>
      <c r="F1080" s="83">
        <v>6</v>
      </c>
      <c r="G1080" s="92">
        <v>300</v>
      </c>
      <c r="H1080" s="3">
        <v>9</v>
      </c>
      <c r="I1080" s="3">
        <v>1638</v>
      </c>
      <c r="J1080" s="1" t="s">
        <v>87</v>
      </c>
      <c r="K1080" s="1" t="s">
        <v>88</v>
      </c>
      <c r="L1080" t="str">
        <f>VLOOKUP(D1080, Products!A:C, 3, FALSE)</f>
        <v>Electronics</v>
      </c>
      <c r="M1080" t="str">
        <f>VLOOKUP(C1080, Customers!A:E, 5, FALSE)</f>
        <v>Retail</v>
      </c>
      <c r="N1080">
        <f>VLOOKUP(C1080, Customers!A:E, 3, FALSE)</f>
        <v>50</v>
      </c>
      <c r="O1080" s="93" t="str">
        <f>VLOOKUP(E1080, Sales_Reps!A:C, 3, FALSE)</f>
        <v>West</v>
      </c>
      <c r="P1080">
        <f>VLOOKUP(D1080, Products!A:E, 4, FALSE)</f>
        <v>128</v>
      </c>
      <c r="Q1080">
        <f>IF(COUNTIF($A$2:A1080, A1080)=2, 1, 0)</f>
        <v>0</v>
      </c>
      <c r="R1080">
        <f>IF(ISNA(MATCH(C1080, Customers!$A:$A, 0)), 1, 0)</f>
        <v>0</v>
      </c>
      <c r="S1080" s="94" t="b">
        <f>VLOOKUP(D1080, Products!A:F, 6, FALSE)</f>
        <v>1</v>
      </c>
    </row>
    <row r="1081" spans="1:19">
      <c r="A1081" s="102" t="s">
        <v>1565</v>
      </c>
      <c r="B1081" s="2">
        <v>45523</v>
      </c>
      <c r="C1081" s="1" t="s">
        <v>150</v>
      </c>
      <c r="D1081" s="1" t="s">
        <v>282</v>
      </c>
      <c r="E1081" s="1" t="s">
        <v>325</v>
      </c>
      <c r="F1081" s="83">
        <v>3</v>
      </c>
      <c r="G1081" s="92">
        <v>300</v>
      </c>
      <c r="H1081" s="3">
        <v>19.2</v>
      </c>
      <c r="I1081" s="3">
        <v>727.2</v>
      </c>
      <c r="J1081" s="1" t="s">
        <v>87</v>
      </c>
      <c r="K1081" s="1" t="s">
        <v>88</v>
      </c>
      <c r="L1081" t="str">
        <f>VLOOKUP(D1081, Products!A:C, 3, FALSE)</f>
        <v>Electronics</v>
      </c>
      <c r="M1081" t="str">
        <f>VLOOKUP(C1081, Customers!A:E, 5, FALSE)</f>
        <v>Retail</v>
      </c>
      <c r="N1081">
        <f>VLOOKUP(C1081, Customers!A:E, 3, FALSE)</f>
        <v>63</v>
      </c>
      <c r="O1081" s="93" t="str">
        <f>VLOOKUP(E1081, Sales_Reps!A:C, 3, FALSE)</f>
        <v>South</v>
      </c>
      <c r="P1081">
        <f>VLOOKUP(D1081, Products!A:E, 4, FALSE)</f>
        <v>128</v>
      </c>
      <c r="Q1081">
        <f>IF(COUNTIF($A$2:A1081, A1081)=2, 1, 0)</f>
        <v>0</v>
      </c>
      <c r="R1081">
        <f>IF(ISNA(MATCH(C1081, Customers!$A:$A, 0)), 1, 0)</f>
        <v>0</v>
      </c>
      <c r="S1081" s="94" t="b">
        <f>VLOOKUP(D1081, Products!A:F, 6, FALSE)</f>
        <v>1</v>
      </c>
    </row>
    <row r="1082" spans="1:19">
      <c r="A1082" s="102" t="s">
        <v>1566</v>
      </c>
      <c r="B1082" s="2">
        <v>45537</v>
      </c>
      <c r="C1082" s="1" t="s">
        <v>90</v>
      </c>
      <c r="D1082" s="1" t="s">
        <v>380</v>
      </c>
      <c r="E1082" s="1" t="s">
        <v>98</v>
      </c>
      <c r="F1082" s="83">
        <v>6</v>
      </c>
      <c r="G1082" s="92">
        <v>960</v>
      </c>
      <c r="H1082" s="3">
        <v>29.3</v>
      </c>
      <c r="I1082" s="3">
        <v>4072.32</v>
      </c>
      <c r="J1082" s="1" t="s">
        <v>140</v>
      </c>
      <c r="K1082" s="1" t="s">
        <v>94</v>
      </c>
      <c r="L1082" t="str">
        <f>VLOOKUP(D1082, Products!A:C, 3, FALSE)</f>
        <v>Beauty</v>
      </c>
      <c r="M1082" t="str">
        <f>VLOOKUP(C1082, Customers!A:E, 5, FALSE)</f>
        <v>Retail</v>
      </c>
      <c r="N1082">
        <f>VLOOKUP(C1082, Customers!A:E, 3, FALSE)</f>
        <v>39</v>
      </c>
      <c r="O1082" s="93" t="str">
        <f>VLOOKUP(E1082, Sales_Reps!A:C, 3, FALSE)</f>
        <v>South</v>
      </c>
      <c r="P1082">
        <f>VLOOKUP(D1082, Products!A:E, 4, FALSE)</f>
        <v>675</v>
      </c>
      <c r="Q1082">
        <f>IF(COUNTIF($A$2:A1082, A1082)=2, 1, 0)</f>
        <v>0</v>
      </c>
      <c r="R1082">
        <f>IF(ISNA(MATCH(C1082, Customers!$A:$A, 0)), 1, 0)</f>
        <v>0</v>
      </c>
      <c r="S1082" s="94" t="b">
        <f>VLOOKUP(D1082, Products!A:F, 6, FALSE)</f>
        <v>1</v>
      </c>
    </row>
    <row r="1083" spans="1:19">
      <c r="A1083" s="102" t="s">
        <v>1567</v>
      </c>
      <c r="B1083" s="2">
        <v>45383</v>
      </c>
      <c r="C1083" s="1" t="s">
        <v>447</v>
      </c>
      <c r="D1083" s="1" t="s">
        <v>245</v>
      </c>
      <c r="E1083" s="1" t="s">
        <v>111</v>
      </c>
      <c r="F1083" s="83">
        <v>1</v>
      </c>
      <c r="G1083" s="92">
        <v>2270</v>
      </c>
      <c r="H1083" s="3">
        <v>12.4</v>
      </c>
      <c r="I1083" s="3">
        <v>1988.52</v>
      </c>
      <c r="J1083" s="1" t="s">
        <v>87</v>
      </c>
      <c r="K1083" s="1" t="s">
        <v>112</v>
      </c>
      <c r="L1083" t="str">
        <f>VLOOKUP(D1083, Products!A:C, 3, FALSE)</f>
        <v>Grocery</v>
      </c>
      <c r="M1083" t="str">
        <f>VLOOKUP(C1083, Customers!A:E, 5, FALSE)</f>
        <v>Retail</v>
      </c>
      <c r="N1083">
        <f>VLOOKUP(C1083, Customers!A:E, 3, FALSE)</f>
        <v>41</v>
      </c>
      <c r="O1083" s="93" t="str">
        <f>VLOOKUP(E1083, Sales_Reps!A:C, 3, FALSE)</f>
        <v>West</v>
      </c>
      <c r="P1083">
        <f>VLOOKUP(D1083, Products!A:E, 4, FALSE)</f>
        <v>1412</v>
      </c>
      <c r="Q1083">
        <f>IF(COUNTIF($A$2:A1083, A1083)=2, 1, 0)</f>
        <v>0</v>
      </c>
      <c r="R1083">
        <f>IF(ISNA(MATCH(C1083, Customers!$A:$A, 0)), 1, 0)</f>
        <v>0</v>
      </c>
      <c r="S1083" s="94" t="b">
        <f>VLOOKUP(D1083, Products!A:F, 6, FALSE)</f>
        <v>1</v>
      </c>
    </row>
    <row r="1084" spans="1:19">
      <c r="A1084" s="102" t="s">
        <v>1568</v>
      </c>
      <c r="B1084" s="2">
        <v>45541</v>
      </c>
      <c r="C1084" s="1" t="s">
        <v>331</v>
      </c>
      <c r="D1084" s="1" t="s">
        <v>295</v>
      </c>
      <c r="E1084" s="1" t="s">
        <v>343</v>
      </c>
      <c r="F1084" s="83">
        <v>10</v>
      </c>
      <c r="G1084" s="92">
        <v>2030</v>
      </c>
      <c r="H1084" s="3">
        <v>4</v>
      </c>
      <c r="I1084" s="3">
        <v>19488</v>
      </c>
      <c r="J1084" s="1" t="s">
        <v>87</v>
      </c>
      <c r="K1084" s="1" t="s">
        <v>117</v>
      </c>
      <c r="L1084" t="str">
        <f>VLOOKUP(D1084, Products!A:C, 3, FALSE)</f>
        <v>Home</v>
      </c>
      <c r="M1084" t="str">
        <f>VLOOKUP(C1084, Customers!A:E, 5, FALSE)</f>
        <v>Corporate</v>
      </c>
      <c r="N1084">
        <f>VLOOKUP(C1084, Customers!A:E, 3, FALSE)</f>
        <v>59</v>
      </c>
      <c r="O1084" s="93" t="str">
        <f>VLOOKUP(E1084, Sales_Reps!A:C, 3, FALSE)</f>
        <v>West</v>
      </c>
      <c r="P1084">
        <f>VLOOKUP(D1084, Products!A:E, 4, FALSE)</f>
        <v>1143</v>
      </c>
      <c r="Q1084">
        <f>IF(COUNTIF($A$2:A1084, A1084)=2, 1, 0)</f>
        <v>0</v>
      </c>
      <c r="R1084">
        <f>IF(ISNA(MATCH(C1084, Customers!$A:$A, 0)), 1, 0)</f>
        <v>0</v>
      </c>
      <c r="S1084" s="94" t="b">
        <f>VLOOKUP(D1084, Products!A:F, 6, FALSE)</f>
        <v>1</v>
      </c>
    </row>
    <row r="1085" spans="1:19">
      <c r="A1085" s="102" t="s">
        <v>1569</v>
      </c>
      <c r="B1085" s="2">
        <v>45609</v>
      </c>
      <c r="C1085" s="1" t="s">
        <v>902</v>
      </c>
      <c r="D1085" s="1" t="s">
        <v>164</v>
      </c>
      <c r="E1085" s="1" t="s">
        <v>158</v>
      </c>
      <c r="F1085" s="83">
        <v>9</v>
      </c>
      <c r="G1085" s="92">
        <v>1080</v>
      </c>
      <c r="H1085" s="3">
        <v>19.2</v>
      </c>
      <c r="I1085" s="3">
        <v>7853.76</v>
      </c>
      <c r="J1085" s="1" t="s">
        <v>93</v>
      </c>
      <c r="K1085" s="1" t="s">
        <v>112</v>
      </c>
      <c r="L1085" t="str">
        <f>VLOOKUP(D1085, Products!A:C, 3, FALSE)</f>
        <v>Home</v>
      </c>
      <c r="M1085" t="str">
        <f>VLOOKUP(C1085, Customers!A:E, 5, FALSE)</f>
        <v>Retail</v>
      </c>
      <c r="N1085">
        <f>VLOOKUP(C1085, Customers!A:E, 3, FALSE)</f>
        <v>37</v>
      </c>
      <c r="O1085" s="93" t="str">
        <f>VLOOKUP(E1085, Sales_Reps!A:C, 3, FALSE)</f>
        <v>East</v>
      </c>
      <c r="P1085">
        <f>VLOOKUP(D1085, Products!A:E, 4, FALSE)</f>
        <v>519</v>
      </c>
      <c r="Q1085">
        <f>IF(COUNTIF($A$2:A1085, A1085)=2, 1, 0)</f>
        <v>0</v>
      </c>
      <c r="R1085">
        <f>IF(ISNA(MATCH(C1085, Customers!$A:$A, 0)), 1, 0)</f>
        <v>0</v>
      </c>
      <c r="S1085" s="94" t="b">
        <f>VLOOKUP(D1085, Products!A:F, 6, FALSE)</f>
        <v>1</v>
      </c>
    </row>
    <row r="1086" spans="1:19">
      <c r="A1086" s="102" t="s">
        <v>1570</v>
      </c>
      <c r="B1086" s="2">
        <v>45463</v>
      </c>
      <c r="C1086" s="1" t="s">
        <v>172</v>
      </c>
      <c r="D1086" s="1" t="s">
        <v>195</v>
      </c>
      <c r="E1086" s="1" t="s">
        <v>111</v>
      </c>
      <c r="F1086" s="83">
        <v>5</v>
      </c>
      <c r="G1086" s="92">
        <v>2860</v>
      </c>
      <c r="H1086" s="3">
        <v>25</v>
      </c>
      <c r="I1086" s="3">
        <v>10725</v>
      </c>
      <c r="J1086" s="1" t="s">
        <v>93</v>
      </c>
      <c r="K1086" s="1" t="s">
        <v>88</v>
      </c>
      <c r="L1086" t="str">
        <f>VLOOKUP(D1086, Products!A:C, 3, FALSE)</f>
        <v>Sports</v>
      </c>
      <c r="M1086" t="str">
        <f>VLOOKUP(C1086, Customers!A:E, 5, FALSE)</f>
        <v>Retail</v>
      </c>
      <c r="N1086">
        <f>VLOOKUP(C1086, Customers!A:E, 3, FALSE)</f>
        <v>50</v>
      </c>
      <c r="O1086" s="93" t="str">
        <f>VLOOKUP(E1086, Sales_Reps!A:C, 3, FALSE)</f>
        <v>West</v>
      </c>
      <c r="P1086">
        <f>VLOOKUP(D1086, Products!A:E, 4, FALSE)</f>
        <v>2028</v>
      </c>
      <c r="Q1086">
        <f>IF(COUNTIF($A$2:A1086, A1086)=2, 1, 0)</f>
        <v>0</v>
      </c>
      <c r="R1086">
        <f>IF(ISNA(MATCH(C1086, Customers!$A:$A, 0)), 1, 0)</f>
        <v>0</v>
      </c>
      <c r="S1086" s="94" t="b">
        <f>VLOOKUP(D1086, Products!A:F, 6, FALSE)</f>
        <v>1</v>
      </c>
    </row>
    <row r="1087" spans="1:19">
      <c r="A1087" s="102" t="s">
        <v>1571</v>
      </c>
      <c r="B1087" s="2">
        <v>45588</v>
      </c>
      <c r="C1087" s="1" t="s">
        <v>101</v>
      </c>
      <c r="D1087" s="1" t="s">
        <v>131</v>
      </c>
      <c r="E1087" s="1" t="s">
        <v>325</v>
      </c>
      <c r="F1087" s="83">
        <v>6</v>
      </c>
      <c r="G1087" s="92">
        <v>2270</v>
      </c>
      <c r="H1087" s="3">
        <v>9.3000000000000007</v>
      </c>
      <c r="I1087" s="3">
        <v>12353.34</v>
      </c>
      <c r="J1087" s="1" t="s">
        <v>87</v>
      </c>
      <c r="K1087" s="1" t="s">
        <v>99</v>
      </c>
      <c r="L1087" t="str">
        <f>VLOOKUP(D1087, Products!A:C, 3, FALSE)</f>
        <v>Grocery</v>
      </c>
      <c r="M1087" t="str">
        <f>VLOOKUP(C1087, Customers!A:E, 5, FALSE)</f>
        <v>Corporate</v>
      </c>
      <c r="N1087">
        <f>VLOOKUP(C1087, Customers!A:E, 3, FALSE)</f>
        <v>46</v>
      </c>
      <c r="O1087" s="93" t="str">
        <f>VLOOKUP(E1087, Sales_Reps!A:C, 3, FALSE)</f>
        <v>South</v>
      </c>
      <c r="P1087">
        <f>VLOOKUP(D1087, Products!A:E, 4, FALSE)</f>
        <v>1203</v>
      </c>
      <c r="Q1087">
        <f>IF(COUNTIF($A$2:A1087, A1087)=2, 1, 0)</f>
        <v>0</v>
      </c>
      <c r="R1087">
        <f>IF(ISNA(MATCH(C1087, Customers!$A:$A, 0)), 1, 0)</f>
        <v>0</v>
      </c>
      <c r="S1087" s="94" t="b">
        <f>VLOOKUP(D1087, Products!A:F, 6, FALSE)</f>
        <v>1</v>
      </c>
    </row>
    <row r="1088" spans="1:19">
      <c r="A1088" s="102" t="s">
        <v>1572</v>
      </c>
      <c r="B1088" s="2">
        <v>45328</v>
      </c>
      <c r="C1088" s="1" t="s">
        <v>635</v>
      </c>
      <c r="D1088" s="1" t="s">
        <v>173</v>
      </c>
      <c r="E1088" s="1" t="s">
        <v>116</v>
      </c>
      <c r="F1088" s="83">
        <v>1</v>
      </c>
      <c r="G1088" s="92">
        <v>2720</v>
      </c>
      <c r="H1088" s="3">
        <v>15.2</v>
      </c>
      <c r="I1088" s="3">
        <v>2306.56</v>
      </c>
      <c r="J1088" s="1" t="s">
        <v>87</v>
      </c>
      <c r="K1088" s="1" t="s">
        <v>99</v>
      </c>
      <c r="L1088" t="str">
        <f>VLOOKUP(D1088, Products!A:C, 3, FALSE)</f>
        <v>Apparel</v>
      </c>
      <c r="M1088" t="str">
        <f>VLOOKUP(C1088, Customers!A:E, 5, FALSE)</f>
        <v>Retail</v>
      </c>
      <c r="N1088">
        <f>VLOOKUP(C1088, Customers!A:E, 3, FALSE)</f>
        <v>49</v>
      </c>
      <c r="O1088" s="93" t="str">
        <f>VLOOKUP(E1088, Sales_Reps!A:C, 3, FALSE)</f>
        <v>West</v>
      </c>
      <c r="P1088">
        <f>VLOOKUP(D1088, Products!A:E, 4, FALSE)</f>
        <v>1962</v>
      </c>
      <c r="Q1088">
        <f>IF(COUNTIF($A$2:A1088, A1088)=2, 1, 0)</f>
        <v>0</v>
      </c>
      <c r="R1088">
        <f>IF(ISNA(MATCH(C1088, Customers!$A:$A, 0)), 1, 0)</f>
        <v>0</v>
      </c>
      <c r="S1088" s="94" t="b">
        <f>VLOOKUP(D1088, Products!A:F, 6, FALSE)</f>
        <v>1</v>
      </c>
    </row>
    <row r="1089" spans="1:19">
      <c r="A1089" s="102" t="s">
        <v>1573</v>
      </c>
      <c r="B1089" s="2">
        <v>45638</v>
      </c>
      <c r="C1089" s="1" t="s">
        <v>1038</v>
      </c>
      <c r="D1089" s="1" t="s">
        <v>248</v>
      </c>
      <c r="E1089" s="1" t="s">
        <v>92</v>
      </c>
      <c r="F1089" s="83">
        <v>10</v>
      </c>
      <c r="G1089" s="92">
        <v>3870</v>
      </c>
      <c r="H1089" s="3">
        <v>4.9000000000000004</v>
      </c>
      <c r="I1089" s="3">
        <v>36803.699999999997</v>
      </c>
      <c r="J1089" s="1" t="s">
        <v>140</v>
      </c>
      <c r="K1089" s="1" t="s">
        <v>117</v>
      </c>
      <c r="L1089" t="str">
        <f>VLOOKUP(D1089, Products!A:C, 3, FALSE)</f>
        <v>Electronics</v>
      </c>
      <c r="M1089" t="str">
        <f>VLOOKUP(C1089, Customers!A:E, 5, FALSE)</f>
        <v>Corporate</v>
      </c>
      <c r="N1089">
        <f>VLOOKUP(C1089, Customers!A:E, 3, FALSE)</f>
        <v>55</v>
      </c>
      <c r="O1089" s="93" t="str">
        <f>VLOOKUP(E1089, Sales_Reps!A:C, 3, FALSE)</f>
        <v>North</v>
      </c>
      <c r="P1089">
        <f>VLOOKUP(D1089, Products!A:E, 4, FALSE)</f>
        <v>1559</v>
      </c>
      <c r="Q1089">
        <f>IF(COUNTIF($A$2:A1089, A1089)=2, 1, 0)</f>
        <v>0</v>
      </c>
      <c r="R1089">
        <f>IF(ISNA(MATCH(C1089, Customers!$A:$A, 0)), 1, 0)</f>
        <v>0</v>
      </c>
      <c r="S1089" s="94" t="b">
        <f>VLOOKUP(D1089, Products!A:F, 6, FALSE)</f>
        <v>1</v>
      </c>
    </row>
    <row r="1090" spans="1:19">
      <c r="A1090" s="102" t="s">
        <v>1574</v>
      </c>
      <c r="B1090" s="2">
        <v>45332</v>
      </c>
      <c r="C1090" s="1" t="s">
        <v>1575</v>
      </c>
      <c r="D1090" s="1" t="s">
        <v>452</v>
      </c>
      <c r="E1090" s="1" t="s">
        <v>121</v>
      </c>
      <c r="F1090" s="83">
        <v>8</v>
      </c>
      <c r="G1090" s="92">
        <v>3450</v>
      </c>
      <c r="H1090" s="3">
        <v>20.6</v>
      </c>
      <c r="I1090" s="3">
        <v>21914.400000000001</v>
      </c>
      <c r="J1090" s="1" t="s">
        <v>87</v>
      </c>
      <c r="K1090" s="1" t="s">
        <v>133</v>
      </c>
      <c r="L1090" t="str">
        <f>VLOOKUP(D1090, Products!A:C, 3, FALSE)</f>
        <v>Apparel</v>
      </c>
      <c r="M1090" t="str">
        <f>VLOOKUP(C1090, Customers!A:E, 5, FALSE)</f>
        <v>Corporate</v>
      </c>
      <c r="N1090">
        <f>VLOOKUP(C1090, Customers!A:E, 3, FALSE)</f>
        <v>60</v>
      </c>
      <c r="O1090" s="93" t="str">
        <f>VLOOKUP(E1090, Sales_Reps!A:C, 3, FALSE)</f>
        <v>East</v>
      </c>
      <c r="P1090">
        <f>VLOOKUP(D1090, Products!A:E, 4, FALSE)</f>
        <v>1748</v>
      </c>
      <c r="Q1090">
        <f>IF(COUNTIF($A$2:A1090, A1090)=2, 1, 0)</f>
        <v>0</v>
      </c>
      <c r="R1090">
        <f>IF(ISNA(MATCH(C1090, Customers!$A:$A, 0)), 1, 0)</f>
        <v>0</v>
      </c>
      <c r="S1090" s="94" t="b">
        <f>VLOOKUP(D1090, Products!A:F, 6, FALSE)</f>
        <v>1</v>
      </c>
    </row>
    <row r="1091" spans="1:19">
      <c r="A1091" s="102" t="s">
        <v>1576</v>
      </c>
      <c r="B1091" s="2">
        <v>45406</v>
      </c>
      <c r="C1091" s="1" t="s">
        <v>269</v>
      </c>
      <c r="D1091" s="1" t="s">
        <v>97</v>
      </c>
      <c r="E1091" s="1" t="s">
        <v>297</v>
      </c>
      <c r="F1091" s="83">
        <v>1</v>
      </c>
      <c r="G1091" s="92">
        <v>470</v>
      </c>
      <c r="H1091" s="3">
        <v>5.4</v>
      </c>
      <c r="I1091" s="3">
        <v>444.62</v>
      </c>
      <c r="J1091" s="1" t="s">
        <v>144</v>
      </c>
      <c r="K1091" s="1" t="s">
        <v>112</v>
      </c>
      <c r="L1091" t="str">
        <f>VLOOKUP(D1091, Products!A:C, 3, FALSE)</f>
        <v>Sports</v>
      </c>
      <c r="M1091" t="str">
        <f>VLOOKUP(C1091, Customers!A:E, 5, FALSE)</f>
        <v>Retail</v>
      </c>
      <c r="N1091">
        <f>VLOOKUP(C1091, Customers!A:E, 3, FALSE)</f>
        <v>40</v>
      </c>
      <c r="O1091" s="93" t="str">
        <f>VLOOKUP(E1091, Sales_Reps!A:C, 3, FALSE)</f>
        <v>North</v>
      </c>
      <c r="P1091">
        <f>VLOOKUP(D1091, Products!A:E, 4, FALSE)</f>
        <v>302</v>
      </c>
      <c r="Q1091">
        <f>IF(COUNTIF($A$2:A1091, A1091)=2, 1, 0)</f>
        <v>0</v>
      </c>
      <c r="R1091">
        <f>IF(ISNA(MATCH(C1091, Customers!$A:$A, 0)), 1, 0)</f>
        <v>0</v>
      </c>
      <c r="S1091" s="94" t="b">
        <f>VLOOKUP(D1091, Products!A:F, 6, FALSE)</f>
        <v>0</v>
      </c>
    </row>
    <row r="1092" spans="1:19">
      <c r="A1092" s="102" t="s">
        <v>1577</v>
      </c>
      <c r="B1092" s="2">
        <v>45405</v>
      </c>
      <c r="C1092" s="1" t="s">
        <v>324</v>
      </c>
      <c r="D1092" s="1" t="s">
        <v>408</v>
      </c>
      <c r="E1092" s="1" t="s">
        <v>204</v>
      </c>
      <c r="F1092" s="83">
        <v>5</v>
      </c>
      <c r="G1092" s="92">
        <v>3970</v>
      </c>
      <c r="H1092" s="3">
        <v>5.8</v>
      </c>
      <c r="I1092" s="3">
        <v>18698.7</v>
      </c>
      <c r="J1092" s="1" t="s">
        <v>87</v>
      </c>
      <c r="K1092" s="1" t="s">
        <v>133</v>
      </c>
      <c r="L1092" t="str">
        <f>VLOOKUP(D1092, Products!A:C, 3, FALSE)</f>
        <v>Electronics</v>
      </c>
      <c r="M1092" t="str">
        <f>VLOOKUP(C1092, Customers!A:E, 5, FALSE)</f>
        <v>Retail</v>
      </c>
      <c r="N1092">
        <f>VLOOKUP(C1092, Customers!A:E, 3, FALSE)</f>
        <v>28</v>
      </c>
      <c r="O1092" s="93" t="str">
        <f>VLOOKUP(E1092, Sales_Reps!A:C, 3, FALSE)</f>
        <v>South</v>
      </c>
      <c r="P1092">
        <f>VLOOKUP(D1092, Products!A:E, 4, FALSE)</f>
        <v>2865</v>
      </c>
      <c r="Q1092">
        <f>IF(COUNTIF($A$2:A1092, A1092)=2, 1, 0)</f>
        <v>0</v>
      </c>
      <c r="R1092">
        <f>IF(ISNA(MATCH(C1092, Customers!$A:$A, 0)), 1, 0)</f>
        <v>0</v>
      </c>
      <c r="S1092" s="94" t="b">
        <f>VLOOKUP(D1092, Products!A:F, 6, FALSE)</f>
        <v>1</v>
      </c>
    </row>
    <row r="1093" spans="1:19">
      <c r="A1093" s="102" t="s">
        <v>1578</v>
      </c>
      <c r="B1093" s="2">
        <v>45469</v>
      </c>
      <c r="C1093" s="1" t="s">
        <v>1006</v>
      </c>
      <c r="D1093" s="1" t="s">
        <v>191</v>
      </c>
      <c r="E1093" s="1" t="s">
        <v>325</v>
      </c>
      <c r="F1093" s="83">
        <v>2</v>
      </c>
      <c r="G1093" s="92">
        <v>5100</v>
      </c>
      <c r="H1093" s="3">
        <v>19.899999999999999</v>
      </c>
      <c r="I1093" s="3">
        <v>8170.2</v>
      </c>
      <c r="J1093" s="1" t="s">
        <v>87</v>
      </c>
      <c r="K1093" s="1" t="s">
        <v>117</v>
      </c>
      <c r="L1093" t="str">
        <f>VLOOKUP(D1093, Products!A:C, 3, FALSE)</f>
        <v>Beauty</v>
      </c>
      <c r="M1093" t="str">
        <f>VLOOKUP(C1093, Customers!A:E, 5, FALSE)</f>
        <v>SMB</v>
      </c>
      <c r="N1093">
        <f>VLOOKUP(C1093, Customers!A:E, 3, FALSE)</f>
        <v>44</v>
      </c>
      <c r="O1093" s="93" t="str">
        <f>VLOOKUP(E1093, Sales_Reps!A:C, 3, FALSE)</f>
        <v>South</v>
      </c>
      <c r="P1093">
        <f>VLOOKUP(D1093, Products!A:E, 4, FALSE)</f>
        <v>2237</v>
      </c>
      <c r="Q1093">
        <f>IF(COUNTIF($A$2:A1093, A1093)=2, 1, 0)</f>
        <v>0</v>
      </c>
      <c r="R1093">
        <f>IF(ISNA(MATCH(C1093, Customers!$A:$A, 0)), 1, 0)</f>
        <v>0</v>
      </c>
      <c r="S1093" s="94" t="b">
        <f>VLOOKUP(D1093, Products!A:F, 6, FALSE)</f>
        <v>1</v>
      </c>
    </row>
    <row r="1094" spans="1:19">
      <c r="A1094" s="102" t="s">
        <v>1579</v>
      </c>
      <c r="B1094" s="2">
        <v>45656</v>
      </c>
      <c r="C1094" s="1" t="s">
        <v>493</v>
      </c>
      <c r="D1094" s="1" t="s">
        <v>157</v>
      </c>
      <c r="E1094" s="1" t="s">
        <v>215</v>
      </c>
      <c r="F1094" s="83">
        <v>6</v>
      </c>
      <c r="G1094" s="92">
        <v>3450</v>
      </c>
      <c r="H1094" s="3">
        <v>13</v>
      </c>
      <c r="I1094" s="3">
        <v>18009</v>
      </c>
      <c r="J1094" s="1" t="s">
        <v>87</v>
      </c>
      <c r="K1094" s="1" t="s">
        <v>88</v>
      </c>
      <c r="L1094" t="str">
        <f>VLOOKUP(D1094, Products!A:C, 3, FALSE)</f>
        <v>Beauty</v>
      </c>
      <c r="M1094" t="str">
        <f>VLOOKUP(C1094, Customers!A:E, 5, FALSE)</f>
        <v>Retail</v>
      </c>
      <c r="N1094">
        <f>VLOOKUP(C1094, Customers!A:E, 3, FALSE)</f>
        <v>57</v>
      </c>
      <c r="O1094" s="93" t="str">
        <f>VLOOKUP(E1094, Sales_Reps!A:C, 3, FALSE)</f>
        <v>North</v>
      </c>
      <c r="P1094">
        <f>VLOOKUP(D1094, Products!A:E, 4, FALSE)</f>
        <v>2420</v>
      </c>
      <c r="Q1094">
        <f>IF(COUNTIF($A$2:A1094, A1094)=2, 1, 0)</f>
        <v>0</v>
      </c>
      <c r="R1094">
        <f>IF(ISNA(MATCH(C1094, Customers!$A:$A, 0)), 1, 0)</f>
        <v>0</v>
      </c>
      <c r="S1094" s="94" t="b">
        <f>VLOOKUP(D1094, Products!A:F, 6, FALSE)</f>
        <v>1</v>
      </c>
    </row>
    <row r="1095" spans="1:19">
      <c r="A1095" s="102" t="s">
        <v>1580</v>
      </c>
      <c r="B1095" s="2">
        <v>45653</v>
      </c>
      <c r="C1095" s="1" t="s">
        <v>1499</v>
      </c>
      <c r="D1095" s="1" t="s">
        <v>226</v>
      </c>
      <c r="E1095" s="1" t="s">
        <v>325</v>
      </c>
      <c r="F1095" s="83">
        <v>9</v>
      </c>
      <c r="G1095" s="92">
        <v>3730</v>
      </c>
      <c r="H1095" s="3">
        <v>15.5</v>
      </c>
      <c r="I1095" s="3">
        <v>28366.65</v>
      </c>
      <c r="J1095" s="1" t="s">
        <v>87</v>
      </c>
      <c r="K1095" s="1" t="s">
        <v>94</v>
      </c>
      <c r="L1095" t="str">
        <f>VLOOKUP(D1095, Products!A:C, 3, FALSE)</f>
        <v>Home</v>
      </c>
      <c r="M1095" t="str">
        <f>VLOOKUP(C1095, Customers!A:E, 5, FALSE)</f>
        <v>Retail</v>
      </c>
      <c r="N1095">
        <f>VLOOKUP(C1095, Customers!A:E, 3, FALSE)</f>
        <v>26</v>
      </c>
      <c r="O1095" s="93" t="str">
        <f>VLOOKUP(E1095, Sales_Reps!A:C, 3, FALSE)</f>
        <v>South</v>
      </c>
      <c r="P1095">
        <f>VLOOKUP(D1095, Products!A:E, 4, FALSE)</f>
        <v>2135</v>
      </c>
      <c r="Q1095">
        <f>IF(COUNTIF($A$2:A1095, A1095)=2, 1, 0)</f>
        <v>0</v>
      </c>
      <c r="R1095">
        <f>IF(ISNA(MATCH(C1095, Customers!$A:$A, 0)), 1, 0)</f>
        <v>0</v>
      </c>
      <c r="S1095" s="94" t="b">
        <f>VLOOKUP(D1095, Products!A:F, 6, FALSE)</f>
        <v>1</v>
      </c>
    </row>
    <row r="1096" spans="1:19">
      <c r="A1096" s="102" t="s">
        <v>1581</v>
      </c>
      <c r="B1096" s="2">
        <v>45440</v>
      </c>
      <c r="C1096" s="1" t="s">
        <v>1575</v>
      </c>
      <c r="D1096" s="1" t="s">
        <v>380</v>
      </c>
      <c r="E1096" s="1" t="s">
        <v>192</v>
      </c>
      <c r="F1096" s="83">
        <v>5</v>
      </c>
      <c r="G1096" s="92">
        <v>960</v>
      </c>
      <c r="H1096" s="3">
        <v>9.3000000000000007</v>
      </c>
      <c r="I1096" s="3">
        <v>4353.6000000000004</v>
      </c>
      <c r="J1096" s="1" t="s">
        <v>87</v>
      </c>
      <c r="K1096" s="1" t="s">
        <v>133</v>
      </c>
      <c r="L1096" t="str">
        <f>VLOOKUP(D1096, Products!A:C, 3, FALSE)</f>
        <v>Beauty</v>
      </c>
      <c r="M1096" t="str">
        <f>VLOOKUP(C1096, Customers!A:E, 5, FALSE)</f>
        <v>Corporate</v>
      </c>
      <c r="N1096">
        <f>VLOOKUP(C1096, Customers!A:E, 3, FALSE)</f>
        <v>60</v>
      </c>
      <c r="O1096" s="93" t="str">
        <f>VLOOKUP(E1096, Sales_Reps!A:C, 3, FALSE)</f>
        <v>East</v>
      </c>
      <c r="P1096">
        <f>VLOOKUP(D1096, Products!A:E, 4, FALSE)</f>
        <v>675</v>
      </c>
      <c r="Q1096">
        <f>IF(COUNTIF($A$2:A1096, A1096)=2, 1, 0)</f>
        <v>0</v>
      </c>
      <c r="R1096">
        <f>IF(ISNA(MATCH(C1096, Customers!$A:$A, 0)), 1, 0)</f>
        <v>0</v>
      </c>
      <c r="S1096" s="94" t="b">
        <f>VLOOKUP(D1096, Products!A:F, 6, FALSE)</f>
        <v>1</v>
      </c>
    </row>
    <row r="1097" spans="1:19">
      <c r="A1097" s="102" t="s">
        <v>1582</v>
      </c>
      <c r="B1097" s="2">
        <v>45511</v>
      </c>
      <c r="C1097" s="1" t="s">
        <v>781</v>
      </c>
      <c r="D1097" s="1" t="s">
        <v>443</v>
      </c>
      <c r="E1097" s="1" t="s">
        <v>107</v>
      </c>
      <c r="F1097" s="83">
        <v>3</v>
      </c>
      <c r="G1097" s="92">
        <v>5080</v>
      </c>
      <c r="H1097" s="3">
        <v>17.399999999999999</v>
      </c>
      <c r="I1097" s="3">
        <v>12588.24</v>
      </c>
      <c r="J1097" s="1" t="s">
        <v>140</v>
      </c>
      <c r="K1097" s="1" t="s">
        <v>99</v>
      </c>
      <c r="L1097" t="str">
        <f>VLOOKUP(D1097, Products!A:C, 3, FALSE)</f>
        <v>Home</v>
      </c>
      <c r="M1097" t="str">
        <f>VLOOKUP(C1097, Customers!A:E, 5, FALSE)</f>
        <v>SMB</v>
      </c>
      <c r="N1097">
        <f>VLOOKUP(C1097, Customers!A:E, 3, FALSE)</f>
        <v>29</v>
      </c>
      <c r="O1097" s="93" t="str">
        <f>VLOOKUP(E1097, Sales_Reps!A:C, 3, FALSE)</f>
        <v>North</v>
      </c>
      <c r="P1097">
        <f>VLOOKUP(D1097, Products!A:E, 4, FALSE)</f>
        <v>2459</v>
      </c>
      <c r="Q1097">
        <f>IF(COUNTIF($A$2:A1097, A1097)=2, 1, 0)</f>
        <v>0</v>
      </c>
      <c r="R1097">
        <f>IF(ISNA(MATCH(C1097, Customers!$A:$A, 0)), 1, 0)</f>
        <v>0</v>
      </c>
      <c r="S1097" s="94" t="b">
        <f>VLOOKUP(D1097, Products!A:F, 6, FALSE)</f>
        <v>1</v>
      </c>
    </row>
    <row r="1098" spans="1:19">
      <c r="A1098" s="102" t="s">
        <v>1583</v>
      </c>
      <c r="B1098" s="2">
        <v>45300</v>
      </c>
      <c r="C1098" s="1" t="s">
        <v>948</v>
      </c>
      <c r="D1098" s="1" t="s">
        <v>248</v>
      </c>
      <c r="E1098" s="1" t="s">
        <v>148</v>
      </c>
      <c r="F1098" s="83">
        <v>4</v>
      </c>
      <c r="G1098" s="92">
        <v>3870</v>
      </c>
      <c r="H1098" s="3">
        <v>20.5</v>
      </c>
      <c r="I1098" s="3">
        <v>12306.6</v>
      </c>
      <c r="J1098" s="1" t="s">
        <v>93</v>
      </c>
      <c r="K1098" s="1" t="s">
        <v>721</v>
      </c>
      <c r="L1098" t="str">
        <f>VLOOKUP(D1098, Products!A:C, 3, FALSE)</f>
        <v>Electronics</v>
      </c>
      <c r="M1098" t="str">
        <f>VLOOKUP(C1098, Customers!A:E, 5, FALSE)</f>
        <v>Retail</v>
      </c>
      <c r="N1098">
        <f>VLOOKUP(C1098, Customers!A:E, 3, FALSE)</f>
        <v>65</v>
      </c>
      <c r="O1098" s="93" t="str">
        <f>VLOOKUP(E1098, Sales_Reps!A:C, 3, FALSE)</f>
        <v>North</v>
      </c>
      <c r="P1098">
        <f>VLOOKUP(D1098, Products!A:E, 4, FALSE)</f>
        <v>1559</v>
      </c>
      <c r="Q1098">
        <f>IF(COUNTIF($A$2:A1098, A1098)=2, 1, 0)</f>
        <v>0</v>
      </c>
      <c r="R1098">
        <f>IF(ISNA(MATCH(C1098, Customers!$A:$A, 0)), 1, 0)</f>
        <v>0</v>
      </c>
      <c r="S1098" s="94" t="b">
        <f>VLOOKUP(D1098, Products!A:F, 6, FALSE)</f>
        <v>1</v>
      </c>
    </row>
    <row r="1099" spans="1:19">
      <c r="A1099" s="102" t="s">
        <v>1584</v>
      </c>
      <c r="B1099" s="2">
        <v>45528</v>
      </c>
      <c r="C1099" s="1" t="s">
        <v>427</v>
      </c>
      <c r="D1099" s="1" t="s">
        <v>461</v>
      </c>
      <c r="E1099" s="1" t="s">
        <v>116</v>
      </c>
      <c r="F1099" s="83">
        <v>1</v>
      </c>
      <c r="G1099" s="92">
        <v>3780</v>
      </c>
      <c r="H1099" s="3">
        <v>21.5</v>
      </c>
      <c r="I1099" s="3">
        <v>2967.3</v>
      </c>
      <c r="J1099" s="1" t="s">
        <v>87</v>
      </c>
      <c r="K1099" s="1" t="s">
        <v>88</v>
      </c>
      <c r="L1099" t="str">
        <f>VLOOKUP(D1099, Products!A:C, 3, FALSE)</f>
        <v>Sports</v>
      </c>
      <c r="M1099" t="str">
        <f>VLOOKUP(C1099, Customers!A:E, 5, FALSE)</f>
        <v>Corporate</v>
      </c>
      <c r="N1099">
        <f>VLOOKUP(C1099, Customers!A:E, 3, FALSE)</f>
        <v>48</v>
      </c>
      <c r="O1099" s="93" t="str">
        <f>VLOOKUP(E1099, Sales_Reps!A:C, 3, FALSE)</f>
        <v>West</v>
      </c>
      <c r="P1099">
        <f>VLOOKUP(D1099, Products!A:E, 4, FALSE)</f>
        <v>1860</v>
      </c>
      <c r="Q1099">
        <f>IF(COUNTIF($A$2:A1099, A1099)=2, 1, 0)</f>
        <v>0</v>
      </c>
      <c r="R1099">
        <f>IF(ISNA(MATCH(C1099, Customers!$A:$A, 0)), 1, 0)</f>
        <v>0</v>
      </c>
      <c r="S1099" s="94" t="b">
        <f>VLOOKUP(D1099, Products!A:F, 6, FALSE)</f>
        <v>1</v>
      </c>
    </row>
    <row r="1100" spans="1:19">
      <c r="A1100" s="102" t="s">
        <v>1585</v>
      </c>
      <c r="B1100" s="2">
        <v>45622</v>
      </c>
      <c r="C1100" s="1" t="s">
        <v>114</v>
      </c>
      <c r="D1100" s="1" t="s">
        <v>248</v>
      </c>
      <c r="E1100" s="1" t="s">
        <v>238</v>
      </c>
      <c r="F1100" s="83">
        <v>3</v>
      </c>
      <c r="G1100" s="92">
        <v>3870</v>
      </c>
      <c r="H1100" s="3">
        <v>21.9</v>
      </c>
      <c r="I1100" s="3">
        <v>9067.41</v>
      </c>
      <c r="J1100" s="1" t="s">
        <v>93</v>
      </c>
      <c r="K1100" s="1" t="s">
        <v>117</v>
      </c>
      <c r="L1100" t="str">
        <f>VLOOKUP(D1100, Products!A:C, 3, FALSE)</f>
        <v>Electronics</v>
      </c>
      <c r="M1100" t="str">
        <f>VLOOKUP(C1100, Customers!A:E, 5, FALSE)</f>
        <v>Retail</v>
      </c>
      <c r="N1100">
        <f>VLOOKUP(C1100, Customers!A:E, 3, FALSE)</f>
        <v>27</v>
      </c>
      <c r="O1100" s="93" t="str">
        <f>VLOOKUP(E1100, Sales_Reps!A:C, 3, FALSE)</f>
        <v>East</v>
      </c>
      <c r="P1100">
        <f>VLOOKUP(D1100, Products!A:E, 4, FALSE)</f>
        <v>1559</v>
      </c>
      <c r="Q1100">
        <f>IF(COUNTIF($A$2:A1100, A1100)=2, 1, 0)</f>
        <v>0</v>
      </c>
      <c r="R1100">
        <f>IF(ISNA(MATCH(C1100, Customers!$A:$A, 0)), 1, 0)</f>
        <v>0</v>
      </c>
      <c r="S1100" s="94" t="b">
        <f>VLOOKUP(D1100, Products!A:F, 6, FALSE)</f>
        <v>1</v>
      </c>
    </row>
    <row r="1101" spans="1:19">
      <c r="A1101" s="102" t="s">
        <v>1586</v>
      </c>
      <c r="B1101" s="2">
        <v>45463</v>
      </c>
      <c r="C1101" s="1" t="s">
        <v>233</v>
      </c>
      <c r="D1101" s="1" t="s">
        <v>295</v>
      </c>
      <c r="E1101" s="1" t="s">
        <v>204</v>
      </c>
      <c r="F1101" s="83">
        <v>4</v>
      </c>
      <c r="G1101" s="92">
        <v>2030</v>
      </c>
      <c r="H1101" s="3">
        <v>23.4</v>
      </c>
      <c r="I1101" s="3">
        <v>6219.92</v>
      </c>
      <c r="J1101" s="1" t="s">
        <v>87</v>
      </c>
      <c r="K1101" s="1" t="s">
        <v>88</v>
      </c>
      <c r="L1101" t="str">
        <f>VLOOKUP(D1101, Products!A:C, 3, FALSE)</f>
        <v>Home</v>
      </c>
      <c r="M1101" t="str">
        <f>VLOOKUP(C1101, Customers!A:E, 5, FALSE)</f>
        <v>SMB</v>
      </c>
      <c r="N1101">
        <f>VLOOKUP(C1101, Customers!A:E, 3, FALSE)</f>
        <v>29</v>
      </c>
      <c r="O1101" s="93" t="str">
        <f>VLOOKUP(E1101, Sales_Reps!A:C, 3, FALSE)</f>
        <v>South</v>
      </c>
      <c r="P1101">
        <f>VLOOKUP(D1101, Products!A:E, 4, FALSE)</f>
        <v>1143</v>
      </c>
      <c r="Q1101">
        <f>IF(COUNTIF($A$2:A1101, A1101)=2, 1, 0)</f>
        <v>0</v>
      </c>
      <c r="R1101">
        <f>IF(ISNA(MATCH(C1101, Customers!$A:$A, 0)), 1, 0)</f>
        <v>0</v>
      </c>
      <c r="S1101" s="94" t="b">
        <f>VLOOKUP(D1101, Products!A:F, 6, FALSE)</f>
        <v>1</v>
      </c>
    </row>
    <row r="1102" spans="1:19">
      <c r="A1102" s="102" t="s">
        <v>1587</v>
      </c>
      <c r="B1102" s="2">
        <v>45407</v>
      </c>
      <c r="C1102" s="1" t="s">
        <v>595</v>
      </c>
      <c r="D1102" s="1" t="s">
        <v>338</v>
      </c>
      <c r="E1102" s="1" t="s">
        <v>148</v>
      </c>
      <c r="F1102" s="83">
        <v>6</v>
      </c>
      <c r="G1102" s="92">
        <v>2210</v>
      </c>
      <c r="H1102" s="3">
        <v>9.1</v>
      </c>
      <c r="I1102" s="3">
        <v>12053.34</v>
      </c>
      <c r="J1102" s="1" t="s">
        <v>87</v>
      </c>
      <c r="K1102" s="1" t="s">
        <v>99</v>
      </c>
      <c r="L1102" t="str">
        <f>VLOOKUP(D1102, Products!A:C, 3, FALSE)</f>
        <v>Grocery</v>
      </c>
      <c r="M1102" t="str">
        <f>VLOOKUP(C1102, Customers!A:E, 5, FALSE)</f>
        <v>SMB</v>
      </c>
      <c r="N1102">
        <f>VLOOKUP(C1102, Customers!A:E, 3, FALSE)</f>
        <v>48</v>
      </c>
      <c r="O1102" s="93" t="str">
        <f>VLOOKUP(E1102, Sales_Reps!A:C, 3, FALSE)</f>
        <v>North</v>
      </c>
      <c r="P1102">
        <f>VLOOKUP(D1102, Products!A:E, 4, FALSE)</f>
        <v>1010</v>
      </c>
      <c r="Q1102">
        <f>IF(COUNTIF($A$2:A1102, A1102)=2, 1, 0)</f>
        <v>0</v>
      </c>
      <c r="R1102">
        <f>IF(ISNA(MATCH(C1102, Customers!$A:$A, 0)), 1, 0)</f>
        <v>0</v>
      </c>
      <c r="S1102" s="94" t="b">
        <f>VLOOKUP(D1102, Products!A:F, 6, FALSE)</f>
        <v>1</v>
      </c>
    </row>
    <row r="1103" spans="1:19">
      <c r="A1103" s="102" t="s">
        <v>1588</v>
      </c>
      <c r="B1103" s="2">
        <v>45627</v>
      </c>
      <c r="C1103" s="1" t="s">
        <v>886</v>
      </c>
      <c r="D1103" s="1" t="s">
        <v>259</v>
      </c>
      <c r="E1103" s="1" t="s">
        <v>238</v>
      </c>
      <c r="F1103" s="83">
        <v>5</v>
      </c>
      <c r="G1103" s="92">
        <v>1540</v>
      </c>
      <c r="H1103" s="3">
        <v>18.100000000000001</v>
      </c>
      <c r="I1103" s="3">
        <v>6306.3</v>
      </c>
      <c r="J1103" s="1" t="s">
        <v>87</v>
      </c>
      <c r="K1103" s="1" t="s">
        <v>94</v>
      </c>
      <c r="L1103" t="str">
        <f>VLOOKUP(D1103, Products!A:C, 3, FALSE)</f>
        <v>Beauty</v>
      </c>
      <c r="M1103" t="str">
        <f>VLOOKUP(C1103, Customers!A:E, 5, FALSE)</f>
        <v>Corporate</v>
      </c>
      <c r="N1103">
        <f>VLOOKUP(C1103, Customers!A:E, 3, FALSE)</f>
        <v>44</v>
      </c>
      <c r="O1103" s="93" t="str">
        <f>VLOOKUP(E1103, Sales_Reps!A:C, 3, FALSE)</f>
        <v>East</v>
      </c>
      <c r="P1103">
        <f>VLOOKUP(D1103, Products!A:E, 4, FALSE)</f>
        <v>647</v>
      </c>
      <c r="Q1103">
        <f>IF(COUNTIF($A$2:A1103, A1103)=2, 1, 0)</f>
        <v>0</v>
      </c>
      <c r="R1103">
        <f>IF(ISNA(MATCH(C1103, Customers!$A:$A, 0)), 1, 0)</f>
        <v>0</v>
      </c>
      <c r="S1103" s="94" t="b">
        <f>VLOOKUP(D1103, Products!A:F, 6, FALSE)</f>
        <v>0</v>
      </c>
    </row>
    <row r="1104" spans="1:19">
      <c r="A1104" s="102" t="s">
        <v>1589</v>
      </c>
      <c r="B1104" s="2">
        <v>45393</v>
      </c>
      <c r="C1104" s="1" t="s">
        <v>638</v>
      </c>
      <c r="D1104" s="1" t="s">
        <v>182</v>
      </c>
      <c r="E1104" s="1" t="s">
        <v>273</v>
      </c>
      <c r="F1104" s="83">
        <v>1</v>
      </c>
      <c r="G1104" s="92">
        <v>1010</v>
      </c>
      <c r="H1104" s="3">
        <v>7.3</v>
      </c>
      <c r="I1104" s="3">
        <v>936.27</v>
      </c>
      <c r="J1104" s="1" t="s">
        <v>87</v>
      </c>
      <c r="K1104" s="1" t="s">
        <v>99</v>
      </c>
      <c r="L1104" t="str">
        <f>VLOOKUP(D1104, Products!A:C, 3, FALSE)</f>
        <v>Sports</v>
      </c>
      <c r="M1104" t="str">
        <f>VLOOKUP(C1104, Customers!A:E, 5, FALSE)</f>
        <v>Retail</v>
      </c>
      <c r="N1104">
        <f>VLOOKUP(C1104, Customers!A:E, 3, FALSE)</f>
        <v>43</v>
      </c>
      <c r="O1104" s="93" t="str">
        <f>VLOOKUP(E1104, Sales_Reps!A:C, 3, FALSE)</f>
        <v>South</v>
      </c>
      <c r="P1104">
        <f>VLOOKUP(D1104, Products!A:E, 4, FALSE)</f>
        <v>516</v>
      </c>
      <c r="Q1104">
        <f>IF(COUNTIF($A$2:A1104, A1104)=2, 1, 0)</f>
        <v>0</v>
      </c>
      <c r="R1104">
        <f>IF(ISNA(MATCH(C1104, Customers!$A:$A, 0)), 1, 0)</f>
        <v>0</v>
      </c>
      <c r="S1104" s="94" t="b">
        <f>VLOOKUP(D1104, Products!A:F, 6, FALSE)</f>
        <v>1</v>
      </c>
    </row>
    <row r="1105" spans="1:19">
      <c r="A1105" s="102" t="s">
        <v>1590</v>
      </c>
      <c r="B1105" s="2">
        <v>45360</v>
      </c>
      <c r="C1105" s="1" t="s">
        <v>676</v>
      </c>
      <c r="D1105" s="1" t="s">
        <v>364</v>
      </c>
      <c r="E1105" s="1" t="s">
        <v>188</v>
      </c>
      <c r="F1105" s="83">
        <v>10</v>
      </c>
      <c r="G1105" s="92">
        <v>5330</v>
      </c>
      <c r="H1105" s="3">
        <v>27.3</v>
      </c>
      <c r="I1105" s="3">
        <v>38749.1</v>
      </c>
      <c r="J1105" s="1" t="s">
        <v>87</v>
      </c>
      <c r="K1105" s="1" t="s">
        <v>88</v>
      </c>
      <c r="L1105" t="str">
        <f>VLOOKUP(D1105, Products!A:C, 3, FALSE)</f>
        <v>Electronics</v>
      </c>
      <c r="M1105" t="str">
        <f>VLOOKUP(C1105, Customers!A:E, 5, FALSE)</f>
        <v>SMB</v>
      </c>
      <c r="N1105">
        <f>VLOOKUP(C1105, Customers!A:E, 3, FALSE)</f>
        <v>35</v>
      </c>
      <c r="O1105" s="93" t="str">
        <f>VLOOKUP(E1105, Sales_Reps!A:C, 3, FALSE)</f>
        <v>South</v>
      </c>
      <c r="P1105">
        <f>VLOOKUP(D1105, Products!A:E, 4, FALSE)</f>
        <v>2405</v>
      </c>
      <c r="Q1105">
        <f>IF(COUNTIF($A$2:A1105, A1105)=2, 1, 0)</f>
        <v>0</v>
      </c>
      <c r="R1105">
        <f>IF(ISNA(MATCH(C1105, Customers!$A:$A, 0)), 1, 0)</f>
        <v>0</v>
      </c>
      <c r="S1105" s="94" t="b">
        <f>VLOOKUP(D1105, Products!A:F, 6, FALSE)</f>
        <v>1</v>
      </c>
    </row>
    <row r="1106" spans="1:19">
      <c r="A1106" s="102" t="s">
        <v>1591</v>
      </c>
      <c r="B1106" s="2">
        <v>45548</v>
      </c>
      <c r="C1106" s="1" t="s">
        <v>405</v>
      </c>
      <c r="D1106" s="1" t="s">
        <v>187</v>
      </c>
      <c r="E1106" s="1" t="s">
        <v>285</v>
      </c>
      <c r="F1106" s="83">
        <v>7</v>
      </c>
      <c r="G1106" s="92">
        <v>3570</v>
      </c>
      <c r="H1106" s="3">
        <v>24.3</v>
      </c>
      <c r="I1106" s="3">
        <v>18917.43</v>
      </c>
      <c r="J1106" s="1" t="s">
        <v>87</v>
      </c>
      <c r="K1106" s="1" t="s">
        <v>94</v>
      </c>
      <c r="L1106" t="str">
        <f>VLOOKUP(D1106, Products!A:C, 3, FALSE)</f>
        <v>Electronics</v>
      </c>
      <c r="M1106" t="str">
        <f>VLOOKUP(C1106, Customers!A:E, 5, FALSE)</f>
        <v>Corporate</v>
      </c>
      <c r="N1106">
        <f>VLOOKUP(C1106, Customers!A:E, 3, FALSE)</f>
        <v>24</v>
      </c>
      <c r="O1106" s="93" t="str">
        <f>VLOOKUP(E1106, Sales_Reps!A:C, 3, FALSE)</f>
        <v>East</v>
      </c>
      <c r="P1106">
        <f>VLOOKUP(D1106, Products!A:E, 4, FALSE)</f>
        <v>1665</v>
      </c>
      <c r="Q1106">
        <f>IF(COUNTIF($A$2:A1106, A1106)=2, 1, 0)</f>
        <v>0</v>
      </c>
      <c r="R1106">
        <f>IF(ISNA(MATCH(C1106, Customers!$A:$A, 0)), 1, 0)</f>
        <v>0</v>
      </c>
      <c r="S1106" s="94" t="b">
        <f>VLOOKUP(D1106, Products!A:F, 6, FALSE)</f>
        <v>1</v>
      </c>
    </row>
    <row r="1107" spans="1:19">
      <c r="A1107" s="102" t="s">
        <v>1592</v>
      </c>
      <c r="B1107" s="2">
        <v>45569</v>
      </c>
      <c r="C1107" s="1" t="s">
        <v>369</v>
      </c>
      <c r="D1107" s="1" t="s">
        <v>179</v>
      </c>
      <c r="E1107" s="1" t="s">
        <v>238</v>
      </c>
      <c r="F1107" s="83">
        <v>1</v>
      </c>
      <c r="G1107" s="92">
        <v>3350</v>
      </c>
      <c r="H1107" s="3">
        <v>14.9</v>
      </c>
      <c r="I1107" s="3">
        <v>2850.85</v>
      </c>
      <c r="J1107" s="1" t="s">
        <v>87</v>
      </c>
      <c r="K1107" s="1" t="s">
        <v>94</v>
      </c>
      <c r="L1107" t="str">
        <f>VLOOKUP(D1107, Products!A:C, 3, FALSE)</f>
        <v>Beauty</v>
      </c>
      <c r="M1107" t="str">
        <f>VLOOKUP(C1107, Customers!A:E, 5, FALSE)</f>
        <v>SMB</v>
      </c>
      <c r="N1107">
        <f>VLOOKUP(C1107, Customers!A:E, 3, FALSE)</f>
        <v>62</v>
      </c>
      <c r="O1107" s="93" t="str">
        <f>VLOOKUP(E1107, Sales_Reps!A:C, 3, FALSE)</f>
        <v>East</v>
      </c>
      <c r="P1107">
        <f>VLOOKUP(D1107, Products!A:E, 4, FALSE)</f>
        <v>1728</v>
      </c>
      <c r="Q1107">
        <f>IF(COUNTIF($A$2:A1107, A1107)=2, 1, 0)</f>
        <v>0</v>
      </c>
      <c r="R1107">
        <f>IF(ISNA(MATCH(C1107, Customers!$A:$A, 0)), 1, 0)</f>
        <v>0</v>
      </c>
      <c r="S1107" s="94" t="b">
        <f>VLOOKUP(D1107, Products!A:F, 6, FALSE)</f>
        <v>1</v>
      </c>
    </row>
    <row r="1108" spans="1:19">
      <c r="A1108" s="102" t="s">
        <v>1593</v>
      </c>
      <c r="B1108" s="2">
        <v>45541</v>
      </c>
      <c r="C1108" s="1" t="s">
        <v>615</v>
      </c>
      <c r="D1108" s="1" t="s">
        <v>355</v>
      </c>
      <c r="E1108" s="1" t="s">
        <v>154</v>
      </c>
      <c r="F1108" s="83">
        <v>2</v>
      </c>
      <c r="G1108" s="92">
        <v>2510</v>
      </c>
      <c r="H1108" s="3">
        <v>10.6</v>
      </c>
      <c r="I1108" s="3">
        <v>4487.88</v>
      </c>
      <c r="J1108" s="1" t="s">
        <v>87</v>
      </c>
      <c r="K1108" s="1" t="s">
        <v>112</v>
      </c>
      <c r="L1108" t="str">
        <f>VLOOKUP(D1108, Products!A:C, 3, FALSE)</f>
        <v>Apparel</v>
      </c>
      <c r="M1108" t="str">
        <f>VLOOKUP(C1108, Customers!A:E, 5, FALSE)</f>
        <v>Retail</v>
      </c>
      <c r="N1108">
        <f>VLOOKUP(C1108, Customers!A:E, 3, FALSE)</f>
        <v>53</v>
      </c>
      <c r="O1108" s="93" t="str">
        <f>VLOOKUP(E1108, Sales_Reps!A:C, 3, FALSE)</f>
        <v>East</v>
      </c>
      <c r="P1108">
        <f>VLOOKUP(D1108, Products!A:E, 4, FALSE)</f>
        <v>1075</v>
      </c>
      <c r="Q1108">
        <f>IF(COUNTIF($A$2:A1108, A1108)=2, 1, 0)</f>
        <v>0</v>
      </c>
      <c r="R1108">
        <f>IF(ISNA(MATCH(C1108, Customers!$A:$A, 0)), 1, 0)</f>
        <v>0</v>
      </c>
      <c r="S1108" s="94" t="b">
        <f>VLOOKUP(D1108, Products!A:F, 6, FALSE)</f>
        <v>0</v>
      </c>
    </row>
    <row r="1109" spans="1:19">
      <c r="A1109" s="102" t="s">
        <v>1594</v>
      </c>
      <c r="B1109" s="2">
        <v>45369</v>
      </c>
      <c r="C1109" s="1" t="s">
        <v>160</v>
      </c>
      <c r="D1109" s="1" t="s">
        <v>127</v>
      </c>
      <c r="E1109" s="1" t="s">
        <v>111</v>
      </c>
      <c r="F1109" s="83">
        <v>5</v>
      </c>
      <c r="G1109" s="92">
        <v>970</v>
      </c>
      <c r="H1109" s="3">
        <v>6.8</v>
      </c>
      <c r="I1109" s="3">
        <v>4520.2</v>
      </c>
      <c r="J1109" s="1" t="s">
        <v>93</v>
      </c>
      <c r="K1109" s="1" t="s">
        <v>112</v>
      </c>
      <c r="L1109" t="str">
        <f>VLOOKUP(D1109, Products!A:C, 3, FALSE)</f>
        <v>Grocery</v>
      </c>
      <c r="M1109" t="str">
        <f>VLOOKUP(C1109, Customers!A:E, 5, FALSE)</f>
        <v>Retail</v>
      </c>
      <c r="N1109">
        <f>VLOOKUP(C1109, Customers!A:E, 3, FALSE)</f>
        <v>54</v>
      </c>
      <c r="O1109" s="93" t="str">
        <f>VLOOKUP(E1109, Sales_Reps!A:C, 3, FALSE)</f>
        <v>West</v>
      </c>
      <c r="P1109">
        <f>VLOOKUP(D1109, Products!A:E, 4, FALSE)</f>
        <v>434</v>
      </c>
      <c r="Q1109">
        <f>IF(COUNTIF($A$2:A1109, A1109)=2, 1, 0)</f>
        <v>0</v>
      </c>
      <c r="R1109">
        <f>IF(ISNA(MATCH(C1109, Customers!$A:$A, 0)), 1, 0)</f>
        <v>0</v>
      </c>
      <c r="S1109" s="94" t="b">
        <f>VLOOKUP(D1109, Products!A:F, 6, FALSE)</f>
        <v>1</v>
      </c>
    </row>
    <row r="1110" spans="1:19">
      <c r="A1110" s="102" t="s">
        <v>1595</v>
      </c>
      <c r="B1110" s="2">
        <v>45519</v>
      </c>
      <c r="C1110" s="1" t="s">
        <v>231</v>
      </c>
      <c r="D1110" s="1" t="s">
        <v>234</v>
      </c>
      <c r="E1110" s="1" t="s">
        <v>297</v>
      </c>
      <c r="F1110" s="83">
        <v>5</v>
      </c>
      <c r="G1110" s="92">
        <v>3780</v>
      </c>
      <c r="H1110" s="3">
        <v>16.600000000000001</v>
      </c>
      <c r="I1110" s="3">
        <v>15762.6</v>
      </c>
      <c r="J1110" s="1" t="s">
        <v>87</v>
      </c>
      <c r="K1110" s="1" t="s">
        <v>117</v>
      </c>
      <c r="L1110" t="str">
        <f>VLOOKUP(D1110, Products!A:C, 3, FALSE)</f>
        <v>Grocery</v>
      </c>
      <c r="M1110" t="str">
        <f>VLOOKUP(C1110, Customers!A:E, 5, FALSE)</f>
        <v>SMB</v>
      </c>
      <c r="N1110">
        <f>VLOOKUP(C1110, Customers!A:E, 3, FALSE)</f>
        <v>64</v>
      </c>
      <c r="O1110" s="93" t="str">
        <f>VLOOKUP(E1110, Sales_Reps!A:C, 3, FALSE)</f>
        <v>North</v>
      </c>
      <c r="P1110">
        <f>VLOOKUP(D1110, Products!A:E, 4, FALSE)</f>
        <v>2436</v>
      </c>
      <c r="Q1110">
        <f>IF(COUNTIF($A$2:A1110, A1110)=2, 1, 0)</f>
        <v>0</v>
      </c>
      <c r="R1110">
        <f>IF(ISNA(MATCH(C1110, Customers!$A:$A, 0)), 1, 0)</f>
        <v>0</v>
      </c>
      <c r="S1110" s="94" t="b">
        <f>VLOOKUP(D1110, Products!A:F, 6, FALSE)</f>
        <v>1</v>
      </c>
    </row>
    <row r="1111" spans="1:19">
      <c r="A1111" s="102" t="s">
        <v>1596</v>
      </c>
      <c r="B1111" s="2">
        <v>45379</v>
      </c>
      <c r="C1111" s="1" t="s">
        <v>676</v>
      </c>
      <c r="D1111" s="1" t="s">
        <v>355</v>
      </c>
      <c r="E1111" s="1" t="s">
        <v>86</v>
      </c>
      <c r="F1111" s="83">
        <v>3</v>
      </c>
      <c r="G1111" s="92">
        <v>2510</v>
      </c>
      <c r="H1111" s="3">
        <v>24.9</v>
      </c>
      <c r="I1111" s="3">
        <v>5655.03</v>
      </c>
      <c r="J1111" s="1" t="s">
        <v>140</v>
      </c>
      <c r="K1111" s="1" t="s">
        <v>88</v>
      </c>
      <c r="L1111" t="str">
        <f>VLOOKUP(D1111, Products!A:C, 3, FALSE)</f>
        <v>Apparel</v>
      </c>
      <c r="M1111" t="str">
        <f>VLOOKUP(C1111, Customers!A:E, 5, FALSE)</f>
        <v>SMB</v>
      </c>
      <c r="N1111">
        <f>VLOOKUP(C1111, Customers!A:E, 3, FALSE)</f>
        <v>35</v>
      </c>
      <c r="O1111" s="93" t="str">
        <f>VLOOKUP(E1111, Sales_Reps!A:C, 3, FALSE)</f>
        <v>North</v>
      </c>
      <c r="P1111">
        <f>VLOOKUP(D1111, Products!A:E, 4, FALSE)</f>
        <v>1075</v>
      </c>
      <c r="Q1111">
        <f>IF(COUNTIF($A$2:A1111, A1111)=2, 1, 0)</f>
        <v>0</v>
      </c>
      <c r="R1111">
        <f>IF(ISNA(MATCH(C1111, Customers!$A:$A, 0)), 1, 0)</f>
        <v>0</v>
      </c>
      <c r="S1111" s="94" t="b">
        <f>VLOOKUP(D1111, Products!A:F, 6, FALSE)</f>
        <v>0</v>
      </c>
    </row>
    <row r="1112" spans="1:19">
      <c r="A1112" s="102" t="s">
        <v>1597</v>
      </c>
      <c r="B1112" s="2">
        <v>45548</v>
      </c>
      <c r="C1112" s="1" t="s">
        <v>1361</v>
      </c>
      <c r="D1112" s="1" t="s">
        <v>295</v>
      </c>
      <c r="E1112" s="1" t="s">
        <v>107</v>
      </c>
      <c r="F1112" s="83">
        <v>3</v>
      </c>
      <c r="G1112" s="92">
        <v>2030</v>
      </c>
      <c r="H1112" s="3">
        <v>3.8</v>
      </c>
      <c r="I1112" s="3">
        <v>5858.58</v>
      </c>
      <c r="J1112" s="1" t="s">
        <v>87</v>
      </c>
      <c r="K1112" s="1" t="s">
        <v>94</v>
      </c>
      <c r="L1112" t="str">
        <f>VLOOKUP(D1112, Products!A:C, 3, FALSE)</f>
        <v>Home</v>
      </c>
      <c r="M1112" t="str">
        <f>VLOOKUP(C1112, Customers!A:E, 5, FALSE)</f>
        <v>Retail</v>
      </c>
      <c r="N1112">
        <f>VLOOKUP(C1112, Customers!A:E, 3, FALSE)</f>
        <v>34</v>
      </c>
      <c r="O1112" s="93" t="str">
        <f>VLOOKUP(E1112, Sales_Reps!A:C, 3, FALSE)</f>
        <v>North</v>
      </c>
      <c r="P1112">
        <f>VLOOKUP(D1112, Products!A:E, 4, FALSE)</f>
        <v>1143</v>
      </c>
      <c r="Q1112">
        <f>IF(COUNTIF($A$2:A1112, A1112)=2, 1, 0)</f>
        <v>0</v>
      </c>
      <c r="R1112">
        <f>IF(ISNA(MATCH(C1112, Customers!$A:$A, 0)), 1, 0)</f>
        <v>0</v>
      </c>
      <c r="S1112" s="94" t="b">
        <f>VLOOKUP(D1112, Products!A:F, 6, FALSE)</f>
        <v>1</v>
      </c>
    </row>
    <row r="1113" spans="1:19">
      <c r="A1113" s="102" t="s">
        <v>1598</v>
      </c>
      <c r="B1113" s="2">
        <v>45478</v>
      </c>
      <c r="C1113" s="1" t="s">
        <v>970</v>
      </c>
      <c r="D1113" s="1" t="s">
        <v>147</v>
      </c>
      <c r="E1113" s="1" t="s">
        <v>98</v>
      </c>
      <c r="F1113" s="83">
        <v>9</v>
      </c>
      <c r="G1113" s="92">
        <v>190</v>
      </c>
      <c r="H1113" s="3">
        <v>5.4</v>
      </c>
      <c r="I1113" s="3">
        <v>1617.66</v>
      </c>
      <c r="J1113" s="1" t="s">
        <v>87</v>
      </c>
      <c r="K1113" s="1" t="s">
        <v>112</v>
      </c>
      <c r="L1113" t="str">
        <f>VLOOKUP(D1113, Products!A:C, 3, FALSE)</f>
        <v>Sports</v>
      </c>
      <c r="M1113" t="str">
        <f>VLOOKUP(C1113, Customers!A:E, 5, FALSE)</f>
        <v>Retail</v>
      </c>
      <c r="N1113">
        <f>VLOOKUP(C1113, Customers!A:E, 3, FALSE)</f>
        <v>40</v>
      </c>
      <c r="O1113" s="93" t="str">
        <f>VLOOKUP(E1113, Sales_Reps!A:C, 3, FALSE)</f>
        <v>South</v>
      </c>
      <c r="P1113">
        <f>VLOOKUP(D1113, Products!A:E, 4, FALSE)</f>
        <v>147</v>
      </c>
      <c r="Q1113">
        <f>IF(COUNTIF($A$2:A1113, A1113)=2, 1, 0)</f>
        <v>0</v>
      </c>
      <c r="R1113">
        <f>IF(ISNA(MATCH(C1113, Customers!$A:$A, 0)), 1, 0)</f>
        <v>0</v>
      </c>
      <c r="S1113" s="94" t="b">
        <f>VLOOKUP(D1113, Products!A:F, 6, FALSE)</f>
        <v>1</v>
      </c>
    </row>
    <row r="1114" spans="1:19">
      <c r="A1114" s="102" t="s">
        <v>1599</v>
      </c>
      <c r="B1114" s="2">
        <v>45338</v>
      </c>
      <c r="C1114" s="1" t="s">
        <v>345</v>
      </c>
      <c r="D1114" s="1" t="s">
        <v>338</v>
      </c>
      <c r="E1114" s="1" t="s">
        <v>192</v>
      </c>
      <c r="F1114" s="83">
        <v>6</v>
      </c>
      <c r="G1114" s="92">
        <v>2210</v>
      </c>
      <c r="H1114" s="3">
        <v>29.4</v>
      </c>
      <c r="I1114" s="3">
        <v>9361.56</v>
      </c>
      <c r="J1114" s="1" t="s">
        <v>87</v>
      </c>
      <c r="K1114" s="1" t="s">
        <v>94</v>
      </c>
      <c r="L1114" t="str">
        <f>VLOOKUP(D1114, Products!A:C, 3, FALSE)</f>
        <v>Grocery</v>
      </c>
      <c r="M1114" t="str">
        <f>VLOOKUP(C1114, Customers!A:E, 5, FALSE)</f>
        <v>Corporate</v>
      </c>
      <c r="N1114">
        <f>VLOOKUP(C1114, Customers!A:E, 3, FALSE)</f>
        <v>38</v>
      </c>
      <c r="O1114" s="93" t="str">
        <f>VLOOKUP(E1114, Sales_Reps!A:C, 3, FALSE)</f>
        <v>East</v>
      </c>
      <c r="P1114">
        <f>VLOOKUP(D1114, Products!A:E, 4, FALSE)</f>
        <v>1010</v>
      </c>
      <c r="Q1114">
        <f>IF(COUNTIF($A$2:A1114, A1114)=2, 1, 0)</f>
        <v>0</v>
      </c>
      <c r="R1114">
        <f>IF(ISNA(MATCH(C1114, Customers!$A:$A, 0)), 1, 0)</f>
        <v>0</v>
      </c>
      <c r="S1114" s="94" t="b">
        <f>VLOOKUP(D1114, Products!A:F, 6, FALSE)</f>
        <v>1</v>
      </c>
    </row>
    <row r="1115" spans="1:19">
      <c r="A1115" s="102" t="s">
        <v>1600</v>
      </c>
      <c r="B1115" s="2">
        <v>45546</v>
      </c>
      <c r="C1115" s="1" t="s">
        <v>420</v>
      </c>
      <c r="D1115" s="1" t="s">
        <v>237</v>
      </c>
      <c r="E1115" s="1" t="s">
        <v>92</v>
      </c>
      <c r="F1115" s="83">
        <v>4</v>
      </c>
      <c r="G1115" s="92">
        <v>3640</v>
      </c>
      <c r="H1115" s="3">
        <v>0.6</v>
      </c>
      <c r="I1115" s="3">
        <v>14472.64</v>
      </c>
      <c r="J1115" s="1" t="s">
        <v>87</v>
      </c>
      <c r="K1115" s="1" t="s">
        <v>99</v>
      </c>
      <c r="L1115" t="str">
        <f>VLOOKUP(D1115, Products!A:C, 3, FALSE)</f>
        <v>Apparel</v>
      </c>
      <c r="M1115" t="str">
        <f>VLOOKUP(C1115, Customers!A:E, 5, FALSE)</f>
        <v>Retail</v>
      </c>
      <c r="N1115">
        <f>VLOOKUP(C1115, Customers!A:E, 3, FALSE)</f>
        <v>44</v>
      </c>
      <c r="O1115" s="93" t="str">
        <f>VLOOKUP(E1115, Sales_Reps!A:C, 3, FALSE)</f>
        <v>North</v>
      </c>
      <c r="P1115">
        <f>VLOOKUP(D1115, Products!A:E, 4, FALSE)</f>
        <v>2611</v>
      </c>
      <c r="Q1115">
        <f>IF(COUNTIF($A$2:A1115, A1115)=2, 1, 0)</f>
        <v>0</v>
      </c>
      <c r="R1115">
        <f>IF(ISNA(MATCH(C1115, Customers!$A:$A, 0)), 1, 0)</f>
        <v>0</v>
      </c>
      <c r="S1115" s="94" t="b">
        <f>VLOOKUP(D1115, Products!A:F, 6, FALSE)</f>
        <v>1</v>
      </c>
    </row>
    <row r="1116" spans="1:19">
      <c r="A1116" s="102" t="s">
        <v>1601</v>
      </c>
      <c r="B1116" s="2">
        <v>45626</v>
      </c>
      <c r="C1116" s="1" t="s">
        <v>900</v>
      </c>
      <c r="D1116" s="1" t="s">
        <v>267</v>
      </c>
      <c r="E1116" s="1" t="s">
        <v>204</v>
      </c>
      <c r="F1116" s="83">
        <v>9</v>
      </c>
      <c r="G1116" s="92">
        <v>1220</v>
      </c>
      <c r="H1116" s="3">
        <v>24.1</v>
      </c>
      <c r="I1116" s="3">
        <v>8333.82</v>
      </c>
      <c r="J1116" s="1" t="s">
        <v>87</v>
      </c>
      <c r="K1116" s="1" t="s">
        <v>117</v>
      </c>
      <c r="L1116" t="str">
        <f>VLOOKUP(D1116, Products!A:C, 3, FALSE)</f>
        <v>Electronics</v>
      </c>
      <c r="M1116" t="str">
        <f>VLOOKUP(C1116, Customers!A:E, 5, FALSE)</f>
        <v>Retail</v>
      </c>
      <c r="N1116">
        <f>VLOOKUP(C1116, Customers!A:E, 3, FALSE)</f>
        <v>35</v>
      </c>
      <c r="O1116" s="93" t="str">
        <f>VLOOKUP(E1116, Sales_Reps!A:C, 3, FALSE)</f>
        <v>South</v>
      </c>
      <c r="P1116">
        <f>VLOOKUP(D1116, Products!A:E, 4, FALSE)</f>
        <v>517</v>
      </c>
      <c r="Q1116">
        <f>IF(COUNTIF($A$2:A1116, A1116)=2, 1, 0)</f>
        <v>0</v>
      </c>
      <c r="R1116">
        <f>IF(ISNA(MATCH(C1116, Customers!$A:$A, 0)), 1, 0)</f>
        <v>0</v>
      </c>
      <c r="S1116" s="94" t="b">
        <f>VLOOKUP(D1116, Products!A:F, 6, FALSE)</f>
        <v>1</v>
      </c>
    </row>
    <row r="1117" spans="1:19">
      <c r="A1117" s="102" t="s">
        <v>1602</v>
      </c>
      <c r="B1117" s="2">
        <v>45402</v>
      </c>
      <c r="C1117" s="1" t="s">
        <v>585</v>
      </c>
      <c r="D1117" s="1" t="s">
        <v>515</v>
      </c>
      <c r="E1117" s="1" t="s">
        <v>204</v>
      </c>
      <c r="F1117" s="83">
        <v>2</v>
      </c>
      <c r="G1117" s="92">
        <v>6940</v>
      </c>
      <c r="H1117" s="3">
        <v>27</v>
      </c>
      <c r="I1117" s="3">
        <v>10132.4</v>
      </c>
      <c r="J1117" s="1" t="s">
        <v>87</v>
      </c>
      <c r="K1117" s="1" t="s">
        <v>94</v>
      </c>
      <c r="L1117" t="str">
        <f>VLOOKUP(D1117, Products!A:C, 3, FALSE)</f>
        <v>Sports</v>
      </c>
      <c r="M1117" t="str">
        <f>VLOOKUP(C1117, Customers!A:E, 5, FALSE)</f>
        <v>Retail</v>
      </c>
      <c r="N1117">
        <f>VLOOKUP(C1117, Customers!A:E, 3, FALSE)</f>
        <v>26</v>
      </c>
      <c r="O1117" s="93" t="str">
        <f>VLOOKUP(E1117, Sales_Reps!A:C, 3, FALSE)</f>
        <v>South</v>
      </c>
      <c r="P1117">
        <f>VLOOKUP(D1117, Products!A:E, 4, FALSE)</f>
        <v>2827</v>
      </c>
      <c r="Q1117">
        <f>IF(COUNTIF($A$2:A1117, A1117)=2, 1, 0)</f>
        <v>0</v>
      </c>
      <c r="R1117">
        <f>IF(ISNA(MATCH(C1117, Customers!$A:$A, 0)), 1, 0)</f>
        <v>0</v>
      </c>
      <c r="S1117" s="94" t="b">
        <f>VLOOKUP(D1117, Products!A:F, 6, FALSE)</f>
        <v>1</v>
      </c>
    </row>
    <row r="1118" spans="1:19">
      <c r="A1118" s="102" t="s">
        <v>1603</v>
      </c>
      <c r="B1118" s="2">
        <v>45604</v>
      </c>
      <c r="C1118" s="1" t="s">
        <v>357</v>
      </c>
      <c r="D1118" s="1" t="s">
        <v>195</v>
      </c>
      <c r="E1118" s="1" t="s">
        <v>132</v>
      </c>
      <c r="F1118" s="83">
        <v>6</v>
      </c>
      <c r="G1118" s="92">
        <v>2860</v>
      </c>
      <c r="H1118" s="3">
        <v>6.6</v>
      </c>
      <c r="I1118" s="3">
        <v>16027.44</v>
      </c>
      <c r="J1118" s="1" t="s">
        <v>87</v>
      </c>
      <c r="K1118" s="1" t="s">
        <v>99</v>
      </c>
      <c r="L1118" t="str">
        <f>VLOOKUP(D1118, Products!A:C, 3, FALSE)</f>
        <v>Sports</v>
      </c>
      <c r="M1118" t="str">
        <f>VLOOKUP(C1118, Customers!A:E, 5, FALSE)</f>
        <v>SMB</v>
      </c>
      <c r="N1118">
        <f>VLOOKUP(C1118, Customers!A:E, 3, FALSE)</f>
        <v>38</v>
      </c>
      <c r="O1118" s="93" t="str">
        <f>VLOOKUP(E1118, Sales_Reps!A:C, 3, FALSE)</f>
        <v>South</v>
      </c>
      <c r="P1118">
        <f>VLOOKUP(D1118, Products!A:E, 4, FALSE)</f>
        <v>2028</v>
      </c>
      <c r="Q1118">
        <f>IF(COUNTIF($A$2:A1118, A1118)=2, 1, 0)</f>
        <v>0</v>
      </c>
      <c r="R1118">
        <f>IF(ISNA(MATCH(C1118, Customers!$A:$A, 0)), 1, 0)</f>
        <v>0</v>
      </c>
      <c r="S1118" s="94" t="b">
        <f>VLOOKUP(D1118, Products!A:F, 6, FALSE)</f>
        <v>1</v>
      </c>
    </row>
    <row r="1119" spans="1:19">
      <c r="A1119" s="102" t="s">
        <v>1604</v>
      </c>
      <c r="B1119" s="2">
        <v>45545</v>
      </c>
      <c r="C1119" s="1" t="s">
        <v>186</v>
      </c>
      <c r="D1119" s="1" t="s">
        <v>173</v>
      </c>
      <c r="E1119" s="1" t="s">
        <v>303</v>
      </c>
      <c r="F1119" s="83">
        <v>5</v>
      </c>
      <c r="G1119" s="92">
        <v>2720</v>
      </c>
      <c r="H1119" s="3">
        <v>21.4</v>
      </c>
      <c r="I1119" s="3">
        <v>10689.6</v>
      </c>
      <c r="J1119" s="1" t="s">
        <v>87</v>
      </c>
      <c r="K1119" s="1" t="s">
        <v>94</v>
      </c>
      <c r="L1119" t="str">
        <f>VLOOKUP(D1119, Products!A:C, 3, FALSE)</f>
        <v>Apparel</v>
      </c>
      <c r="M1119" t="str">
        <f>VLOOKUP(C1119, Customers!A:E, 5, FALSE)</f>
        <v>SMB</v>
      </c>
      <c r="N1119">
        <f>VLOOKUP(C1119, Customers!A:E, 3, FALSE)</f>
        <v>52</v>
      </c>
      <c r="O1119" s="93" t="str">
        <f>VLOOKUP(E1119, Sales_Reps!A:C, 3, FALSE)</f>
        <v>East</v>
      </c>
      <c r="P1119">
        <f>VLOOKUP(D1119, Products!A:E, 4, FALSE)</f>
        <v>1962</v>
      </c>
      <c r="Q1119">
        <f>IF(COUNTIF($A$2:A1119, A1119)=2, 1, 0)</f>
        <v>0</v>
      </c>
      <c r="R1119">
        <f>IF(ISNA(MATCH(C1119, Customers!$A:$A, 0)), 1, 0)</f>
        <v>0</v>
      </c>
      <c r="S1119" s="94" t="b">
        <f>VLOOKUP(D1119, Products!A:F, 6, FALSE)</f>
        <v>1</v>
      </c>
    </row>
    <row r="1120" spans="1:19">
      <c r="A1120" s="102" t="s">
        <v>1605</v>
      </c>
      <c r="B1120" s="2">
        <v>45445</v>
      </c>
      <c r="C1120" s="1" t="s">
        <v>269</v>
      </c>
      <c r="D1120" s="1" t="s">
        <v>91</v>
      </c>
      <c r="E1120" s="1" t="s">
        <v>103</v>
      </c>
      <c r="F1120" s="83">
        <v>5</v>
      </c>
      <c r="G1120" s="92">
        <v>820</v>
      </c>
      <c r="H1120" s="3">
        <v>28.6</v>
      </c>
      <c r="I1120" s="3">
        <v>2927.4</v>
      </c>
      <c r="J1120" s="1" t="s">
        <v>87</v>
      </c>
      <c r="K1120" s="1" t="s">
        <v>112</v>
      </c>
      <c r="L1120" t="str">
        <f>VLOOKUP(D1120, Products!A:C, 3, FALSE)</f>
        <v>Apparel</v>
      </c>
      <c r="M1120" t="str">
        <f>VLOOKUP(C1120, Customers!A:E, 5, FALSE)</f>
        <v>Retail</v>
      </c>
      <c r="N1120">
        <f>VLOOKUP(C1120, Customers!A:E, 3, FALSE)</f>
        <v>40</v>
      </c>
      <c r="O1120" s="93" t="str">
        <f>VLOOKUP(E1120, Sales_Reps!A:C, 3, FALSE)</f>
        <v>North</v>
      </c>
      <c r="P1120">
        <f>VLOOKUP(D1120, Products!A:E, 4, FALSE)</f>
        <v>391</v>
      </c>
      <c r="Q1120">
        <f>IF(COUNTIF($A$2:A1120, A1120)=2, 1, 0)</f>
        <v>0</v>
      </c>
      <c r="R1120">
        <f>IF(ISNA(MATCH(C1120, Customers!$A:$A, 0)), 1, 0)</f>
        <v>0</v>
      </c>
      <c r="S1120" s="94" t="b">
        <f>VLOOKUP(D1120, Products!A:F, 6, FALSE)</f>
        <v>1</v>
      </c>
    </row>
    <row r="1121" spans="1:19">
      <c r="A1121" s="102" t="s">
        <v>1606</v>
      </c>
      <c r="B1121" s="2">
        <v>45489</v>
      </c>
      <c r="C1121" s="1" t="s">
        <v>1308</v>
      </c>
      <c r="D1121" s="1" t="s">
        <v>386</v>
      </c>
      <c r="E1121" s="1" t="s">
        <v>285</v>
      </c>
      <c r="F1121" s="83">
        <v>6</v>
      </c>
      <c r="G1121" s="92">
        <v>2290</v>
      </c>
      <c r="H1121" s="3">
        <v>18.8</v>
      </c>
      <c r="I1121" s="3">
        <v>11156.88</v>
      </c>
      <c r="J1121" s="1" t="s">
        <v>87</v>
      </c>
      <c r="K1121" s="1" t="s">
        <v>94</v>
      </c>
      <c r="L1121" t="str">
        <f>VLOOKUP(D1121, Products!A:C, 3, FALSE)</f>
        <v>Beauty</v>
      </c>
      <c r="M1121" t="str">
        <f>VLOOKUP(C1121, Customers!A:E, 5, FALSE)</f>
        <v>SMB</v>
      </c>
      <c r="N1121">
        <f>VLOOKUP(C1121, Customers!A:E, 3, FALSE)</f>
        <v>51</v>
      </c>
      <c r="O1121" s="93" t="str">
        <f>VLOOKUP(E1121, Sales_Reps!A:C, 3, FALSE)</f>
        <v>East</v>
      </c>
      <c r="P1121">
        <f>VLOOKUP(D1121, Products!A:E, 4, FALSE)</f>
        <v>1219</v>
      </c>
      <c r="Q1121">
        <f>IF(COUNTIF($A$2:A1121, A1121)=2, 1, 0)</f>
        <v>0</v>
      </c>
      <c r="R1121">
        <f>IF(ISNA(MATCH(C1121, Customers!$A:$A, 0)), 1, 0)</f>
        <v>0</v>
      </c>
      <c r="S1121" s="94" t="b">
        <f>VLOOKUP(D1121, Products!A:F, 6, FALSE)</f>
        <v>1</v>
      </c>
    </row>
    <row r="1122" spans="1:19">
      <c r="A1122" s="102" t="s">
        <v>1607</v>
      </c>
      <c r="B1122" s="2">
        <v>45394</v>
      </c>
      <c r="C1122" s="1" t="s">
        <v>689</v>
      </c>
      <c r="D1122" s="1" t="s">
        <v>157</v>
      </c>
      <c r="E1122" s="1" t="s">
        <v>158</v>
      </c>
      <c r="F1122" s="83">
        <v>6</v>
      </c>
      <c r="G1122" s="92">
        <v>3450</v>
      </c>
      <c r="H1122" s="3">
        <v>28.4</v>
      </c>
      <c r="I1122" s="3">
        <v>14821.2</v>
      </c>
      <c r="J1122" s="1" t="s">
        <v>87</v>
      </c>
      <c r="K1122" s="1" t="s">
        <v>133</v>
      </c>
      <c r="L1122" t="str">
        <f>VLOOKUP(D1122, Products!A:C, 3, FALSE)</f>
        <v>Beauty</v>
      </c>
      <c r="M1122" t="str">
        <f>VLOOKUP(C1122, Customers!A:E, 5, FALSE)</f>
        <v>Retail</v>
      </c>
      <c r="N1122">
        <f>VLOOKUP(C1122, Customers!A:E, 3, FALSE)</f>
        <v>28</v>
      </c>
      <c r="O1122" s="93" t="str">
        <f>VLOOKUP(E1122, Sales_Reps!A:C, 3, FALSE)</f>
        <v>East</v>
      </c>
      <c r="P1122">
        <f>VLOOKUP(D1122, Products!A:E, 4, FALSE)</f>
        <v>2420</v>
      </c>
      <c r="Q1122">
        <f>IF(COUNTIF($A$2:A1122, A1122)=2, 1, 0)</f>
        <v>0</v>
      </c>
      <c r="R1122">
        <f>IF(ISNA(MATCH(C1122, Customers!$A:$A, 0)), 1, 0)</f>
        <v>0</v>
      </c>
      <c r="S1122" s="94" t="b">
        <f>VLOOKUP(D1122, Products!A:F, 6, FALSE)</f>
        <v>1</v>
      </c>
    </row>
    <row r="1123" spans="1:19">
      <c r="A1123" s="102" t="s">
        <v>1608</v>
      </c>
      <c r="B1123" s="2">
        <v>45340</v>
      </c>
      <c r="C1123" s="1" t="s">
        <v>123</v>
      </c>
      <c r="D1123" s="1" t="s">
        <v>295</v>
      </c>
      <c r="E1123" s="1" t="s">
        <v>297</v>
      </c>
      <c r="F1123" s="83">
        <v>10</v>
      </c>
      <c r="G1123" s="92">
        <v>2030</v>
      </c>
      <c r="H1123" s="3">
        <v>8</v>
      </c>
      <c r="I1123" s="3">
        <v>18676</v>
      </c>
      <c r="J1123" s="1" t="s">
        <v>87</v>
      </c>
      <c r="K1123" s="1" t="s">
        <v>117</v>
      </c>
      <c r="L1123" t="str">
        <f>VLOOKUP(D1123, Products!A:C, 3, FALSE)</f>
        <v>Home</v>
      </c>
      <c r="M1123" t="str">
        <f>VLOOKUP(C1123, Customers!A:E, 5, FALSE)</f>
        <v>Retail</v>
      </c>
      <c r="N1123">
        <f>VLOOKUP(C1123, Customers!A:E, 3, FALSE)</f>
        <v>42</v>
      </c>
      <c r="O1123" s="93" t="str">
        <f>VLOOKUP(E1123, Sales_Reps!A:C, 3, FALSE)</f>
        <v>North</v>
      </c>
      <c r="P1123">
        <f>VLOOKUP(D1123, Products!A:E, 4, FALSE)</f>
        <v>1143</v>
      </c>
      <c r="Q1123">
        <f>IF(COUNTIF($A$2:A1123, A1123)=2, 1, 0)</f>
        <v>0</v>
      </c>
      <c r="R1123">
        <f>IF(ISNA(MATCH(C1123, Customers!$A:$A, 0)), 1, 0)</f>
        <v>0</v>
      </c>
      <c r="S1123" s="94" t="b">
        <f>VLOOKUP(D1123, Products!A:F, 6, FALSE)</f>
        <v>1</v>
      </c>
    </row>
    <row r="1124" spans="1:19">
      <c r="A1124" s="102" t="s">
        <v>1609</v>
      </c>
      <c r="B1124" s="2">
        <v>45378</v>
      </c>
      <c r="C1124" s="1" t="s">
        <v>959</v>
      </c>
      <c r="D1124" s="1" t="s">
        <v>151</v>
      </c>
      <c r="E1124" s="1" t="s">
        <v>285</v>
      </c>
      <c r="F1124" s="83">
        <v>1</v>
      </c>
      <c r="G1124" s="92">
        <v>2400</v>
      </c>
      <c r="H1124" s="3">
        <v>9.6999999999999993</v>
      </c>
      <c r="I1124" s="3">
        <v>2167.1999999999998</v>
      </c>
      <c r="J1124" s="1" t="s">
        <v>87</v>
      </c>
      <c r="K1124" s="1" t="s">
        <v>112</v>
      </c>
      <c r="L1124" t="str">
        <f>VLOOKUP(D1124, Products!A:C, 3, FALSE)</f>
        <v>Sports</v>
      </c>
      <c r="M1124" t="str">
        <f>VLOOKUP(C1124, Customers!A:E, 5, FALSE)</f>
        <v>SMB</v>
      </c>
      <c r="N1124">
        <f>VLOOKUP(C1124, Customers!A:E, 3, FALSE)</f>
        <v>65</v>
      </c>
      <c r="O1124" s="93" t="str">
        <f>VLOOKUP(E1124, Sales_Reps!A:C, 3, FALSE)</f>
        <v>East</v>
      </c>
      <c r="P1124">
        <f>VLOOKUP(D1124, Products!A:E, 4, FALSE)</f>
        <v>974</v>
      </c>
      <c r="Q1124">
        <f>IF(COUNTIF($A$2:A1124, A1124)=2, 1, 0)</f>
        <v>0</v>
      </c>
      <c r="R1124">
        <f>IF(ISNA(MATCH(C1124, Customers!$A:$A, 0)), 1, 0)</f>
        <v>0</v>
      </c>
      <c r="S1124" s="94" t="b">
        <f>VLOOKUP(D1124, Products!A:F, 6, FALSE)</f>
        <v>1</v>
      </c>
    </row>
    <row r="1125" spans="1:19">
      <c r="A1125" s="102" t="s">
        <v>1610</v>
      </c>
      <c r="B1125" s="2">
        <v>45369</v>
      </c>
      <c r="C1125" s="1" t="s">
        <v>643</v>
      </c>
      <c r="D1125" s="1" t="s">
        <v>295</v>
      </c>
      <c r="E1125" s="1" t="s">
        <v>98</v>
      </c>
      <c r="F1125" s="83">
        <v>4</v>
      </c>
      <c r="G1125" s="92">
        <v>2030</v>
      </c>
      <c r="H1125" s="3">
        <v>24.8</v>
      </c>
      <c r="I1125" s="3">
        <v>6106.24</v>
      </c>
      <c r="J1125" s="1" t="s">
        <v>93</v>
      </c>
      <c r="K1125" s="1" t="s">
        <v>112</v>
      </c>
      <c r="L1125" t="str">
        <f>VLOOKUP(D1125, Products!A:C, 3, FALSE)</f>
        <v>Home</v>
      </c>
      <c r="M1125" t="str">
        <f>VLOOKUP(C1125, Customers!A:E, 5, FALSE)</f>
        <v>SMB</v>
      </c>
      <c r="N1125">
        <f>VLOOKUP(C1125, Customers!A:E, 3, FALSE)</f>
        <v>27</v>
      </c>
      <c r="O1125" s="93" t="str">
        <f>VLOOKUP(E1125, Sales_Reps!A:C, 3, FALSE)</f>
        <v>South</v>
      </c>
      <c r="P1125">
        <f>VLOOKUP(D1125, Products!A:E, 4, FALSE)</f>
        <v>1143</v>
      </c>
      <c r="Q1125">
        <f>IF(COUNTIF($A$2:A1125, A1125)=2, 1, 0)</f>
        <v>0</v>
      </c>
      <c r="R1125">
        <f>IF(ISNA(MATCH(C1125, Customers!$A:$A, 0)), 1, 0)</f>
        <v>0</v>
      </c>
      <c r="S1125" s="94" t="b">
        <f>VLOOKUP(D1125, Products!A:F, 6, FALSE)</f>
        <v>1</v>
      </c>
    </row>
    <row r="1126" spans="1:19">
      <c r="A1126" s="102" t="s">
        <v>1611</v>
      </c>
      <c r="B1126" s="2">
        <v>45513</v>
      </c>
      <c r="C1126" s="1" t="s">
        <v>178</v>
      </c>
      <c r="D1126" s="1" t="s">
        <v>351</v>
      </c>
      <c r="E1126" s="1" t="s">
        <v>297</v>
      </c>
      <c r="F1126" s="83">
        <v>5</v>
      </c>
      <c r="G1126" s="92">
        <v>4060</v>
      </c>
      <c r="H1126" s="3">
        <v>9.1</v>
      </c>
      <c r="I1126" s="3">
        <v>18452.7</v>
      </c>
      <c r="J1126" s="1" t="s">
        <v>93</v>
      </c>
      <c r="K1126" s="1" t="s">
        <v>94</v>
      </c>
      <c r="L1126" t="str">
        <f>VLOOKUP(D1126, Products!A:C, 3, FALSE)</f>
        <v>Grocery</v>
      </c>
      <c r="M1126" t="str">
        <f>VLOOKUP(C1126, Customers!A:E, 5, FALSE)</f>
        <v>Corporate</v>
      </c>
      <c r="N1126">
        <f>VLOOKUP(C1126, Customers!A:E, 3, FALSE)</f>
        <v>55</v>
      </c>
      <c r="O1126" s="93" t="str">
        <f>VLOOKUP(E1126, Sales_Reps!A:C, 3, FALSE)</f>
        <v>North</v>
      </c>
      <c r="P1126">
        <f>VLOOKUP(D1126, Products!A:E, 4, FALSE)</f>
        <v>2911</v>
      </c>
      <c r="Q1126">
        <f>IF(COUNTIF($A$2:A1126, A1126)=2, 1, 0)</f>
        <v>0</v>
      </c>
      <c r="R1126">
        <f>IF(ISNA(MATCH(C1126, Customers!$A:$A, 0)), 1, 0)</f>
        <v>0</v>
      </c>
      <c r="S1126" s="94" t="b">
        <f>VLOOKUP(D1126, Products!A:F, 6, FALSE)</f>
        <v>1</v>
      </c>
    </row>
    <row r="1127" spans="1:19">
      <c r="A1127" s="102" t="s">
        <v>1612</v>
      </c>
      <c r="B1127" s="2">
        <v>45438</v>
      </c>
      <c r="C1127" s="1" t="s">
        <v>407</v>
      </c>
      <c r="D1127" s="1" t="s">
        <v>295</v>
      </c>
      <c r="E1127" s="1" t="s">
        <v>252</v>
      </c>
      <c r="F1127" s="83">
        <v>9</v>
      </c>
      <c r="G1127" s="92">
        <v>2030</v>
      </c>
      <c r="H1127" s="3">
        <v>15.9</v>
      </c>
      <c r="I1127" s="3">
        <v>15365.07</v>
      </c>
      <c r="J1127" s="1" t="s">
        <v>93</v>
      </c>
      <c r="K1127" s="1" t="s">
        <v>88</v>
      </c>
      <c r="L1127" t="str">
        <f>VLOOKUP(D1127, Products!A:C, 3, FALSE)</f>
        <v>Home</v>
      </c>
      <c r="M1127" t="str">
        <f>VLOOKUP(C1127, Customers!A:E, 5, FALSE)</f>
        <v>SMB</v>
      </c>
      <c r="N1127">
        <f>VLOOKUP(C1127, Customers!A:E, 3, FALSE)</f>
        <v>53</v>
      </c>
      <c r="O1127" s="93" t="str">
        <f>VLOOKUP(E1127, Sales_Reps!A:C, 3, FALSE)</f>
        <v>South</v>
      </c>
      <c r="P1127">
        <f>VLOOKUP(D1127, Products!A:E, 4, FALSE)</f>
        <v>1143</v>
      </c>
      <c r="Q1127">
        <f>IF(COUNTIF($A$2:A1127, A1127)=2, 1, 0)</f>
        <v>0</v>
      </c>
      <c r="R1127">
        <f>IF(ISNA(MATCH(C1127, Customers!$A:$A, 0)), 1, 0)</f>
        <v>0</v>
      </c>
      <c r="S1127" s="94" t="b">
        <f>VLOOKUP(D1127, Products!A:F, 6, FALSE)</f>
        <v>1</v>
      </c>
    </row>
    <row r="1128" spans="1:19">
      <c r="A1128" s="102" t="s">
        <v>1613</v>
      </c>
      <c r="B1128" s="2">
        <v>45529</v>
      </c>
      <c r="C1128" s="1" t="s">
        <v>738</v>
      </c>
      <c r="D1128" s="1" t="s">
        <v>179</v>
      </c>
      <c r="E1128" s="1" t="s">
        <v>98</v>
      </c>
      <c r="F1128" s="83">
        <v>1</v>
      </c>
      <c r="G1128" s="92">
        <v>3350</v>
      </c>
      <c r="H1128" s="3">
        <v>23.2</v>
      </c>
      <c r="I1128" s="3">
        <v>2572.8000000000002</v>
      </c>
      <c r="J1128" s="1" t="s">
        <v>144</v>
      </c>
      <c r="K1128" s="1" t="s">
        <v>88</v>
      </c>
      <c r="L1128" t="str">
        <f>VLOOKUP(D1128, Products!A:C, 3, FALSE)</f>
        <v>Beauty</v>
      </c>
      <c r="M1128" t="str">
        <f>VLOOKUP(C1128, Customers!A:E, 5, FALSE)</f>
        <v>Retail</v>
      </c>
      <c r="N1128">
        <f>VLOOKUP(C1128, Customers!A:E, 3, FALSE)</f>
        <v>36</v>
      </c>
      <c r="O1128" s="93" t="str">
        <f>VLOOKUP(E1128, Sales_Reps!A:C, 3, FALSE)</f>
        <v>South</v>
      </c>
      <c r="P1128">
        <f>VLOOKUP(D1128, Products!A:E, 4, FALSE)</f>
        <v>1728</v>
      </c>
      <c r="Q1128">
        <f>IF(COUNTIF($A$2:A1128, A1128)=2, 1, 0)</f>
        <v>0</v>
      </c>
      <c r="R1128">
        <f>IF(ISNA(MATCH(C1128, Customers!$A:$A, 0)), 1, 0)</f>
        <v>0</v>
      </c>
      <c r="S1128" s="94" t="b">
        <f>VLOOKUP(D1128, Products!A:F, 6, FALSE)</f>
        <v>1</v>
      </c>
    </row>
    <row r="1129" spans="1:19">
      <c r="A1129" s="102" t="s">
        <v>1614</v>
      </c>
      <c r="B1129" s="2">
        <v>45634</v>
      </c>
      <c r="C1129" s="1" t="s">
        <v>454</v>
      </c>
      <c r="D1129" s="1" t="s">
        <v>203</v>
      </c>
      <c r="E1129" s="1" t="s">
        <v>103</v>
      </c>
      <c r="F1129" s="83">
        <v>4</v>
      </c>
      <c r="G1129" s="92">
        <v>660</v>
      </c>
      <c r="H1129" s="3">
        <v>27.1</v>
      </c>
      <c r="I1129" s="3">
        <v>1924.56</v>
      </c>
      <c r="J1129" s="1" t="s">
        <v>87</v>
      </c>
      <c r="K1129" s="1" t="s">
        <v>133</v>
      </c>
      <c r="L1129" t="str">
        <f>VLOOKUP(D1129, Products!A:C, 3, FALSE)</f>
        <v>Home</v>
      </c>
      <c r="M1129" t="str">
        <f>VLOOKUP(C1129, Customers!A:E, 5, FALSE)</f>
        <v>Corporate</v>
      </c>
      <c r="N1129">
        <f>VLOOKUP(C1129, Customers!A:E, 3, FALSE)</f>
        <v>43</v>
      </c>
      <c r="O1129" s="93" t="str">
        <f>VLOOKUP(E1129, Sales_Reps!A:C, 3, FALSE)</f>
        <v>North</v>
      </c>
      <c r="P1129">
        <f>VLOOKUP(D1129, Products!A:E, 4, FALSE)</f>
        <v>329</v>
      </c>
      <c r="Q1129">
        <f>IF(COUNTIF($A$2:A1129, A1129)=2, 1, 0)</f>
        <v>0</v>
      </c>
      <c r="R1129">
        <f>IF(ISNA(MATCH(C1129, Customers!$A:$A, 0)), 1, 0)</f>
        <v>0</v>
      </c>
      <c r="S1129" s="94" t="b">
        <f>VLOOKUP(D1129, Products!A:F, 6, FALSE)</f>
        <v>1</v>
      </c>
    </row>
    <row r="1130" spans="1:19">
      <c r="A1130" s="102" t="s">
        <v>1615</v>
      </c>
      <c r="B1130" s="2">
        <v>45441</v>
      </c>
      <c r="C1130" s="1" t="s">
        <v>261</v>
      </c>
      <c r="D1130" s="1" t="s">
        <v>276</v>
      </c>
      <c r="E1130" s="1" t="s">
        <v>98</v>
      </c>
      <c r="F1130" s="83">
        <v>3</v>
      </c>
      <c r="G1130" s="92">
        <v>3020</v>
      </c>
      <c r="H1130" s="3">
        <v>7.2</v>
      </c>
      <c r="I1130" s="3">
        <v>8407.68</v>
      </c>
      <c r="J1130" s="1" t="s">
        <v>87</v>
      </c>
      <c r="K1130" s="1" t="s">
        <v>99</v>
      </c>
      <c r="L1130" t="str">
        <f>VLOOKUP(D1130, Products!A:C, 3, FALSE)</f>
        <v>Beauty</v>
      </c>
      <c r="M1130" t="str">
        <f>VLOOKUP(C1130, Customers!A:E, 5, FALSE)</f>
        <v>Retail</v>
      </c>
      <c r="N1130">
        <f>VLOOKUP(C1130, Customers!A:E, 3, FALSE)</f>
        <v>54</v>
      </c>
      <c r="O1130" s="93" t="str">
        <f>VLOOKUP(E1130, Sales_Reps!A:C, 3, FALSE)</f>
        <v>South</v>
      </c>
      <c r="P1130">
        <f>VLOOKUP(D1130, Products!A:E, 4, FALSE)</f>
        <v>1626</v>
      </c>
      <c r="Q1130">
        <f>IF(COUNTIF($A$2:A1130, A1130)=2, 1, 0)</f>
        <v>0</v>
      </c>
      <c r="R1130">
        <f>IF(ISNA(MATCH(C1130, Customers!$A:$A, 0)), 1, 0)</f>
        <v>0</v>
      </c>
      <c r="S1130" s="94" t="b">
        <f>VLOOKUP(D1130, Products!A:F, 6, FALSE)</f>
        <v>1</v>
      </c>
    </row>
    <row r="1131" spans="1:19">
      <c r="A1131" s="102" t="s">
        <v>1616</v>
      </c>
      <c r="B1131" s="2">
        <v>45409</v>
      </c>
      <c r="C1131" s="1" t="s">
        <v>565</v>
      </c>
      <c r="D1131" s="1" t="s">
        <v>279</v>
      </c>
      <c r="E1131" s="1" t="s">
        <v>103</v>
      </c>
      <c r="F1131" s="83">
        <v>3</v>
      </c>
      <c r="G1131" s="92">
        <v>2660</v>
      </c>
      <c r="H1131" s="3">
        <v>0.2</v>
      </c>
      <c r="I1131" s="3">
        <v>7964.04</v>
      </c>
      <c r="J1131" s="1" t="s">
        <v>87</v>
      </c>
      <c r="K1131" s="1" t="s">
        <v>112</v>
      </c>
      <c r="L1131" t="str">
        <f>VLOOKUP(D1131, Products!A:C, 3, FALSE)</f>
        <v>Electronics</v>
      </c>
      <c r="M1131" t="str">
        <f>VLOOKUP(C1131, Customers!A:E, 5, FALSE)</f>
        <v>SMB</v>
      </c>
      <c r="N1131">
        <f>VLOOKUP(C1131, Customers!A:E, 3, FALSE)</f>
        <v>61</v>
      </c>
      <c r="O1131" s="93" t="str">
        <f>VLOOKUP(E1131, Sales_Reps!A:C, 3, FALSE)</f>
        <v>North</v>
      </c>
      <c r="P1131">
        <f>VLOOKUP(D1131, Products!A:E, 4, FALSE)</f>
        <v>1259</v>
      </c>
      <c r="Q1131">
        <f>IF(COUNTIF($A$2:A1131, A1131)=2, 1, 0)</f>
        <v>0</v>
      </c>
      <c r="R1131">
        <f>IF(ISNA(MATCH(C1131, Customers!$A:$A, 0)), 1, 0)</f>
        <v>0</v>
      </c>
      <c r="S1131" s="94" t="b">
        <f>VLOOKUP(D1131, Products!A:F, 6, FALSE)</f>
        <v>0</v>
      </c>
    </row>
    <row r="1132" spans="1:19">
      <c r="A1132" s="102" t="s">
        <v>1617</v>
      </c>
      <c r="B1132" s="2">
        <v>45650</v>
      </c>
      <c r="C1132" s="1" t="s">
        <v>956</v>
      </c>
      <c r="D1132" s="1" t="s">
        <v>182</v>
      </c>
      <c r="E1132" s="1" t="s">
        <v>103</v>
      </c>
      <c r="F1132" s="83">
        <v>4</v>
      </c>
      <c r="G1132" s="92">
        <v>1010</v>
      </c>
      <c r="H1132" s="3">
        <v>3.1</v>
      </c>
      <c r="I1132" s="3">
        <v>3914.76</v>
      </c>
      <c r="J1132" s="1" t="s">
        <v>87</v>
      </c>
      <c r="K1132" s="1" t="s">
        <v>112</v>
      </c>
      <c r="L1132" t="str">
        <f>VLOOKUP(D1132, Products!A:C, 3, FALSE)</f>
        <v>Sports</v>
      </c>
      <c r="M1132" t="str">
        <f>VLOOKUP(C1132, Customers!A:E, 5, FALSE)</f>
        <v>Retail</v>
      </c>
      <c r="N1132">
        <f>VLOOKUP(C1132, Customers!A:E, 3, FALSE)</f>
        <v>49</v>
      </c>
      <c r="O1132" s="93" t="str">
        <f>VLOOKUP(E1132, Sales_Reps!A:C, 3, FALSE)</f>
        <v>North</v>
      </c>
      <c r="P1132">
        <f>VLOOKUP(D1132, Products!A:E, 4, FALSE)</f>
        <v>516</v>
      </c>
      <c r="Q1132">
        <f>IF(COUNTIF($A$2:A1132, A1132)=2, 1, 0)</f>
        <v>0</v>
      </c>
      <c r="R1132">
        <f>IF(ISNA(MATCH(C1132, Customers!$A:$A, 0)), 1, 0)</f>
        <v>0</v>
      </c>
      <c r="S1132" s="94" t="b">
        <f>VLOOKUP(D1132, Products!A:F, 6, FALSE)</f>
        <v>1</v>
      </c>
    </row>
    <row r="1133" spans="1:19">
      <c r="A1133" s="102" t="s">
        <v>1618</v>
      </c>
      <c r="B1133" s="2">
        <v>45380</v>
      </c>
      <c r="C1133" s="1" t="s">
        <v>952</v>
      </c>
      <c r="D1133" s="1" t="s">
        <v>124</v>
      </c>
      <c r="E1133" s="1" t="s">
        <v>238</v>
      </c>
      <c r="F1133" s="83">
        <v>5</v>
      </c>
      <c r="G1133" s="92">
        <v>5490</v>
      </c>
      <c r="H1133" s="3">
        <v>3.6</v>
      </c>
      <c r="I1133" s="3">
        <v>26461.8</v>
      </c>
      <c r="J1133" s="1" t="s">
        <v>87</v>
      </c>
      <c r="K1133" s="1" t="s">
        <v>133</v>
      </c>
      <c r="L1133" t="str">
        <f>VLOOKUP(D1133, Products!A:C, 3, FALSE)</f>
        <v>Home</v>
      </c>
      <c r="M1133" t="str">
        <f>VLOOKUP(C1133, Customers!A:E, 5, FALSE)</f>
        <v>Retail</v>
      </c>
      <c r="N1133">
        <f>VLOOKUP(C1133, Customers!A:E, 3, FALSE)</f>
        <v>35</v>
      </c>
      <c r="O1133" s="93" t="str">
        <f>VLOOKUP(E1133, Sales_Reps!A:C, 3, FALSE)</f>
        <v>East</v>
      </c>
      <c r="P1133">
        <f>VLOOKUP(D1133, Products!A:E, 4, FALSE)</f>
        <v>2549</v>
      </c>
      <c r="Q1133">
        <f>IF(COUNTIF($A$2:A1133, A1133)=2, 1, 0)</f>
        <v>0</v>
      </c>
      <c r="R1133">
        <f>IF(ISNA(MATCH(C1133, Customers!$A:$A, 0)), 1, 0)</f>
        <v>0</v>
      </c>
      <c r="S1133" s="94" t="b">
        <f>VLOOKUP(D1133, Products!A:F, 6, FALSE)</f>
        <v>1</v>
      </c>
    </row>
    <row r="1134" spans="1:19">
      <c r="A1134" s="102" t="s">
        <v>1619</v>
      </c>
      <c r="B1134" s="2">
        <v>45322</v>
      </c>
      <c r="C1134" s="1" t="s">
        <v>160</v>
      </c>
      <c r="D1134" s="1" t="s">
        <v>151</v>
      </c>
      <c r="E1134" s="1" t="s">
        <v>121</v>
      </c>
      <c r="F1134" s="83">
        <v>1</v>
      </c>
      <c r="G1134" s="92">
        <v>2400</v>
      </c>
      <c r="H1134" s="3">
        <v>24.3</v>
      </c>
      <c r="I1134" s="3">
        <v>1816.8</v>
      </c>
      <c r="J1134" s="1" t="s">
        <v>87</v>
      </c>
      <c r="K1134" s="1" t="s">
        <v>112</v>
      </c>
      <c r="L1134" t="str">
        <f>VLOOKUP(D1134, Products!A:C, 3, FALSE)</f>
        <v>Sports</v>
      </c>
      <c r="M1134" t="str">
        <f>VLOOKUP(C1134, Customers!A:E, 5, FALSE)</f>
        <v>Retail</v>
      </c>
      <c r="N1134">
        <f>VLOOKUP(C1134, Customers!A:E, 3, FALSE)</f>
        <v>54</v>
      </c>
      <c r="O1134" s="93" t="str">
        <f>VLOOKUP(E1134, Sales_Reps!A:C, 3, FALSE)</f>
        <v>East</v>
      </c>
      <c r="P1134">
        <f>VLOOKUP(D1134, Products!A:E, 4, FALSE)</f>
        <v>974</v>
      </c>
      <c r="Q1134">
        <f>IF(COUNTIF($A$2:A1134, A1134)=2, 1, 0)</f>
        <v>0</v>
      </c>
      <c r="R1134">
        <f>IF(ISNA(MATCH(C1134, Customers!$A:$A, 0)), 1, 0)</f>
        <v>0</v>
      </c>
      <c r="S1134" s="94" t="b">
        <f>VLOOKUP(D1134, Products!A:F, 6, FALSE)</f>
        <v>1</v>
      </c>
    </row>
    <row r="1135" spans="1:19">
      <c r="A1135" s="102" t="s">
        <v>1620</v>
      </c>
      <c r="B1135" s="2">
        <v>45532</v>
      </c>
      <c r="C1135" s="1" t="s">
        <v>359</v>
      </c>
      <c r="D1135" s="1" t="s">
        <v>203</v>
      </c>
      <c r="E1135" s="1" t="s">
        <v>204</v>
      </c>
      <c r="F1135" s="83">
        <v>8</v>
      </c>
      <c r="G1135" s="92">
        <v>660</v>
      </c>
      <c r="H1135" s="3">
        <v>19.8</v>
      </c>
      <c r="I1135" s="3">
        <v>4234.5600000000004</v>
      </c>
      <c r="J1135" s="1" t="s">
        <v>87</v>
      </c>
      <c r="K1135" s="1" t="s">
        <v>99</v>
      </c>
      <c r="L1135" t="str">
        <f>VLOOKUP(D1135, Products!A:C, 3, FALSE)</f>
        <v>Home</v>
      </c>
      <c r="M1135" t="str">
        <f>VLOOKUP(C1135, Customers!A:E, 5, FALSE)</f>
        <v>SMB</v>
      </c>
      <c r="N1135">
        <f>VLOOKUP(C1135, Customers!A:E, 3, FALSE)</f>
        <v>28</v>
      </c>
      <c r="O1135" s="93" t="str">
        <f>VLOOKUP(E1135, Sales_Reps!A:C, 3, FALSE)</f>
        <v>South</v>
      </c>
      <c r="P1135">
        <f>VLOOKUP(D1135, Products!A:E, 4, FALSE)</f>
        <v>329</v>
      </c>
      <c r="Q1135">
        <f>IF(COUNTIF($A$2:A1135, A1135)=2, 1, 0)</f>
        <v>0</v>
      </c>
      <c r="R1135">
        <f>IF(ISNA(MATCH(C1135, Customers!$A:$A, 0)), 1, 0)</f>
        <v>0</v>
      </c>
      <c r="S1135" s="94" t="b">
        <f>VLOOKUP(D1135, Products!A:F, 6, FALSE)</f>
        <v>1</v>
      </c>
    </row>
    <row r="1136" spans="1:19">
      <c r="A1136" s="102" t="s">
        <v>1621</v>
      </c>
      <c r="B1136" s="2">
        <v>45504</v>
      </c>
      <c r="C1136" s="1" t="s">
        <v>1294</v>
      </c>
      <c r="D1136" s="1" t="s">
        <v>364</v>
      </c>
      <c r="E1136" s="1" t="s">
        <v>346</v>
      </c>
      <c r="F1136" s="83">
        <v>9</v>
      </c>
      <c r="G1136" s="92">
        <v>5330</v>
      </c>
      <c r="H1136" s="3">
        <v>16.5</v>
      </c>
      <c r="I1136" s="3">
        <v>40054.949999999997</v>
      </c>
      <c r="J1136" s="1" t="s">
        <v>87</v>
      </c>
      <c r="K1136" s="1" t="s">
        <v>94</v>
      </c>
      <c r="L1136" t="str">
        <f>VLOOKUP(D1136, Products!A:C, 3, FALSE)</f>
        <v>Electronics</v>
      </c>
      <c r="M1136" t="str">
        <f>VLOOKUP(C1136, Customers!A:E, 5, FALSE)</f>
        <v>SMB</v>
      </c>
      <c r="N1136">
        <f>VLOOKUP(C1136, Customers!A:E, 3, FALSE)</f>
        <v>43</v>
      </c>
      <c r="O1136" s="93" t="str">
        <f>VLOOKUP(E1136, Sales_Reps!A:C, 3, FALSE)</f>
        <v>South</v>
      </c>
      <c r="P1136">
        <f>VLOOKUP(D1136, Products!A:E, 4, FALSE)</f>
        <v>2405</v>
      </c>
      <c r="Q1136">
        <f>IF(COUNTIF($A$2:A1136, A1136)=2, 1, 0)</f>
        <v>0</v>
      </c>
      <c r="R1136">
        <f>IF(ISNA(MATCH(C1136, Customers!$A:$A, 0)), 1, 0)</f>
        <v>0</v>
      </c>
      <c r="S1136" s="94" t="b">
        <f>VLOOKUP(D1136, Products!A:F, 6, FALSE)</f>
        <v>1</v>
      </c>
    </row>
    <row r="1137" spans="1:19">
      <c r="A1137" s="102" t="s">
        <v>1290</v>
      </c>
      <c r="B1137" s="2">
        <v>45516</v>
      </c>
      <c r="C1137" s="1" t="s">
        <v>589</v>
      </c>
      <c r="D1137" s="1" t="s">
        <v>138</v>
      </c>
      <c r="E1137" s="1" t="s">
        <v>86</v>
      </c>
      <c r="F1137" s="83">
        <v>5</v>
      </c>
      <c r="G1137" s="92">
        <v>2600</v>
      </c>
      <c r="H1137" s="3">
        <v>0.3</v>
      </c>
      <c r="I1137" s="3">
        <v>12961</v>
      </c>
      <c r="J1137" s="1" t="s">
        <v>87</v>
      </c>
      <c r="K1137" s="1" t="s">
        <v>94</v>
      </c>
      <c r="L1137" t="str">
        <f>VLOOKUP(D1137, Products!A:C, 3, FALSE)</f>
        <v>Electronics</v>
      </c>
      <c r="M1137" t="str">
        <f>VLOOKUP(C1137, Customers!A:E, 5, FALSE)</f>
        <v>Corporate</v>
      </c>
      <c r="N1137">
        <f>VLOOKUP(C1137, Customers!A:E, 3, FALSE)</f>
        <v>30</v>
      </c>
      <c r="O1137" s="93" t="str">
        <f>VLOOKUP(E1137, Sales_Reps!A:C, 3, FALSE)</f>
        <v>North</v>
      </c>
      <c r="P1137">
        <f>VLOOKUP(D1137, Products!A:E, 4, FALSE)</f>
        <v>1052</v>
      </c>
      <c r="Q1137">
        <f>IF(COUNTIF($A$2:A1137, A1137)=2, 1, 0)</f>
        <v>1</v>
      </c>
      <c r="R1137">
        <f>IF(ISNA(MATCH(C1137, Customers!$A:$A, 0)), 1, 0)</f>
        <v>0</v>
      </c>
      <c r="S1137" s="94" t="b">
        <f>VLOOKUP(D1137, Products!A:F, 6, FALSE)</f>
        <v>1</v>
      </c>
    </row>
    <row r="1138" spans="1:19">
      <c r="A1138" s="102" t="s">
        <v>1622</v>
      </c>
      <c r="B1138" s="2">
        <v>45462</v>
      </c>
      <c r="C1138" s="1" t="s">
        <v>1623</v>
      </c>
      <c r="D1138" s="1" t="s">
        <v>443</v>
      </c>
      <c r="E1138" s="1" t="s">
        <v>303</v>
      </c>
      <c r="F1138" s="83">
        <v>4</v>
      </c>
      <c r="G1138" s="92">
        <v>5080</v>
      </c>
      <c r="H1138" s="3">
        <v>13.8</v>
      </c>
      <c r="I1138" s="3">
        <v>17515.84</v>
      </c>
      <c r="J1138" s="1" t="s">
        <v>93</v>
      </c>
      <c r="K1138" s="1" t="s">
        <v>117</v>
      </c>
      <c r="L1138" t="str">
        <f>VLOOKUP(D1138, Products!A:C, 3, FALSE)</f>
        <v>Home</v>
      </c>
      <c r="M1138" t="str">
        <f>VLOOKUP(C1138, Customers!A:E, 5, FALSE)</f>
        <v>Retail</v>
      </c>
      <c r="N1138">
        <f>VLOOKUP(C1138, Customers!A:E, 3, FALSE)</f>
        <v>53</v>
      </c>
      <c r="O1138" s="93" t="str">
        <f>VLOOKUP(E1138, Sales_Reps!A:C, 3, FALSE)</f>
        <v>East</v>
      </c>
      <c r="P1138">
        <f>VLOOKUP(D1138, Products!A:E, 4, FALSE)</f>
        <v>2459</v>
      </c>
      <c r="Q1138">
        <f>IF(COUNTIF($A$2:A1138, A1138)=2, 1, 0)</f>
        <v>0</v>
      </c>
      <c r="R1138">
        <f>IF(ISNA(MATCH(C1138, Customers!$A:$A, 0)), 1, 0)</f>
        <v>0</v>
      </c>
      <c r="S1138" s="94" t="b">
        <f>VLOOKUP(D1138, Products!A:F, 6, FALSE)</f>
        <v>1</v>
      </c>
    </row>
    <row r="1139" spans="1:19">
      <c r="A1139" s="102" t="s">
        <v>1624</v>
      </c>
      <c r="B1139" s="2">
        <v>45597</v>
      </c>
      <c r="C1139" s="1" t="s">
        <v>1250</v>
      </c>
      <c r="D1139" s="1" t="s">
        <v>367</v>
      </c>
      <c r="E1139" s="1" t="s">
        <v>297</v>
      </c>
      <c r="F1139" s="83">
        <v>7</v>
      </c>
      <c r="G1139" s="92">
        <v>2380</v>
      </c>
      <c r="H1139" s="3">
        <v>15.5</v>
      </c>
      <c r="I1139" s="3">
        <v>14077.7</v>
      </c>
      <c r="J1139" s="1" t="s">
        <v>87</v>
      </c>
      <c r="K1139" s="1" t="s">
        <v>88</v>
      </c>
      <c r="L1139" t="str">
        <f>VLOOKUP(D1139, Products!A:C, 3, FALSE)</f>
        <v>Grocery</v>
      </c>
      <c r="M1139" t="str">
        <f>VLOOKUP(C1139, Customers!A:E, 5, FALSE)</f>
        <v>Retail</v>
      </c>
      <c r="N1139">
        <f>VLOOKUP(C1139, Customers!A:E, 3, FALSE)</f>
        <v>44</v>
      </c>
      <c r="O1139" s="93" t="str">
        <f>VLOOKUP(E1139, Sales_Reps!A:C, 3, FALSE)</f>
        <v>North</v>
      </c>
      <c r="P1139">
        <f>VLOOKUP(D1139, Products!A:E, 4, FALSE)</f>
        <v>1182</v>
      </c>
      <c r="Q1139">
        <f>IF(COUNTIF($A$2:A1139, A1139)=2, 1, 0)</f>
        <v>0</v>
      </c>
      <c r="R1139">
        <f>IF(ISNA(MATCH(C1139, Customers!$A:$A, 0)), 1, 0)</f>
        <v>0</v>
      </c>
      <c r="S1139" s="94" t="b">
        <f>VLOOKUP(D1139, Products!A:F, 6, FALSE)</f>
        <v>1</v>
      </c>
    </row>
    <row r="1140" spans="1:19">
      <c r="A1140" s="102" t="s">
        <v>1625</v>
      </c>
      <c r="B1140" s="2">
        <v>45648</v>
      </c>
      <c r="C1140" s="1" t="s">
        <v>247</v>
      </c>
      <c r="D1140" s="1" t="s">
        <v>184</v>
      </c>
      <c r="E1140" s="1" t="s">
        <v>103</v>
      </c>
      <c r="F1140" s="83">
        <v>3</v>
      </c>
      <c r="G1140" s="92">
        <v>4880</v>
      </c>
      <c r="H1140" s="3">
        <v>6.1</v>
      </c>
      <c r="I1140" s="3">
        <v>13746.96</v>
      </c>
      <c r="J1140" s="1" t="s">
        <v>87</v>
      </c>
      <c r="K1140" s="1" t="s">
        <v>117</v>
      </c>
      <c r="L1140" t="str">
        <f>VLOOKUP(D1140, Products!A:C, 3, FALSE)</f>
        <v>Beauty</v>
      </c>
      <c r="M1140" t="str">
        <f>VLOOKUP(C1140, Customers!A:E, 5, FALSE)</f>
        <v>Retail</v>
      </c>
      <c r="N1140">
        <f>VLOOKUP(C1140, Customers!A:E, 3, FALSE)</f>
        <v>34</v>
      </c>
      <c r="O1140" s="93" t="str">
        <f>VLOOKUP(E1140, Sales_Reps!A:C, 3, FALSE)</f>
        <v>North</v>
      </c>
      <c r="P1140">
        <f>VLOOKUP(D1140, Products!A:E, 4, FALSE)</f>
        <v>2768</v>
      </c>
      <c r="Q1140">
        <f>IF(COUNTIF($A$2:A1140, A1140)=2, 1, 0)</f>
        <v>0</v>
      </c>
      <c r="R1140">
        <f>IF(ISNA(MATCH(C1140, Customers!$A:$A, 0)), 1, 0)</f>
        <v>0</v>
      </c>
      <c r="S1140" s="94" t="b">
        <f>VLOOKUP(D1140, Products!A:F, 6, FALSE)</f>
        <v>1</v>
      </c>
    </row>
    <row r="1141" spans="1:19">
      <c r="A1141" s="102" t="s">
        <v>1626</v>
      </c>
      <c r="B1141" s="2">
        <v>45355</v>
      </c>
      <c r="C1141" s="1" t="s">
        <v>764</v>
      </c>
      <c r="D1141" s="1" t="s">
        <v>179</v>
      </c>
      <c r="E1141" s="1" t="s">
        <v>204</v>
      </c>
      <c r="F1141" s="83">
        <v>2</v>
      </c>
      <c r="G1141" s="92">
        <v>3350</v>
      </c>
      <c r="H1141" s="3">
        <v>17.2</v>
      </c>
      <c r="I1141" s="3">
        <v>5547.6</v>
      </c>
      <c r="J1141" s="1" t="s">
        <v>87</v>
      </c>
      <c r="K1141" s="1" t="s">
        <v>94</v>
      </c>
      <c r="L1141" t="str">
        <f>VLOOKUP(D1141, Products!A:C, 3, FALSE)</f>
        <v>Beauty</v>
      </c>
      <c r="M1141" t="str">
        <f>VLOOKUP(C1141, Customers!A:E, 5, FALSE)</f>
        <v>SMB</v>
      </c>
      <c r="N1141">
        <f>VLOOKUP(C1141, Customers!A:E, 3, FALSE)</f>
        <v>26</v>
      </c>
      <c r="O1141" s="93" t="str">
        <f>VLOOKUP(E1141, Sales_Reps!A:C, 3, FALSE)</f>
        <v>South</v>
      </c>
      <c r="P1141">
        <f>VLOOKUP(D1141, Products!A:E, 4, FALSE)</f>
        <v>1728</v>
      </c>
      <c r="Q1141">
        <f>IF(COUNTIF($A$2:A1141, A1141)=2, 1, 0)</f>
        <v>0</v>
      </c>
      <c r="R1141">
        <f>IF(ISNA(MATCH(C1141, Customers!$A:$A, 0)), 1, 0)</f>
        <v>0</v>
      </c>
      <c r="S1141" s="94" t="b">
        <f>VLOOKUP(D1141, Products!A:F, 6, FALSE)</f>
        <v>1</v>
      </c>
    </row>
    <row r="1142" spans="1:19">
      <c r="A1142" s="102" t="s">
        <v>1627</v>
      </c>
      <c r="B1142" s="2">
        <v>45331</v>
      </c>
      <c r="C1142" s="1" t="s">
        <v>1628</v>
      </c>
      <c r="D1142" s="1" t="s">
        <v>127</v>
      </c>
      <c r="E1142" s="1" t="s">
        <v>116</v>
      </c>
      <c r="F1142" s="83">
        <v>5</v>
      </c>
      <c r="G1142" s="92">
        <v>970</v>
      </c>
      <c r="H1142" s="3">
        <v>23.6</v>
      </c>
      <c r="I1142" s="3">
        <v>3705.4</v>
      </c>
      <c r="J1142" s="1" t="s">
        <v>87</v>
      </c>
      <c r="K1142" s="1" t="s">
        <v>94</v>
      </c>
      <c r="L1142" t="str">
        <f>VLOOKUP(D1142, Products!A:C, 3, FALSE)</f>
        <v>Grocery</v>
      </c>
      <c r="M1142" t="str">
        <f>VLOOKUP(C1142, Customers!A:E, 5, FALSE)</f>
        <v>Retail</v>
      </c>
      <c r="N1142">
        <f>VLOOKUP(C1142, Customers!A:E, 3, FALSE)</f>
        <v>35</v>
      </c>
      <c r="O1142" s="93" t="str">
        <f>VLOOKUP(E1142, Sales_Reps!A:C, 3, FALSE)</f>
        <v>West</v>
      </c>
      <c r="P1142">
        <f>VLOOKUP(D1142, Products!A:E, 4, FALSE)</f>
        <v>434</v>
      </c>
      <c r="Q1142">
        <f>IF(COUNTIF($A$2:A1142, A1142)=2, 1, 0)</f>
        <v>0</v>
      </c>
      <c r="R1142">
        <f>IF(ISNA(MATCH(C1142, Customers!$A:$A, 0)), 1, 0)</f>
        <v>0</v>
      </c>
      <c r="S1142" s="94" t="b">
        <f>VLOOKUP(D1142, Products!A:F, 6, FALSE)</f>
        <v>1</v>
      </c>
    </row>
    <row r="1143" spans="1:19">
      <c r="A1143" s="102" t="s">
        <v>1629</v>
      </c>
      <c r="B1143" s="2">
        <v>45632</v>
      </c>
      <c r="C1143" s="1" t="s">
        <v>318</v>
      </c>
      <c r="D1143" s="1" t="s">
        <v>282</v>
      </c>
      <c r="E1143" s="1" t="s">
        <v>285</v>
      </c>
      <c r="F1143" s="83">
        <v>5</v>
      </c>
      <c r="G1143" s="92">
        <v>300</v>
      </c>
      <c r="H1143" s="3">
        <v>3.8</v>
      </c>
      <c r="I1143" s="3">
        <v>1443</v>
      </c>
      <c r="J1143" s="1" t="s">
        <v>87</v>
      </c>
      <c r="K1143" s="1" t="s">
        <v>94</v>
      </c>
      <c r="L1143" t="str">
        <f>VLOOKUP(D1143, Products!A:C, 3, FALSE)</f>
        <v>Electronics</v>
      </c>
      <c r="M1143" t="str">
        <f>VLOOKUP(C1143, Customers!A:E, 5, FALSE)</f>
        <v>SMB</v>
      </c>
      <c r="N1143">
        <f>VLOOKUP(C1143, Customers!A:E, 3, FALSE)</f>
        <v>57</v>
      </c>
      <c r="O1143" s="93" t="str">
        <f>VLOOKUP(E1143, Sales_Reps!A:C, 3, FALSE)</f>
        <v>East</v>
      </c>
      <c r="P1143">
        <f>VLOOKUP(D1143, Products!A:E, 4, FALSE)</f>
        <v>128</v>
      </c>
      <c r="Q1143">
        <f>IF(COUNTIF($A$2:A1143, A1143)=2, 1, 0)</f>
        <v>0</v>
      </c>
      <c r="R1143">
        <f>IF(ISNA(MATCH(C1143, Customers!$A:$A, 0)), 1, 0)</f>
        <v>0</v>
      </c>
      <c r="S1143" s="94" t="b">
        <f>VLOOKUP(D1143, Products!A:F, 6, FALSE)</f>
        <v>1</v>
      </c>
    </row>
    <row r="1144" spans="1:19">
      <c r="A1144" s="102" t="s">
        <v>1630</v>
      </c>
      <c r="B1144" s="2">
        <v>45358</v>
      </c>
      <c r="C1144" s="1" t="s">
        <v>559</v>
      </c>
      <c r="D1144" s="1" t="s">
        <v>408</v>
      </c>
      <c r="E1144" s="1" t="s">
        <v>92</v>
      </c>
      <c r="F1144" s="83">
        <v>9</v>
      </c>
      <c r="G1144" s="92">
        <v>3970</v>
      </c>
      <c r="H1144" s="3">
        <v>0.8</v>
      </c>
      <c r="I1144" s="3">
        <v>35444.160000000003</v>
      </c>
      <c r="J1144" s="1" t="s">
        <v>87</v>
      </c>
      <c r="K1144" s="1" t="s">
        <v>88</v>
      </c>
      <c r="L1144" t="str">
        <f>VLOOKUP(D1144, Products!A:C, 3, FALSE)</f>
        <v>Electronics</v>
      </c>
      <c r="M1144" t="str">
        <f>VLOOKUP(C1144, Customers!A:E, 5, FALSE)</f>
        <v>Retail</v>
      </c>
      <c r="N1144">
        <f>VLOOKUP(C1144, Customers!A:E, 3, FALSE)</f>
        <v>62</v>
      </c>
      <c r="O1144" s="93" t="str">
        <f>VLOOKUP(E1144, Sales_Reps!A:C, 3, FALSE)</f>
        <v>North</v>
      </c>
      <c r="P1144">
        <f>VLOOKUP(D1144, Products!A:E, 4, FALSE)</f>
        <v>2865</v>
      </c>
      <c r="Q1144">
        <f>IF(COUNTIF($A$2:A1144, A1144)=2, 1, 0)</f>
        <v>0</v>
      </c>
      <c r="R1144">
        <f>IF(ISNA(MATCH(C1144, Customers!$A:$A, 0)), 1, 0)</f>
        <v>0</v>
      </c>
      <c r="S1144" s="94" t="b">
        <f>VLOOKUP(D1144, Products!A:F, 6, FALSE)</f>
        <v>1</v>
      </c>
    </row>
    <row r="1145" spans="1:19">
      <c r="A1145" s="102" t="s">
        <v>1631</v>
      </c>
      <c r="B1145" s="2">
        <v>45440</v>
      </c>
      <c r="C1145" s="1" t="s">
        <v>1121</v>
      </c>
      <c r="D1145" s="1" t="s">
        <v>173</v>
      </c>
      <c r="E1145" s="1" t="s">
        <v>252</v>
      </c>
      <c r="F1145" s="83">
        <v>4</v>
      </c>
      <c r="G1145" s="92">
        <v>2720</v>
      </c>
      <c r="H1145" s="3">
        <v>12.7</v>
      </c>
      <c r="I1145" s="3">
        <v>9498.24</v>
      </c>
      <c r="J1145" s="1" t="s">
        <v>87</v>
      </c>
      <c r="K1145" s="1" t="s">
        <v>112</v>
      </c>
      <c r="L1145" t="str">
        <f>VLOOKUP(D1145, Products!A:C, 3, FALSE)</f>
        <v>Apparel</v>
      </c>
      <c r="M1145" t="str">
        <f>VLOOKUP(C1145, Customers!A:E, 5, FALSE)</f>
        <v>Corporate</v>
      </c>
      <c r="N1145">
        <f>VLOOKUP(C1145, Customers!A:E, 3, FALSE)</f>
        <v>46</v>
      </c>
      <c r="O1145" s="93" t="str">
        <f>VLOOKUP(E1145, Sales_Reps!A:C, 3, FALSE)</f>
        <v>South</v>
      </c>
      <c r="P1145">
        <f>VLOOKUP(D1145, Products!A:E, 4, FALSE)</f>
        <v>1962</v>
      </c>
      <c r="Q1145">
        <f>IF(COUNTIF($A$2:A1145, A1145)=2, 1, 0)</f>
        <v>0</v>
      </c>
      <c r="R1145">
        <f>IF(ISNA(MATCH(C1145, Customers!$A:$A, 0)), 1, 0)</f>
        <v>0</v>
      </c>
      <c r="S1145" s="94" t="b">
        <f>VLOOKUP(D1145, Products!A:F, 6, FALSE)</f>
        <v>1</v>
      </c>
    </row>
    <row r="1146" spans="1:19">
      <c r="A1146" s="102" t="s">
        <v>1632</v>
      </c>
      <c r="B1146" s="2">
        <v>45412</v>
      </c>
      <c r="C1146" s="1" t="s">
        <v>275</v>
      </c>
      <c r="D1146" s="1" t="s">
        <v>292</v>
      </c>
      <c r="E1146" s="1" t="s">
        <v>158</v>
      </c>
      <c r="F1146" s="83">
        <v>3</v>
      </c>
      <c r="G1146" s="92">
        <v>620</v>
      </c>
      <c r="H1146" s="3">
        <v>5.5</v>
      </c>
      <c r="I1146" s="3">
        <v>1757.7</v>
      </c>
      <c r="J1146" s="1" t="s">
        <v>87</v>
      </c>
      <c r="K1146" s="1" t="s">
        <v>88</v>
      </c>
      <c r="L1146" t="str">
        <f>VLOOKUP(D1146, Products!A:C, 3, FALSE)</f>
        <v>Apparel</v>
      </c>
      <c r="M1146" t="str">
        <f>VLOOKUP(C1146, Customers!A:E, 5, FALSE)</f>
        <v>Retail</v>
      </c>
      <c r="N1146">
        <f>VLOOKUP(C1146, Customers!A:E, 3, FALSE)</f>
        <v>44</v>
      </c>
      <c r="O1146" s="93" t="str">
        <f>VLOOKUP(E1146, Sales_Reps!A:C, 3, FALSE)</f>
        <v>East</v>
      </c>
      <c r="P1146">
        <f>VLOOKUP(D1146, Products!A:E, 4, FALSE)</f>
        <v>396</v>
      </c>
      <c r="Q1146">
        <f>IF(COUNTIF($A$2:A1146, A1146)=2, 1, 0)</f>
        <v>0</v>
      </c>
      <c r="R1146">
        <f>IF(ISNA(MATCH(C1146, Customers!$A:$A, 0)), 1, 0)</f>
        <v>0</v>
      </c>
      <c r="S1146" s="94" t="b">
        <f>VLOOKUP(D1146, Products!A:F, 6, FALSE)</f>
        <v>1</v>
      </c>
    </row>
    <row r="1147" spans="1:19">
      <c r="A1147" s="102" t="s">
        <v>1633</v>
      </c>
      <c r="B1147" s="2">
        <v>45479</v>
      </c>
      <c r="C1147" s="1" t="s">
        <v>178</v>
      </c>
      <c r="D1147" s="1" t="s">
        <v>259</v>
      </c>
      <c r="E1147" s="1" t="s">
        <v>116</v>
      </c>
      <c r="F1147" s="83">
        <v>2</v>
      </c>
      <c r="G1147" s="92">
        <v>1540</v>
      </c>
      <c r="H1147" s="3">
        <v>2.2000000000000002</v>
      </c>
      <c r="I1147" s="3">
        <v>3012.24</v>
      </c>
      <c r="J1147" s="1" t="s">
        <v>93</v>
      </c>
      <c r="K1147" s="1" t="s">
        <v>94</v>
      </c>
      <c r="L1147" t="str">
        <f>VLOOKUP(D1147, Products!A:C, 3, FALSE)</f>
        <v>Beauty</v>
      </c>
      <c r="M1147" t="str">
        <f>VLOOKUP(C1147, Customers!A:E, 5, FALSE)</f>
        <v>Corporate</v>
      </c>
      <c r="N1147">
        <f>VLOOKUP(C1147, Customers!A:E, 3, FALSE)</f>
        <v>55</v>
      </c>
      <c r="O1147" s="93" t="str">
        <f>VLOOKUP(E1147, Sales_Reps!A:C, 3, FALSE)</f>
        <v>West</v>
      </c>
      <c r="P1147">
        <f>VLOOKUP(D1147, Products!A:E, 4, FALSE)</f>
        <v>647</v>
      </c>
      <c r="Q1147">
        <f>IF(COUNTIF($A$2:A1147, A1147)=2, 1, 0)</f>
        <v>0</v>
      </c>
      <c r="R1147">
        <f>IF(ISNA(MATCH(C1147, Customers!$A:$A, 0)), 1, 0)</f>
        <v>0</v>
      </c>
      <c r="S1147" s="94" t="b">
        <f>VLOOKUP(D1147, Products!A:F, 6, FALSE)</f>
        <v>0</v>
      </c>
    </row>
    <row r="1148" spans="1:19">
      <c r="A1148" s="102" t="s">
        <v>1634</v>
      </c>
      <c r="B1148" s="2">
        <v>45534</v>
      </c>
      <c r="C1148" s="1" t="s">
        <v>312</v>
      </c>
      <c r="D1148" s="1" t="s">
        <v>386</v>
      </c>
      <c r="E1148" s="1" t="s">
        <v>201</v>
      </c>
      <c r="F1148" s="83">
        <v>1</v>
      </c>
      <c r="G1148" s="92">
        <v>2290</v>
      </c>
      <c r="H1148" s="3">
        <v>24.4</v>
      </c>
      <c r="I1148" s="3">
        <v>1731.24</v>
      </c>
      <c r="J1148" s="1" t="s">
        <v>140</v>
      </c>
      <c r="K1148" s="1" t="s">
        <v>133</v>
      </c>
      <c r="L1148" t="str">
        <f>VLOOKUP(D1148, Products!A:C, 3, FALSE)</f>
        <v>Beauty</v>
      </c>
      <c r="M1148" t="str">
        <f>VLOOKUP(C1148, Customers!A:E, 5, FALSE)</f>
        <v>Retail</v>
      </c>
      <c r="N1148">
        <f>VLOOKUP(C1148, Customers!A:E, 3, FALSE)</f>
        <v>46</v>
      </c>
      <c r="O1148" s="93" t="str">
        <f>VLOOKUP(E1148, Sales_Reps!A:C, 3, FALSE)</f>
        <v>West</v>
      </c>
      <c r="P1148">
        <f>VLOOKUP(D1148, Products!A:E, 4, FALSE)</f>
        <v>1219</v>
      </c>
      <c r="Q1148">
        <f>IF(COUNTIF($A$2:A1148, A1148)=2, 1, 0)</f>
        <v>0</v>
      </c>
      <c r="R1148">
        <f>IF(ISNA(MATCH(C1148, Customers!$A:$A, 0)), 1, 0)</f>
        <v>0</v>
      </c>
      <c r="S1148" s="94" t="b">
        <f>VLOOKUP(D1148, Products!A:F, 6, FALSE)</f>
        <v>1</v>
      </c>
    </row>
    <row r="1149" spans="1:19">
      <c r="A1149" s="102" t="s">
        <v>1635</v>
      </c>
      <c r="B1149" s="2">
        <v>45313</v>
      </c>
      <c r="C1149" s="1" t="s">
        <v>725</v>
      </c>
      <c r="D1149" s="1" t="s">
        <v>173</v>
      </c>
      <c r="E1149" s="1" t="s">
        <v>303</v>
      </c>
      <c r="F1149" s="83">
        <v>8</v>
      </c>
      <c r="G1149" s="92">
        <v>2720</v>
      </c>
      <c r="H1149" s="3">
        <v>1.7</v>
      </c>
      <c r="I1149" s="3">
        <v>21390.080000000002</v>
      </c>
      <c r="J1149" s="1" t="s">
        <v>87</v>
      </c>
      <c r="K1149" s="1" t="s">
        <v>99</v>
      </c>
      <c r="L1149" t="str">
        <f>VLOOKUP(D1149, Products!A:C, 3, FALSE)</f>
        <v>Apparel</v>
      </c>
      <c r="M1149" t="str">
        <f>VLOOKUP(C1149, Customers!A:E, 5, FALSE)</f>
        <v>SMB</v>
      </c>
      <c r="N1149">
        <f>VLOOKUP(C1149, Customers!A:E, 3, FALSE)</f>
        <v>26</v>
      </c>
      <c r="O1149" s="93" t="str">
        <f>VLOOKUP(E1149, Sales_Reps!A:C, 3, FALSE)</f>
        <v>East</v>
      </c>
      <c r="P1149">
        <f>VLOOKUP(D1149, Products!A:E, 4, FALSE)</f>
        <v>1962</v>
      </c>
      <c r="Q1149">
        <f>IF(COUNTIF($A$2:A1149, A1149)=2, 1, 0)</f>
        <v>0</v>
      </c>
      <c r="R1149">
        <f>IF(ISNA(MATCH(C1149, Customers!$A:$A, 0)), 1, 0)</f>
        <v>0</v>
      </c>
      <c r="S1149" s="94" t="b">
        <f>VLOOKUP(D1149, Products!A:F, 6, FALSE)</f>
        <v>1</v>
      </c>
    </row>
    <row r="1150" spans="1:19">
      <c r="A1150" s="102" t="s">
        <v>1636</v>
      </c>
      <c r="B1150" s="2">
        <v>45390</v>
      </c>
      <c r="C1150" s="1" t="s">
        <v>1534</v>
      </c>
      <c r="D1150" s="1" t="s">
        <v>351</v>
      </c>
      <c r="E1150" s="1" t="s">
        <v>154</v>
      </c>
      <c r="F1150" s="83">
        <v>4</v>
      </c>
      <c r="G1150" s="92">
        <v>4060</v>
      </c>
      <c r="H1150" s="3">
        <v>19.600000000000001</v>
      </c>
      <c r="I1150" s="3">
        <v>13056.96</v>
      </c>
      <c r="J1150" s="1" t="s">
        <v>140</v>
      </c>
      <c r="K1150" s="1" t="s">
        <v>133</v>
      </c>
      <c r="L1150" t="str">
        <f>VLOOKUP(D1150, Products!A:C, 3, FALSE)</f>
        <v>Grocery</v>
      </c>
      <c r="M1150" t="str">
        <f>VLOOKUP(C1150, Customers!A:E, 5, FALSE)</f>
        <v>Corporate</v>
      </c>
      <c r="N1150">
        <f>VLOOKUP(C1150, Customers!A:E, 3, FALSE)</f>
        <v>25</v>
      </c>
      <c r="O1150" s="93" t="str">
        <f>VLOOKUP(E1150, Sales_Reps!A:C, 3, FALSE)</f>
        <v>East</v>
      </c>
      <c r="P1150">
        <f>VLOOKUP(D1150, Products!A:E, 4, FALSE)</f>
        <v>2911</v>
      </c>
      <c r="Q1150">
        <f>IF(COUNTIF($A$2:A1150, A1150)=2, 1, 0)</f>
        <v>0</v>
      </c>
      <c r="R1150">
        <f>IF(ISNA(MATCH(C1150, Customers!$A:$A, 0)), 1, 0)</f>
        <v>0</v>
      </c>
      <c r="S1150" s="94" t="b">
        <f>VLOOKUP(D1150, Products!A:F, 6, FALSE)</f>
        <v>1</v>
      </c>
    </row>
    <row r="1151" spans="1:19">
      <c r="A1151" s="102" t="s">
        <v>1637</v>
      </c>
      <c r="B1151" s="2">
        <v>45370</v>
      </c>
      <c r="C1151" s="1" t="s">
        <v>342</v>
      </c>
      <c r="D1151" s="1" t="s">
        <v>187</v>
      </c>
      <c r="E1151" s="1" t="s">
        <v>346</v>
      </c>
      <c r="F1151" s="83">
        <v>8</v>
      </c>
      <c r="G1151" s="92">
        <v>3570</v>
      </c>
      <c r="H1151" s="3">
        <v>10.8</v>
      </c>
      <c r="I1151" s="3">
        <v>25475.52</v>
      </c>
      <c r="J1151" s="1" t="s">
        <v>87</v>
      </c>
      <c r="K1151" s="1" t="s">
        <v>94</v>
      </c>
      <c r="L1151" t="str">
        <f>VLOOKUP(D1151, Products!A:C, 3, FALSE)</f>
        <v>Electronics</v>
      </c>
      <c r="M1151" t="str">
        <f>VLOOKUP(C1151, Customers!A:E, 5, FALSE)</f>
        <v>Retail</v>
      </c>
      <c r="N1151">
        <f>VLOOKUP(C1151, Customers!A:E, 3, FALSE)</f>
        <v>26</v>
      </c>
      <c r="O1151" s="93" t="str">
        <f>VLOOKUP(E1151, Sales_Reps!A:C, 3, FALSE)</f>
        <v>South</v>
      </c>
      <c r="P1151">
        <f>VLOOKUP(D1151, Products!A:E, 4, FALSE)</f>
        <v>1665</v>
      </c>
      <c r="Q1151">
        <f>IF(COUNTIF($A$2:A1151, A1151)=2, 1, 0)</f>
        <v>0</v>
      </c>
      <c r="R1151">
        <f>IF(ISNA(MATCH(C1151, Customers!$A:$A, 0)), 1, 0)</f>
        <v>0</v>
      </c>
      <c r="S1151" s="94" t="b">
        <f>VLOOKUP(D1151, Products!A:F, 6, FALSE)</f>
        <v>1</v>
      </c>
    </row>
    <row r="1152" spans="1:19">
      <c r="A1152" s="102" t="s">
        <v>1638</v>
      </c>
      <c r="B1152" s="2">
        <v>45324</v>
      </c>
      <c r="C1152" s="1" t="s">
        <v>429</v>
      </c>
      <c r="D1152" s="1" t="s">
        <v>161</v>
      </c>
      <c r="E1152" s="1" t="s">
        <v>139</v>
      </c>
      <c r="F1152" s="83">
        <v>10</v>
      </c>
      <c r="G1152" s="92">
        <v>3450</v>
      </c>
      <c r="H1152" s="3">
        <v>13.5</v>
      </c>
      <c r="I1152" s="3">
        <v>29842.5</v>
      </c>
      <c r="J1152" s="1" t="s">
        <v>93</v>
      </c>
      <c r="K1152" s="1" t="s">
        <v>117</v>
      </c>
      <c r="L1152" t="str">
        <f>VLOOKUP(D1152, Products!A:C, 3, FALSE)</f>
        <v>Sports</v>
      </c>
      <c r="M1152" t="str">
        <f>VLOOKUP(C1152, Customers!A:E, 5, FALSE)</f>
        <v>Retail</v>
      </c>
      <c r="N1152">
        <f>VLOOKUP(C1152, Customers!A:E, 3, FALSE)</f>
        <v>55</v>
      </c>
      <c r="O1152" s="93" t="str">
        <f>VLOOKUP(E1152, Sales_Reps!A:C, 3, FALSE)</f>
        <v>North</v>
      </c>
      <c r="P1152">
        <f>VLOOKUP(D1152, Products!A:E, 4, FALSE)</f>
        <v>2467</v>
      </c>
      <c r="Q1152">
        <f>IF(COUNTIF($A$2:A1152, A1152)=2, 1, 0)</f>
        <v>0</v>
      </c>
      <c r="R1152">
        <f>IF(ISNA(MATCH(C1152, Customers!$A:$A, 0)), 1, 0)</f>
        <v>0</v>
      </c>
      <c r="S1152" s="94" t="b">
        <f>VLOOKUP(D1152, Products!A:F, 6, FALSE)</f>
        <v>1</v>
      </c>
    </row>
    <row r="1153" spans="1:19">
      <c r="A1153" s="102" t="s">
        <v>1639</v>
      </c>
      <c r="B1153" s="2">
        <v>45469</v>
      </c>
      <c r="C1153" s="1" t="s">
        <v>420</v>
      </c>
      <c r="D1153" s="1" t="s">
        <v>135</v>
      </c>
      <c r="E1153" s="1" t="s">
        <v>86</v>
      </c>
      <c r="F1153" s="83">
        <v>10</v>
      </c>
      <c r="G1153" s="92">
        <v>2640</v>
      </c>
      <c r="H1153" s="3">
        <v>29.8</v>
      </c>
      <c r="I1153" s="3">
        <v>18532.8</v>
      </c>
      <c r="J1153" s="1" t="s">
        <v>87</v>
      </c>
      <c r="K1153" s="1" t="s">
        <v>99</v>
      </c>
      <c r="L1153" t="str">
        <f>VLOOKUP(D1153, Products!A:C, 3, FALSE)</f>
        <v>Electronics</v>
      </c>
      <c r="M1153" t="str">
        <f>VLOOKUP(C1153, Customers!A:E, 5, FALSE)</f>
        <v>Retail</v>
      </c>
      <c r="N1153">
        <f>VLOOKUP(C1153, Customers!A:E, 3, FALSE)</f>
        <v>44</v>
      </c>
      <c r="O1153" s="93" t="str">
        <f>VLOOKUP(E1153, Sales_Reps!A:C, 3, FALSE)</f>
        <v>North</v>
      </c>
      <c r="P1153">
        <f>VLOOKUP(D1153, Products!A:E, 4, FALSE)</f>
        <v>1149</v>
      </c>
      <c r="Q1153">
        <f>IF(COUNTIF($A$2:A1153, A1153)=2, 1, 0)</f>
        <v>0</v>
      </c>
      <c r="R1153">
        <f>IF(ISNA(MATCH(C1153, Customers!$A:$A, 0)), 1, 0)</f>
        <v>0</v>
      </c>
      <c r="S1153" s="94" t="b">
        <f>VLOOKUP(D1153, Products!A:F, 6, FALSE)</f>
        <v>1</v>
      </c>
    </row>
    <row r="1154" spans="1:19">
      <c r="A1154" s="102" t="s">
        <v>1640</v>
      </c>
      <c r="B1154" s="2">
        <v>45619</v>
      </c>
      <c r="C1154" s="1" t="s">
        <v>254</v>
      </c>
      <c r="D1154" s="1" t="s">
        <v>110</v>
      </c>
      <c r="E1154" s="1" t="s">
        <v>204</v>
      </c>
      <c r="F1154" s="83">
        <v>3</v>
      </c>
      <c r="G1154" s="92">
        <v>370</v>
      </c>
      <c r="H1154" s="3">
        <v>25.5</v>
      </c>
      <c r="I1154" s="3">
        <v>826.95</v>
      </c>
      <c r="J1154" s="1" t="s">
        <v>87</v>
      </c>
      <c r="K1154" s="1" t="s">
        <v>94</v>
      </c>
      <c r="L1154" t="str">
        <f>VLOOKUP(D1154, Products!A:C, 3, FALSE)</f>
        <v>Home</v>
      </c>
      <c r="M1154" t="str">
        <f>VLOOKUP(C1154, Customers!A:E, 5, FALSE)</f>
        <v>Retail</v>
      </c>
      <c r="N1154">
        <f>VLOOKUP(C1154, Customers!A:E, 3, FALSE)</f>
        <v>24</v>
      </c>
      <c r="O1154" s="93" t="str">
        <f>VLOOKUP(E1154, Sales_Reps!A:C, 3, FALSE)</f>
        <v>South</v>
      </c>
      <c r="P1154">
        <f>VLOOKUP(D1154, Products!A:E, 4, FALSE)</f>
        <v>288</v>
      </c>
      <c r="Q1154">
        <f>IF(COUNTIF($A$2:A1154, A1154)=2, 1, 0)</f>
        <v>0</v>
      </c>
      <c r="R1154">
        <f>IF(ISNA(MATCH(C1154, Customers!$A:$A, 0)), 1, 0)</f>
        <v>0</v>
      </c>
      <c r="S1154" s="94" t="b">
        <f>VLOOKUP(D1154, Products!A:F, 6, FALSE)</f>
        <v>1</v>
      </c>
    </row>
    <row r="1155" spans="1:19">
      <c r="A1155" s="102" t="s">
        <v>1641</v>
      </c>
      <c r="B1155" s="2">
        <v>45627</v>
      </c>
      <c r="C1155" s="1" t="s">
        <v>504</v>
      </c>
      <c r="D1155" s="1" t="s">
        <v>267</v>
      </c>
      <c r="E1155" s="1" t="s">
        <v>170</v>
      </c>
      <c r="F1155" s="83">
        <v>3</v>
      </c>
      <c r="G1155" s="92">
        <v>1220</v>
      </c>
      <c r="H1155" s="3">
        <v>7.7</v>
      </c>
      <c r="I1155" s="3">
        <v>3378.18</v>
      </c>
      <c r="J1155" s="1" t="s">
        <v>93</v>
      </c>
      <c r="K1155" s="1" t="s">
        <v>117</v>
      </c>
      <c r="L1155" t="str">
        <f>VLOOKUP(D1155, Products!A:C, 3, FALSE)</f>
        <v>Electronics</v>
      </c>
      <c r="M1155" t="str">
        <f>VLOOKUP(C1155, Customers!A:E, 5, FALSE)</f>
        <v>Corporate</v>
      </c>
      <c r="N1155">
        <f>VLOOKUP(C1155, Customers!A:E, 3, FALSE)</f>
        <v>36</v>
      </c>
      <c r="O1155" s="93" t="str">
        <f>VLOOKUP(E1155, Sales_Reps!A:C, 3, FALSE)</f>
        <v>West</v>
      </c>
      <c r="P1155">
        <f>VLOOKUP(D1155, Products!A:E, 4, FALSE)</f>
        <v>517</v>
      </c>
      <c r="Q1155">
        <f>IF(COUNTIF($A$2:A1155, A1155)=2, 1, 0)</f>
        <v>0</v>
      </c>
      <c r="R1155">
        <f>IF(ISNA(MATCH(C1155, Customers!$A:$A, 0)), 1, 0)</f>
        <v>0</v>
      </c>
      <c r="S1155" s="94" t="b">
        <f>VLOOKUP(D1155, Products!A:F, 6, FALSE)</f>
        <v>1</v>
      </c>
    </row>
    <row r="1156" spans="1:19">
      <c r="A1156" s="102" t="s">
        <v>1642</v>
      </c>
      <c r="B1156" s="2">
        <v>45499</v>
      </c>
      <c r="C1156" s="1" t="s">
        <v>457</v>
      </c>
      <c r="D1156" s="1" t="s">
        <v>135</v>
      </c>
      <c r="E1156" s="1" t="s">
        <v>285</v>
      </c>
      <c r="F1156" s="83">
        <v>1</v>
      </c>
      <c r="G1156" s="92">
        <v>2640</v>
      </c>
      <c r="H1156" s="3">
        <v>23.6</v>
      </c>
      <c r="I1156" s="3">
        <v>2016.96</v>
      </c>
      <c r="J1156" s="1" t="s">
        <v>87</v>
      </c>
      <c r="K1156" s="1" t="s">
        <v>88</v>
      </c>
      <c r="L1156" t="str">
        <f>VLOOKUP(D1156, Products!A:C, 3, FALSE)</f>
        <v>Electronics</v>
      </c>
      <c r="M1156" t="str">
        <f>VLOOKUP(C1156, Customers!A:E, 5, FALSE)</f>
        <v>Retail</v>
      </c>
      <c r="N1156">
        <f>VLOOKUP(C1156, Customers!A:E, 3, FALSE)</f>
        <v>29</v>
      </c>
      <c r="O1156" s="93" t="str">
        <f>VLOOKUP(E1156, Sales_Reps!A:C, 3, FALSE)</f>
        <v>East</v>
      </c>
      <c r="P1156">
        <f>VLOOKUP(D1156, Products!A:E, 4, FALSE)</f>
        <v>1149</v>
      </c>
      <c r="Q1156">
        <f>IF(COUNTIF($A$2:A1156, A1156)=2, 1, 0)</f>
        <v>0</v>
      </c>
      <c r="R1156">
        <f>IF(ISNA(MATCH(C1156, Customers!$A:$A, 0)), 1, 0)</f>
        <v>0</v>
      </c>
      <c r="S1156" s="94" t="b">
        <f>VLOOKUP(D1156, Products!A:F, 6, FALSE)</f>
        <v>1</v>
      </c>
    </row>
    <row r="1157" spans="1:19">
      <c r="A1157" s="102" t="s">
        <v>1643</v>
      </c>
      <c r="B1157" s="2">
        <v>45563</v>
      </c>
      <c r="C1157" s="1" t="s">
        <v>109</v>
      </c>
      <c r="D1157" s="1" t="s">
        <v>191</v>
      </c>
      <c r="E1157" s="1" t="s">
        <v>273</v>
      </c>
      <c r="F1157" s="83">
        <v>9</v>
      </c>
      <c r="G1157" s="92">
        <v>5100</v>
      </c>
      <c r="H1157" s="3">
        <v>9.5</v>
      </c>
      <c r="I1157" s="3">
        <v>41539.5</v>
      </c>
      <c r="J1157" s="1" t="s">
        <v>87</v>
      </c>
      <c r="K1157" s="1" t="s">
        <v>112</v>
      </c>
      <c r="L1157" t="str">
        <f>VLOOKUP(D1157, Products!A:C, 3, FALSE)</f>
        <v>Beauty</v>
      </c>
      <c r="M1157" t="str">
        <f>VLOOKUP(C1157, Customers!A:E, 5, FALSE)</f>
        <v>Retail</v>
      </c>
      <c r="N1157">
        <f>VLOOKUP(C1157, Customers!A:E, 3, FALSE)</f>
        <v>36</v>
      </c>
      <c r="O1157" s="93" t="str">
        <f>VLOOKUP(E1157, Sales_Reps!A:C, 3, FALSE)</f>
        <v>South</v>
      </c>
      <c r="P1157">
        <f>VLOOKUP(D1157, Products!A:E, 4, FALSE)</f>
        <v>2237</v>
      </c>
      <c r="Q1157">
        <f>IF(COUNTIF($A$2:A1157, A1157)=2, 1, 0)</f>
        <v>0</v>
      </c>
      <c r="R1157">
        <f>IF(ISNA(MATCH(C1157, Customers!$A:$A, 0)), 1, 0)</f>
        <v>0</v>
      </c>
      <c r="S1157" s="94" t="b">
        <f>VLOOKUP(D1157, Products!A:F, 6, FALSE)</f>
        <v>1</v>
      </c>
    </row>
    <row r="1158" spans="1:19">
      <c r="A1158" s="102" t="s">
        <v>1644</v>
      </c>
      <c r="B1158" s="2">
        <v>45435</v>
      </c>
      <c r="C1158" s="1" t="s">
        <v>764</v>
      </c>
      <c r="D1158" s="1" t="s">
        <v>241</v>
      </c>
      <c r="E1158" s="1" t="s">
        <v>107</v>
      </c>
      <c r="F1158" s="83">
        <v>7</v>
      </c>
      <c r="G1158" s="92">
        <v>6080</v>
      </c>
      <c r="H1158" s="3">
        <v>17.5</v>
      </c>
      <c r="I1158" s="3">
        <v>35112</v>
      </c>
      <c r="J1158" s="1" t="s">
        <v>87</v>
      </c>
      <c r="K1158" s="1" t="s">
        <v>94</v>
      </c>
      <c r="L1158" t="str">
        <f>VLOOKUP(D1158, Products!A:C, 3, FALSE)</f>
        <v>Beauty</v>
      </c>
      <c r="M1158" t="str">
        <f>VLOOKUP(C1158, Customers!A:E, 5, FALSE)</f>
        <v>SMB</v>
      </c>
      <c r="N1158">
        <f>VLOOKUP(C1158, Customers!A:E, 3, FALSE)</f>
        <v>26</v>
      </c>
      <c r="O1158" s="93" t="str">
        <f>VLOOKUP(E1158, Sales_Reps!A:C, 3, FALSE)</f>
        <v>North</v>
      </c>
      <c r="P1158">
        <f>VLOOKUP(D1158, Products!A:E, 4, FALSE)</f>
        <v>2617</v>
      </c>
      <c r="Q1158">
        <f>IF(COUNTIF($A$2:A1158, A1158)=2, 1, 0)</f>
        <v>0</v>
      </c>
      <c r="R1158">
        <f>IF(ISNA(MATCH(C1158, Customers!$A:$A, 0)), 1, 0)</f>
        <v>0</v>
      </c>
      <c r="S1158" s="94" t="b">
        <f>VLOOKUP(D1158, Products!A:F, 6, FALSE)</f>
        <v>1</v>
      </c>
    </row>
    <row r="1159" spans="1:19">
      <c r="A1159" s="102" t="s">
        <v>1645</v>
      </c>
      <c r="B1159" s="2">
        <v>45602</v>
      </c>
      <c r="C1159" s="1" t="s">
        <v>487</v>
      </c>
      <c r="D1159" s="1" t="s">
        <v>282</v>
      </c>
      <c r="E1159" s="1" t="s">
        <v>201</v>
      </c>
      <c r="F1159" s="83">
        <v>1</v>
      </c>
      <c r="G1159" s="92">
        <v>300</v>
      </c>
      <c r="H1159" s="3">
        <v>26.9</v>
      </c>
      <c r="I1159" s="3">
        <v>219.3</v>
      </c>
      <c r="J1159" s="1" t="s">
        <v>87</v>
      </c>
      <c r="K1159" s="1" t="s">
        <v>88</v>
      </c>
      <c r="L1159" t="str">
        <f>VLOOKUP(D1159, Products!A:C, 3, FALSE)</f>
        <v>Electronics</v>
      </c>
      <c r="M1159" t="str">
        <f>VLOOKUP(C1159, Customers!A:E, 5, FALSE)</f>
        <v>Corporate</v>
      </c>
      <c r="N1159">
        <f>VLOOKUP(C1159, Customers!A:E, 3, FALSE)</f>
        <v>29</v>
      </c>
      <c r="O1159" s="93" t="str">
        <f>VLOOKUP(E1159, Sales_Reps!A:C, 3, FALSE)</f>
        <v>West</v>
      </c>
      <c r="P1159">
        <f>VLOOKUP(D1159, Products!A:E, 4, FALSE)</f>
        <v>128</v>
      </c>
      <c r="Q1159">
        <f>IF(COUNTIF($A$2:A1159, A1159)=2, 1, 0)</f>
        <v>0</v>
      </c>
      <c r="R1159">
        <f>IF(ISNA(MATCH(C1159, Customers!$A:$A, 0)), 1, 0)</f>
        <v>0</v>
      </c>
      <c r="S1159" s="94" t="b">
        <f>VLOOKUP(D1159, Products!A:F, 6, FALSE)</f>
        <v>1</v>
      </c>
    </row>
    <row r="1160" spans="1:19">
      <c r="A1160" s="102" t="s">
        <v>1646</v>
      </c>
      <c r="B1160" s="2">
        <v>45650</v>
      </c>
      <c r="C1160" s="1" t="s">
        <v>388</v>
      </c>
      <c r="D1160" s="1" t="s">
        <v>276</v>
      </c>
      <c r="E1160" s="1" t="s">
        <v>192</v>
      </c>
      <c r="F1160" s="83">
        <v>6</v>
      </c>
      <c r="G1160" s="92">
        <v>3020</v>
      </c>
      <c r="H1160" s="3">
        <v>28.5</v>
      </c>
      <c r="I1160" s="3">
        <v>12955.8</v>
      </c>
      <c r="J1160" s="1" t="s">
        <v>87</v>
      </c>
      <c r="K1160" s="1" t="s">
        <v>133</v>
      </c>
      <c r="L1160" t="str">
        <f>VLOOKUP(D1160, Products!A:C, 3, FALSE)</f>
        <v>Beauty</v>
      </c>
      <c r="M1160" t="str">
        <f>VLOOKUP(C1160, Customers!A:E, 5, FALSE)</f>
        <v>Retail</v>
      </c>
      <c r="N1160">
        <f>VLOOKUP(C1160, Customers!A:E, 3, FALSE)</f>
        <v>44</v>
      </c>
      <c r="O1160" s="93" t="str">
        <f>VLOOKUP(E1160, Sales_Reps!A:C, 3, FALSE)</f>
        <v>East</v>
      </c>
      <c r="P1160">
        <f>VLOOKUP(D1160, Products!A:E, 4, FALSE)</f>
        <v>1626</v>
      </c>
      <c r="Q1160">
        <f>IF(COUNTIF($A$2:A1160, A1160)=2, 1, 0)</f>
        <v>0</v>
      </c>
      <c r="R1160">
        <f>IF(ISNA(MATCH(C1160, Customers!$A:$A, 0)), 1, 0)</f>
        <v>0</v>
      </c>
      <c r="S1160" s="94" t="b">
        <f>VLOOKUP(D1160, Products!A:F, 6, FALSE)</f>
        <v>1</v>
      </c>
    </row>
    <row r="1161" spans="1:19">
      <c r="A1161" s="102" t="s">
        <v>1647</v>
      </c>
      <c r="B1161" s="2">
        <v>45294</v>
      </c>
      <c r="C1161" s="1" t="s">
        <v>219</v>
      </c>
      <c r="D1161" s="1" t="s">
        <v>282</v>
      </c>
      <c r="E1161" s="1" t="s">
        <v>303</v>
      </c>
      <c r="F1161" s="83">
        <v>8</v>
      </c>
      <c r="G1161" s="92">
        <v>300</v>
      </c>
      <c r="H1161" s="3">
        <v>1.2</v>
      </c>
      <c r="I1161" s="3">
        <v>2371.1999999999998</v>
      </c>
      <c r="J1161" s="1" t="s">
        <v>87</v>
      </c>
      <c r="K1161" s="1" t="s">
        <v>99</v>
      </c>
      <c r="L1161" t="str">
        <f>VLOOKUP(D1161, Products!A:C, 3, FALSE)</f>
        <v>Electronics</v>
      </c>
      <c r="M1161" t="str">
        <f>VLOOKUP(C1161, Customers!A:E, 5, FALSE)</f>
        <v>SMB</v>
      </c>
      <c r="N1161">
        <f>VLOOKUP(C1161, Customers!A:E, 3, FALSE)</f>
        <v>50</v>
      </c>
      <c r="O1161" s="93" t="str">
        <f>VLOOKUP(E1161, Sales_Reps!A:C, 3, FALSE)</f>
        <v>East</v>
      </c>
      <c r="P1161">
        <f>VLOOKUP(D1161, Products!A:E, 4, FALSE)</f>
        <v>128</v>
      </c>
      <c r="Q1161">
        <f>IF(COUNTIF($A$2:A1161, A1161)=2, 1, 0)</f>
        <v>0</v>
      </c>
      <c r="R1161">
        <f>IF(ISNA(MATCH(C1161, Customers!$A:$A, 0)), 1, 0)</f>
        <v>0</v>
      </c>
      <c r="S1161" s="94" t="b">
        <f>VLOOKUP(D1161, Products!A:F, 6, FALSE)</f>
        <v>1</v>
      </c>
    </row>
    <row r="1162" spans="1:19">
      <c r="A1162" s="102" t="s">
        <v>1648</v>
      </c>
      <c r="B1162" s="2">
        <v>45523</v>
      </c>
      <c r="C1162" s="1" t="s">
        <v>837</v>
      </c>
      <c r="D1162" s="1" t="s">
        <v>179</v>
      </c>
      <c r="E1162" s="1" t="s">
        <v>273</v>
      </c>
      <c r="F1162" s="83">
        <v>9</v>
      </c>
      <c r="G1162" s="92">
        <v>3350</v>
      </c>
      <c r="H1162" s="3">
        <v>0.6</v>
      </c>
      <c r="I1162" s="3">
        <v>29969.1</v>
      </c>
      <c r="J1162" s="1" t="s">
        <v>144</v>
      </c>
      <c r="K1162" s="1" t="s">
        <v>117</v>
      </c>
      <c r="L1162" t="str">
        <f>VLOOKUP(D1162, Products!A:C, 3, FALSE)</f>
        <v>Beauty</v>
      </c>
      <c r="M1162" t="str">
        <f>VLOOKUP(C1162, Customers!A:E, 5, FALSE)</f>
        <v>Retail</v>
      </c>
      <c r="N1162">
        <f>VLOOKUP(C1162, Customers!A:E, 3, FALSE)</f>
        <v>37</v>
      </c>
      <c r="O1162" s="93" t="str">
        <f>VLOOKUP(E1162, Sales_Reps!A:C, 3, FALSE)</f>
        <v>South</v>
      </c>
      <c r="P1162">
        <f>VLOOKUP(D1162, Products!A:E, 4, FALSE)</f>
        <v>1728</v>
      </c>
      <c r="Q1162">
        <f>IF(COUNTIF($A$2:A1162, A1162)=2, 1, 0)</f>
        <v>0</v>
      </c>
      <c r="R1162">
        <f>IF(ISNA(MATCH(C1162, Customers!$A:$A, 0)), 1, 0)</f>
        <v>0</v>
      </c>
      <c r="S1162" s="94" t="b">
        <f>VLOOKUP(D1162, Products!A:F, 6, FALSE)</f>
        <v>1</v>
      </c>
    </row>
    <row r="1163" spans="1:19">
      <c r="A1163" s="102" t="s">
        <v>1649</v>
      </c>
      <c r="B1163" s="2">
        <v>45479</v>
      </c>
      <c r="C1163" s="1" t="s">
        <v>1003</v>
      </c>
      <c r="D1163" s="1" t="s">
        <v>264</v>
      </c>
      <c r="E1163" s="1" t="s">
        <v>116</v>
      </c>
      <c r="F1163" s="83">
        <v>4</v>
      </c>
      <c r="G1163" s="92">
        <v>4070</v>
      </c>
      <c r="H1163" s="3">
        <v>10.1</v>
      </c>
      <c r="I1163" s="3">
        <v>14635.72</v>
      </c>
      <c r="J1163" s="1" t="s">
        <v>87</v>
      </c>
      <c r="K1163" s="1" t="s">
        <v>99</v>
      </c>
      <c r="L1163" t="str">
        <f>VLOOKUP(D1163, Products!A:C, 3, FALSE)</f>
        <v>Grocery</v>
      </c>
      <c r="M1163" t="str">
        <f>VLOOKUP(C1163, Customers!A:E, 5, FALSE)</f>
        <v>SMB</v>
      </c>
      <c r="N1163">
        <f>VLOOKUP(C1163, Customers!A:E, 3, FALSE)</f>
        <v>45</v>
      </c>
      <c r="O1163" s="93" t="str">
        <f>VLOOKUP(E1163, Sales_Reps!A:C, 3, FALSE)</f>
        <v>West</v>
      </c>
      <c r="P1163">
        <f>VLOOKUP(D1163, Products!A:E, 4, FALSE)</f>
        <v>2027</v>
      </c>
      <c r="Q1163">
        <f>IF(COUNTIF($A$2:A1163, A1163)=2, 1, 0)</f>
        <v>0</v>
      </c>
      <c r="R1163">
        <f>IF(ISNA(MATCH(C1163, Customers!$A:$A, 0)), 1, 0)</f>
        <v>0</v>
      </c>
      <c r="S1163" s="94" t="b">
        <f>VLOOKUP(D1163, Products!A:F, 6, FALSE)</f>
        <v>1</v>
      </c>
    </row>
    <row r="1164" spans="1:19">
      <c r="A1164" s="102" t="s">
        <v>1650</v>
      </c>
      <c r="B1164" s="2">
        <v>45614</v>
      </c>
      <c r="C1164" s="1" t="s">
        <v>1308</v>
      </c>
      <c r="D1164" s="1" t="s">
        <v>461</v>
      </c>
      <c r="E1164" s="1" t="s">
        <v>116</v>
      </c>
      <c r="F1164" s="83">
        <v>9</v>
      </c>
      <c r="G1164" s="92">
        <v>3780</v>
      </c>
      <c r="H1164" s="3">
        <v>27.8</v>
      </c>
      <c r="I1164" s="3">
        <v>24562.44</v>
      </c>
      <c r="J1164" s="1" t="s">
        <v>140</v>
      </c>
      <c r="K1164" s="1" t="s">
        <v>94</v>
      </c>
      <c r="L1164" t="str">
        <f>VLOOKUP(D1164, Products!A:C, 3, FALSE)</f>
        <v>Sports</v>
      </c>
      <c r="M1164" t="str">
        <f>VLOOKUP(C1164, Customers!A:E, 5, FALSE)</f>
        <v>SMB</v>
      </c>
      <c r="N1164">
        <f>VLOOKUP(C1164, Customers!A:E, 3, FALSE)</f>
        <v>51</v>
      </c>
      <c r="O1164" s="93" t="str">
        <f>VLOOKUP(E1164, Sales_Reps!A:C, 3, FALSE)</f>
        <v>West</v>
      </c>
      <c r="P1164">
        <f>VLOOKUP(D1164, Products!A:E, 4, FALSE)</f>
        <v>1860</v>
      </c>
      <c r="Q1164">
        <f>IF(COUNTIF($A$2:A1164, A1164)=2, 1, 0)</f>
        <v>0</v>
      </c>
      <c r="R1164">
        <f>IF(ISNA(MATCH(C1164, Customers!$A:$A, 0)), 1, 0)</f>
        <v>0</v>
      </c>
      <c r="S1164" s="94" t="b">
        <f>VLOOKUP(D1164, Products!A:F, 6, FALSE)</f>
        <v>1</v>
      </c>
    </row>
    <row r="1165" spans="1:19">
      <c r="A1165" s="102" t="s">
        <v>1651</v>
      </c>
      <c r="B1165" s="2">
        <v>45407</v>
      </c>
      <c r="C1165" s="1" t="s">
        <v>194</v>
      </c>
      <c r="D1165" s="1" t="s">
        <v>164</v>
      </c>
      <c r="E1165" s="1" t="s">
        <v>170</v>
      </c>
      <c r="F1165" s="83">
        <v>6</v>
      </c>
      <c r="G1165" s="92">
        <v>1080</v>
      </c>
      <c r="H1165" s="3">
        <v>17.5</v>
      </c>
      <c r="I1165" s="3">
        <v>5346</v>
      </c>
      <c r="J1165" s="1" t="s">
        <v>87</v>
      </c>
      <c r="K1165" s="1" t="s">
        <v>88</v>
      </c>
      <c r="L1165" t="str">
        <f>VLOOKUP(D1165, Products!A:C, 3, FALSE)</f>
        <v>Home</v>
      </c>
      <c r="M1165" t="str">
        <f>VLOOKUP(C1165, Customers!A:E, 5, FALSE)</f>
        <v>SMB</v>
      </c>
      <c r="N1165">
        <f>VLOOKUP(C1165, Customers!A:E, 3, FALSE)</f>
        <v>44</v>
      </c>
      <c r="O1165" s="93" t="str">
        <f>VLOOKUP(E1165, Sales_Reps!A:C, 3, FALSE)</f>
        <v>West</v>
      </c>
      <c r="P1165">
        <f>VLOOKUP(D1165, Products!A:E, 4, FALSE)</f>
        <v>519</v>
      </c>
      <c r="Q1165">
        <f>IF(COUNTIF($A$2:A1165, A1165)=2, 1, 0)</f>
        <v>0</v>
      </c>
      <c r="R1165">
        <f>IF(ISNA(MATCH(C1165, Customers!$A:$A, 0)), 1, 0)</f>
        <v>0</v>
      </c>
      <c r="S1165" s="94" t="b">
        <f>VLOOKUP(D1165, Products!A:F, 6, FALSE)</f>
        <v>1</v>
      </c>
    </row>
    <row r="1166" spans="1:19">
      <c r="A1166" s="102" t="s">
        <v>1652</v>
      </c>
      <c r="B1166" s="2">
        <v>45603</v>
      </c>
      <c r="C1166" s="1" t="s">
        <v>429</v>
      </c>
      <c r="D1166" s="1" t="s">
        <v>138</v>
      </c>
      <c r="E1166" s="1" t="s">
        <v>154</v>
      </c>
      <c r="F1166" s="83">
        <v>3</v>
      </c>
      <c r="G1166" s="92">
        <v>2600</v>
      </c>
      <c r="H1166" s="3">
        <v>1.9</v>
      </c>
      <c r="I1166" s="3">
        <v>7651.8</v>
      </c>
      <c r="J1166" s="1" t="s">
        <v>87</v>
      </c>
      <c r="K1166" s="1" t="s">
        <v>117</v>
      </c>
      <c r="L1166" t="str">
        <f>VLOOKUP(D1166, Products!A:C, 3, FALSE)</f>
        <v>Electronics</v>
      </c>
      <c r="M1166" t="str">
        <f>VLOOKUP(C1166, Customers!A:E, 5, FALSE)</f>
        <v>Retail</v>
      </c>
      <c r="N1166">
        <f>VLOOKUP(C1166, Customers!A:E, 3, FALSE)</f>
        <v>55</v>
      </c>
      <c r="O1166" s="93" t="str">
        <f>VLOOKUP(E1166, Sales_Reps!A:C, 3, FALSE)</f>
        <v>East</v>
      </c>
      <c r="P1166">
        <f>VLOOKUP(D1166, Products!A:E, 4, FALSE)</f>
        <v>1052</v>
      </c>
      <c r="Q1166">
        <f>IF(COUNTIF($A$2:A1166, A1166)=2, 1, 0)</f>
        <v>0</v>
      </c>
      <c r="R1166">
        <f>IF(ISNA(MATCH(C1166, Customers!$A:$A, 0)), 1, 0)</f>
        <v>0</v>
      </c>
      <c r="S1166" s="94" t="b">
        <f>VLOOKUP(D1166, Products!A:F, 6, FALSE)</f>
        <v>1</v>
      </c>
    </row>
    <row r="1167" spans="1:19">
      <c r="A1167" s="102" t="s">
        <v>1653</v>
      </c>
      <c r="B1167" s="2">
        <v>45375</v>
      </c>
      <c r="C1167" s="1" t="s">
        <v>797</v>
      </c>
      <c r="D1167" s="1" t="s">
        <v>173</v>
      </c>
      <c r="E1167" s="1" t="s">
        <v>107</v>
      </c>
      <c r="F1167" s="83">
        <v>5</v>
      </c>
      <c r="G1167" s="92">
        <v>2720</v>
      </c>
      <c r="H1167" s="3">
        <v>1.8</v>
      </c>
      <c r="I1167" s="3">
        <v>13355.2</v>
      </c>
      <c r="J1167" s="1" t="s">
        <v>140</v>
      </c>
      <c r="K1167" s="1" t="s">
        <v>99</v>
      </c>
      <c r="L1167" t="str">
        <f>VLOOKUP(D1167, Products!A:C, 3, FALSE)</f>
        <v>Apparel</v>
      </c>
      <c r="M1167" t="str">
        <f>VLOOKUP(C1167, Customers!A:E, 5, FALSE)</f>
        <v>Retail</v>
      </c>
      <c r="N1167">
        <f>VLOOKUP(C1167, Customers!A:E, 3, FALSE)</f>
        <v>63</v>
      </c>
      <c r="O1167" s="93" t="str">
        <f>VLOOKUP(E1167, Sales_Reps!A:C, 3, FALSE)</f>
        <v>North</v>
      </c>
      <c r="P1167">
        <f>VLOOKUP(D1167, Products!A:E, 4, FALSE)</f>
        <v>1962</v>
      </c>
      <c r="Q1167">
        <f>IF(COUNTIF($A$2:A1167, A1167)=2, 1, 0)</f>
        <v>0</v>
      </c>
      <c r="R1167">
        <f>IF(ISNA(MATCH(C1167, Customers!$A:$A, 0)), 1, 0)</f>
        <v>0</v>
      </c>
      <c r="S1167" s="94" t="b">
        <f>VLOOKUP(D1167, Products!A:F, 6, FALSE)</f>
        <v>1</v>
      </c>
    </row>
    <row r="1168" spans="1:19">
      <c r="A1168" s="102" t="s">
        <v>1654</v>
      </c>
      <c r="B1168" s="2">
        <v>45485</v>
      </c>
      <c r="C1168" s="1" t="s">
        <v>378</v>
      </c>
      <c r="D1168" s="1" t="s">
        <v>102</v>
      </c>
      <c r="E1168" s="1" t="s">
        <v>325</v>
      </c>
      <c r="F1168" s="83">
        <v>8</v>
      </c>
      <c r="G1168" s="92">
        <v>3660</v>
      </c>
      <c r="H1168" s="3">
        <v>29.5</v>
      </c>
      <c r="I1168" s="3">
        <v>20642.400000000001</v>
      </c>
      <c r="J1168" s="1" t="s">
        <v>87</v>
      </c>
      <c r="K1168" s="1" t="s">
        <v>94</v>
      </c>
      <c r="L1168" t="str">
        <f>VLOOKUP(D1168, Products!A:C, 3, FALSE)</f>
        <v>Grocery</v>
      </c>
      <c r="M1168" t="str">
        <f>VLOOKUP(C1168, Customers!A:E, 5, FALSE)</f>
        <v>SMB</v>
      </c>
      <c r="N1168">
        <f>VLOOKUP(C1168, Customers!A:E, 3, FALSE)</f>
        <v>53</v>
      </c>
      <c r="O1168" s="93" t="str">
        <f>VLOOKUP(E1168, Sales_Reps!A:C, 3, FALSE)</f>
        <v>South</v>
      </c>
      <c r="P1168">
        <f>VLOOKUP(D1168, Products!A:E, 4, FALSE)</f>
        <v>2214</v>
      </c>
      <c r="Q1168">
        <f>IF(COUNTIF($A$2:A1168, A1168)=2, 1, 0)</f>
        <v>0</v>
      </c>
      <c r="R1168">
        <f>IF(ISNA(MATCH(C1168, Customers!$A:$A, 0)), 1, 0)</f>
        <v>0</v>
      </c>
      <c r="S1168" s="94" t="b">
        <f>VLOOKUP(D1168, Products!A:F, 6, FALSE)</f>
        <v>0</v>
      </c>
    </row>
    <row r="1169" spans="1:19">
      <c r="A1169" s="102" t="s">
        <v>1655</v>
      </c>
      <c r="B1169" s="2">
        <v>45567</v>
      </c>
      <c r="C1169" s="1" t="s">
        <v>385</v>
      </c>
      <c r="D1169" s="1" t="s">
        <v>176</v>
      </c>
      <c r="E1169" s="1" t="s">
        <v>92</v>
      </c>
      <c r="F1169" s="83">
        <v>9</v>
      </c>
      <c r="G1169" s="92">
        <v>1650</v>
      </c>
      <c r="H1169" s="3">
        <v>19.8</v>
      </c>
      <c r="I1169" s="3">
        <v>11909.7</v>
      </c>
      <c r="J1169" s="1" t="s">
        <v>144</v>
      </c>
      <c r="K1169" s="1" t="s">
        <v>117</v>
      </c>
      <c r="L1169" t="str">
        <f>VLOOKUP(D1169, Products!A:C, 3, FALSE)</f>
        <v>Beauty</v>
      </c>
      <c r="M1169" t="str">
        <f>VLOOKUP(C1169, Customers!A:E, 5, FALSE)</f>
        <v>Retail</v>
      </c>
      <c r="N1169">
        <f>VLOOKUP(C1169, Customers!A:E, 3, FALSE)</f>
        <v>23</v>
      </c>
      <c r="O1169" s="93" t="str">
        <f>VLOOKUP(E1169, Sales_Reps!A:C, 3, FALSE)</f>
        <v>North</v>
      </c>
      <c r="P1169">
        <f>VLOOKUP(D1169, Products!A:E, 4, FALSE)</f>
        <v>1222</v>
      </c>
      <c r="Q1169">
        <f>IF(COUNTIF($A$2:A1169, A1169)=2, 1, 0)</f>
        <v>0</v>
      </c>
      <c r="R1169">
        <f>IF(ISNA(MATCH(C1169, Customers!$A:$A, 0)), 1, 0)</f>
        <v>0</v>
      </c>
      <c r="S1169" s="94" t="b">
        <f>VLOOKUP(D1169, Products!A:F, 6, FALSE)</f>
        <v>1</v>
      </c>
    </row>
    <row r="1170" spans="1:19">
      <c r="A1170" s="102" t="s">
        <v>1656</v>
      </c>
      <c r="B1170" s="2">
        <v>45502</v>
      </c>
      <c r="C1170" s="1" t="s">
        <v>333</v>
      </c>
      <c r="D1170" s="1" t="s">
        <v>195</v>
      </c>
      <c r="E1170" s="1" t="s">
        <v>121</v>
      </c>
      <c r="F1170" s="83">
        <v>3</v>
      </c>
      <c r="G1170" s="92">
        <v>2860</v>
      </c>
      <c r="H1170" s="3">
        <v>22.7</v>
      </c>
      <c r="I1170" s="3">
        <v>6632.34</v>
      </c>
      <c r="J1170" s="1" t="s">
        <v>87</v>
      </c>
      <c r="K1170" s="1" t="s">
        <v>133</v>
      </c>
      <c r="L1170" t="str">
        <f>VLOOKUP(D1170, Products!A:C, 3, FALSE)</f>
        <v>Sports</v>
      </c>
      <c r="M1170" t="str">
        <f>VLOOKUP(C1170, Customers!A:E, 5, FALSE)</f>
        <v>SMB</v>
      </c>
      <c r="N1170">
        <f>VLOOKUP(C1170, Customers!A:E, 3, FALSE)</f>
        <v>65</v>
      </c>
      <c r="O1170" s="93" t="str">
        <f>VLOOKUP(E1170, Sales_Reps!A:C, 3, FALSE)</f>
        <v>East</v>
      </c>
      <c r="P1170">
        <f>VLOOKUP(D1170, Products!A:E, 4, FALSE)</f>
        <v>2028</v>
      </c>
      <c r="Q1170">
        <f>IF(COUNTIF($A$2:A1170, A1170)=2, 1, 0)</f>
        <v>0</v>
      </c>
      <c r="R1170">
        <f>IF(ISNA(MATCH(C1170, Customers!$A:$A, 0)), 1, 0)</f>
        <v>0</v>
      </c>
      <c r="S1170" s="94" t="b">
        <f>VLOOKUP(D1170, Products!A:F, 6, FALSE)</f>
        <v>1</v>
      </c>
    </row>
    <row r="1171" spans="1:19">
      <c r="A1171" s="102" t="s">
        <v>1657</v>
      </c>
      <c r="B1171" s="2">
        <v>45429</v>
      </c>
      <c r="C1171" s="1" t="s">
        <v>1047</v>
      </c>
      <c r="D1171" s="1" t="s">
        <v>161</v>
      </c>
      <c r="E1171" s="1" t="s">
        <v>111</v>
      </c>
      <c r="F1171" s="83">
        <v>4</v>
      </c>
      <c r="G1171" s="92">
        <v>3450</v>
      </c>
      <c r="H1171" s="3">
        <v>9.1999999999999993</v>
      </c>
      <c r="I1171" s="3">
        <v>12530.4</v>
      </c>
      <c r="J1171" s="1" t="s">
        <v>87</v>
      </c>
      <c r="K1171" s="1" t="s">
        <v>133</v>
      </c>
      <c r="L1171" t="str">
        <f>VLOOKUP(D1171, Products!A:C, 3, FALSE)</f>
        <v>Sports</v>
      </c>
      <c r="M1171" t="str">
        <f>VLOOKUP(C1171, Customers!A:E, 5, FALSE)</f>
        <v>Retail</v>
      </c>
      <c r="N1171">
        <f>VLOOKUP(C1171, Customers!A:E, 3, FALSE)</f>
        <v>41</v>
      </c>
      <c r="O1171" s="93" t="str">
        <f>VLOOKUP(E1171, Sales_Reps!A:C, 3, FALSE)</f>
        <v>West</v>
      </c>
      <c r="P1171">
        <f>VLOOKUP(D1171, Products!A:E, 4, FALSE)</f>
        <v>2467</v>
      </c>
      <c r="Q1171">
        <f>IF(COUNTIF($A$2:A1171, A1171)=2, 1, 0)</f>
        <v>0</v>
      </c>
      <c r="R1171">
        <f>IF(ISNA(MATCH(C1171, Customers!$A:$A, 0)), 1, 0)</f>
        <v>0</v>
      </c>
      <c r="S1171" s="94" t="b">
        <f>VLOOKUP(D1171, Products!A:F, 6, FALSE)</f>
        <v>1</v>
      </c>
    </row>
    <row r="1172" spans="1:19">
      <c r="A1172" s="102" t="s">
        <v>1658</v>
      </c>
      <c r="B1172" s="2">
        <v>45405</v>
      </c>
      <c r="C1172" s="1" t="s">
        <v>275</v>
      </c>
      <c r="D1172" s="1" t="s">
        <v>295</v>
      </c>
      <c r="E1172" s="1" t="s">
        <v>148</v>
      </c>
      <c r="F1172" s="83">
        <v>4</v>
      </c>
      <c r="G1172" s="92">
        <v>2030</v>
      </c>
      <c r="H1172" s="3">
        <v>17.100000000000001</v>
      </c>
      <c r="I1172" s="3">
        <v>6731.48</v>
      </c>
      <c r="J1172" s="1" t="s">
        <v>87</v>
      </c>
      <c r="K1172" s="1" t="s">
        <v>88</v>
      </c>
      <c r="L1172" t="str">
        <f>VLOOKUP(D1172, Products!A:C, 3, FALSE)</f>
        <v>Home</v>
      </c>
      <c r="M1172" t="str">
        <f>VLOOKUP(C1172, Customers!A:E, 5, FALSE)</f>
        <v>Retail</v>
      </c>
      <c r="N1172">
        <f>VLOOKUP(C1172, Customers!A:E, 3, FALSE)</f>
        <v>44</v>
      </c>
      <c r="O1172" s="93" t="str">
        <f>VLOOKUP(E1172, Sales_Reps!A:C, 3, FALSE)</f>
        <v>North</v>
      </c>
      <c r="P1172">
        <f>VLOOKUP(D1172, Products!A:E, 4, FALSE)</f>
        <v>1143</v>
      </c>
      <c r="Q1172">
        <f>IF(COUNTIF($A$2:A1172, A1172)=2, 1, 0)</f>
        <v>0</v>
      </c>
      <c r="R1172">
        <f>IF(ISNA(MATCH(C1172, Customers!$A:$A, 0)), 1, 0)</f>
        <v>0</v>
      </c>
      <c r="S1172" s="94" t="b">
        <f>VLOOKUP(D1172, Products!A:F, 6, FALSE)</f>
        <v>1</v>
      </c>
    </row>
    <row r="1173" spans="1:19">
      <c r="A1173" s="102" t="s">
        <v>1659</v>
      </c>
      <c r="B1173" s="2">
        <v>45401</v>
      </c>
      <c r="C1173" s="1" t="s">
        <v>413</v>
      </c>
      <c r="D1173" s="1" t="s">
        <v>245</v>
      </c>
      <c r="E1173" s="1" t="s">
        <v>346</v>
      </c>
      <c r="F1173" s="83">
        <v>4</v>
      </c>
      <c r="G1173" s="92">
        <v>2270</v>
      </c>
      <c r="H1173" s="3">
        <v>27.3</v>
      </c>
      <c r="I1173" s="3">
        <v>6601.16</v>
      </c>
      <c r="J1173" s="1" t="s">
        <v>87</v>
      </c>
      <c r="K1173" s="1" t="s">
        <v>88</v>
      </c>
      <c r="L1173" t="str">
        <f>VLOOKUP(D1173, Products!A:C, 3, FALSE)</f>
        <v>Grocery</v>
      </c>
      <c r="M1173" t="str">
        <f>VLOOKUP(C1173, Customers!A:E, 5, FALSE)</f>
        <v>Retail</v>
      </c>
      <c r="N1173">
        <f>VLOOKUP(C1173, Customers!A:E, 3, FALSE)</f>
        <v>22</v>
      </c>
      <c r="O1173" s="93" t="str">
        <f>VLOOKUP(E1173, Sales_Reps!A:C, 3, FALSE)</f>
        <v>South</v>
      </c>
      <c r="P1173">
        <f>VLOOKUP(D1173, Products!A:E, 4, FALSE)</f>
        <v>1412</v>
      </c>
      <c r="Q1173">
        <f>IF(COUNTIF($A$2:A1173, A1173)=2, 1, 0)</f>
        <v>0</v>
      </c>
      <c r="R1173">
        <f>IF(ISNA(MATCH(C1173, Customers!$A:$A, 0)), 1, 0)</f>
        <v>0</v>
      </c>
      <c r="S1173" s="94" t="b">
        <f>VLOOKUP(D1173, Products!A:F, 6, FALSE)</f>
        <v>1</v>
      </c>
    </row>
    <row r="1174" spans="1:19">
      <c r="A1174" s="102" t="s">
        <v>1660</v>
      </c>
      <c r="B1174" s="2">
        <v>45373</v>
      </c>
      <c r="C1174" s="1" t="s">
        <v>465</v>
      </c>
      <c r="D1174" s="1" t="s">
        <v>443</v>
      </c>
      <c r="E1174" s="1" t="s">
        <v>252</v>
      </c>
      <c r="F1174" s="83">
        <v>9</v>
      </c>
      <c r="G1174" s="92">
        <v>5080</v>
      </c>
      <c r="H1174" s="3">
        <v>10.9</v>
      </c>
      <c r="I1174" s="3">
        <v>40736.519999999997</v>
      </c>
      <c r="J1174" s="1" t="s">
        <v>87</v>
      </c>
      <c r="K1174" s="1" t="s">
        <v>112</v>
      </c>
      <c r="L1174" t="str">
        <f>VLOOKUP(D1174, Products!A:C, 3, FALSE)</f>
        <v>Home</v>
      </c>
      <c r="M1174" t="str">
        <f>VLOOKUP(C1174, Customers!A:E, 5, FALSE)</f>
        <v>Retail</v>
      </c>
      <c r="N1174">
        <f>VLOOKUP(C1174, Customers!A:E, 3, FALSE)</f>
        <v>61</v>
      </c>
      <c r="O1174" s="93" t="str">
        <f>VLOOKUP(E1174, Sales_Reps!A:C, 3, FALSE)</f>
        <v>South</v>
      </c>
      <c r="P1174">
        <f>VLOOKUP(D1174, Products!A:E, 4, FALSE)</f>
        <v>2459</v>
      </c>
      <c r="Q1174">
        <f>IF(COUNTIF($A$2:A1174, A1174)=2, 1, 0)</f>
        <v>0</v>
      </c>
      <c r="R1174">
        <f>IF(ISNA(MATCH(C1174, Customers!$A:$A, 0)), 1, 0)</f>
        <v>0</v>
      </c>
      <c r="S1174" s="94" t="b">
        <f>VLOOKUP(D1174, Products!A:F, 6, FALSE)</f>
        <v>1</v>
      </c>
    </row>
    <row r="1175" spans="1:19">
      <c r="A1175" s="102" t="s">
        <v>1661</v>
      </c>
      <c r="B1175" s="2">
        <v>45602</v>
      </c>
      <c r="C1175" s="1" t="s">
        <v>785</v>
      </c>
      <c r="D1175" s="1" t="s">
        <v>264</v>
      </c>
      <c r="E1175" s="1" t="s">
        <v>229</v>
      </c>
      <c r="F1175" s="83">
        <v>8</v>
      </c>
      <c r="G1175" s="92">
        <v>4070</v>
      </c>
      <c r="H1175" s="3">
        <v>17.7</v>
      </c>
      <c r="I1175" s="3">
        <v>26796.880000000001</v>
      </c>
      <c r="J1175" s="1" t="s">
        <v>87</v>
      </c>
      <c r="K1175" s="1" t="s">
        <v>88</v>
      </c>
      <c r="L1175" t="str">
        <f>VLOOKUP(D1175, Products!A:C, 3, FALSE)</f>
        <v>Grocery</v>
      </c>
      <c r="M1175" t="str">
        <f>VLOOKUP(C1175, Customers!A:E, 5, FALSE)</f>
        <v>Retail</v>
      </c>
      <c r="N1175">
        <f>VLOOKUP(C1175, Customers!A:E, 3, FALSE)</f>
        <v>31</v>
      </c>
      <c r="O1175" s="93" t="str">
        <f>VLOOKUP(E1175, Sales_Reps!A:C, 3, FALSE)</f>
        <v>West</v>
      </c>
      <c r="P1175">
        <f>VLOOKUP(D1175, Products!A:E, 4, FALSE)</f>
        <v>2027</v>
      </c>
      <c r="Q1175">
        <f>IF(COUNTIF($A$2:A1175, A1175)=2, 1, 0)</f>
        <v>0</v>
      </c>
      <c r="R1175">
        <f>IF(ISNA(MATCH(C1175, Customers!$A:$A, 0)), 1, 0)</f>
        <v>0</v>
      </c>
      <c r="S1175" s="94" t="b">
        <f>VLOOKUP(D1175, Products!A:F, 6, FALSE)</f>
        <v>1</v>
      </c>
    </row>
    <row r="1176" spans="1:19">
      <c r="A1176" s="102" t="s">
        <v>1662</v>
      </c>
      <c r="B1176" s="2">
        <v>45372</v>
      </c>
      <c r="C1176" s="1" t="s">
        <v>422</v>
      </c>
      <c r="D1176" s="1" t="s">
        <v>259</v>
      </c>
      <c r="E1176" s="1" t="s">
        <v>92</v>
      </c>
      <c r="F1176" s="83">
        <v>1</v>
      </c>
      <c r="G1176" s="92">
        <v>1540</v>
      </c>
      <c r="H1176" s="3">
        <v>0.9</v>
      </c>
      <c r="I1176" s="3">
        <v>1526.14</v>
      </c>
      <c r="J1176" s="1" t="s">
        <v>87</v>
      </c>
      <c r="K1176" s="1" t="s">
        <v>94</v>
      </c>
      <c r="L1176" t="str">
        <f>VLOOKUP(D1176, Products!A:C, 3, FALSE)</f>
        <v>Beauty</v>
      </c>
      <c r="M1176" t="str">
        <f>VLOOKUP(C1176, Customers!A:E, 5, FALSE)</f>
        <v>SMB</v>
      </c>
      <c r="N1176">
        <f>VLOOKUP(C1176, Customers!A:E, 3, FALSE)</f>
        <v>64</v>
      </c>
      <c r="O1176" s="93" t="str">
        <f>VLOOKUP(E1176, Sales_Reps!A:C, 3, FALSE)</f>
        <v>North</v>
      </c>
      <c r="P1176">
        <f>VLOOKUP(D1176, Products!A:E, 4, FALSE)</f>
        <v>647</v>
      </c>
      <c r="Q1176">
        <f>IF(COUNTIF($A$2:A1176, A1176)=2, 1, 0)</f>
        <v>0</v>
      </c>
      <c r="R1176">
        <f>IF(ISNA(MATCH(C1176, Customers!$A:$A, 0)), 1, 0)</f>
        <v>0</v>
      </c>
      <c r="S1176" s="94" t="b">
        <f>VLOOKUP(D1176, Products!A:F, 6, FALSE)</f>
        <v>0</v>
      </c>
    </row>
    <row r="1177" spans="1:19">
      <c r="A1177" s="102" t="s">
        <v>1663</v>
      </c>
      <c r="B1177" s="2">
        <v>45416</v>
      </c>
      <c r="C1177" s="1" t="s">
        <v>1664</v>
      </c>
      <c r="D1177" s="1" t="s">
        <v>191</v>
      </c>
      <c r="E1177" s="1" t="s">
        <v>116</v>
      </c>
      <c r="F1177" s="83">
        <v>10</v>
      </c>
      <c r="G1177" s="92">
        <v>5100</v>
      </c>
      <c r="H1177" s="3">
        <v>3</v>
      </c>
      <c r="I1177" s="3">
        <v>49470</v>
      </c>
      <c r="J1177" s="1" t="s">
        <v>87</v>
      </c>
      <c r="K1177" s="1" t="s">
        <v>117</v>
      </c>
      <c r="L1177" t="str">
        <f>VLOOKUP(D1177, Products!A:C, 3, FALSE)</f>
        <v>Beauty</v>
      </c>
      <c r="M1177" t="str">
        <f>VLOOKUP(C1177, Customers!A:E, 5, FALSE)</f>
        <v>Retail</v>
      </c>
      <c r="N1177">
        <f>VLOOKUP(C1177, Customers!A:E, 3, FALSE)</f>
        <v>48</v>
      </c>
      <c r="O1177" s="93" t="str">
        <f>VLOOKUP(E1177, Sales_Reps!A:C, 3, FALSE)</f>
        <v>West</v>
      </c>
      <c r="P1177">
        <f>VLOOKUP(D1177, Products!A:E, 4, FALSE)</f>
        <v>2237</v>
      </c>
      <c r="Q1177">
        <f>IF(COUNTIF($A$2:A1177, A1177)=2, 1, 0)</f>
        <v>0</v>
      </c>
      <c r="R1177">
        <f>IF(ISNA(MATCH(C1177, Customers!$A:$A, 0)), 1, 0)</f>
        <v>0</v>
      </c>
      <c r="S1177" s="94" t="b">
        <f>VLOOKUP(D1177, Products!A:F, 6, FALSE)</f>
        <v>1</v>
      </c>
    </row>
    <row r="1178" spans="1:19">
      <c r="A1178" s="102" t="s">
        <v>1665</v>
      </c>
      <c r="B1178" s="2">
        <v>45656</v>
      </c>
      <c r="C1178" s="1" t="s">
        <v>580</v>
      </c>
      <c r="D1178" s="1" t="s">
        <v>85</v>
      </c>
      <c r="E1178" s="1" t="s">
        <v>103</v>
      </c>
      <c r="F1178" s="83">
        <v>6</v>
      </c>
      <c r="G1178" s="92">
        <v>3620</v>
      </c>
      <c r="H1178" s="3">
        <v>20.2</v>
      </c>
      <c r="I1178" s="3">
        <v>17332.560000000001</v>
      </c>
      <c r="J1178" s="1" t="s">
        <v>87</v>
      </c>
      <c r="K1178" s="1" t="s">
        <v>88</v>
      </c>
      <c r="L1178" t="str">
        <f>VLOOKUP(D1178, Products!A:C, 3, FALSE)</f>
        <v>Apparel</v>
      </c>
      <c r="M1178" t="str">
        <f>VLOOKUP(C1178, Customers!A:E, 5, FALSE)</f>
        <v>Corporate</v>
      </c>
      <c r="N1178">
        <f>VLOOKUP(C1178, Customers!A:E, 3, FALSE)</f>
        <v>40</v>
      </c>
      <c r="O1178" s="93" t="str">
        <f>VLOOKUP(E1178, Sales_Reps!A:C, 3, FALSE)</f>
        <v>North</v>
      </c>
      <c r="P1178">
        <f>VLOOKUP(D1178, Products!A:E, 4, FALSE)</f>
        <v>2509</v>
      </c>
      <c r="Q1178">
        <f>IF(COUNTIF($A$2:A1178, A1178)=2, 1, 0)</f>
        <v>0</v>
      </c>
      <c r="R1178">
        <f>IF(ISNA(MATCH(C1178, Customers!$A:$A, 0)), 1, 0)</f>
        <v>0</v>
      </c>
      <c r="S1178" s="94" t="b">
        <f>VLOOKUP(D1178, Products!A:F, 6, FALSE)</f>
        <v>1</v>
      </c>
    </row>
    <row r="1179" spans="1:19">
      <c r="A1179" s="102" t="s">
        <v>1666</v>
      </c>
      <c r="B1179" s="2">
        <v>45324</v>
      </c>
      <c r="C1179" s="1" t="s">
        <v>126</v>
      </c>
      <c r="D1179" s="1" t="s">
        <v>184</v>
      </c>
      <c r="E1179" s="1" t="s">
        <v>148</v>
      </c>
      <c r="F1179" s="83">
        <v>7</v>
      </c>
      <c r="G1179" s="92">
        <v>4880</v>
      </c>
      <c r="H1179" s="3">
        <v>5</v>
      </c>
      <c r="I1179" s="3">
        <v>32452</v>
      </c>
      <c r="J1179" s="1" t="s">
        <v>87</v>
      </c>
      <c r="K1179" s="1" t="s">
        <v>88</v>
      </c>
      <c r="L1179" t="str">
        <f>VLOOKUP(D1179, Products!A:C, 3, FALSE)</f>
        <v>Beauty</v>
      </c>
      <c r="M1179" t="str">
        <f>VLOOKUP(C1179, Customers!A:E, 5, FALSE)</f>
        <v>Retail</v>
      </c>
      <c r="N1179">
        <f>VLOOKUP(C1179, Customers!A:E, 3, FALSE)</f>
        <v>56</v>
      </c>
      <c r="O1179" s="93" t="str">
        <f>VLOOKUP(E1179, Sales_Reps!A:C, 3, FALSE)</f>
        <v>North</v>
      </c>
      <c r="P1179">
        <f>VLOOKUP(D1179, Products!A:E, 4, FALSE)</f>
        <v>2768</v>
      </c>
      <c r="Q1179">
        <f>IF(COUNTIF($A$2:A1179, A1179)=2, 1, 0)</f>
        <v>0</v>
      </c>
      <c r="R1179">
        <f>IF(ISNA(MATCH(C1179, Customers!$A:$A, 0)), 1, 0)</f>
        <v>0</v>
      </c>
      <c r="S1179" s="94" t="b">
        <f>VLOOKUP(D1179, Products!A:F, 6, FALSE)</f>
        <v>1</v>
      </c>
    </row>
    <row r="1180" spans="1:19">
      <c r="A1180" s="102" t="s">
        <v>1667</v>
      </c>
      <c r="B1180" s="2">
        <v>45472</v>
      </c>
      <c r="C1180" s="1" t="s">
        <v>194</v>
      </c>
      <c r="D1180" s="1" t="s">
        <v>135</v>
      </c>
      <c r="E1180" s="1" t="s">
        <v>116</v>
      </c>
      <c r="F1180" s="83">
        <v>1</v>
      </c>
      <c r="G1180" s="92">
        <v>2640</v>
      </c>
      <c r="H1180" s="3">
        <v>4.0999999999999996</v>
      </c>
      <c r="I1180" s="3">
        <v>2531.7600000000002</v>
      </c>
      <c r="J1180" s="1" t="s">
        <v>87</v>
      </c>
      <c r="K1180" s="1" t="s">
        <v>88</v>
      </c>
      <c r="L1180" t="str">
        <f>VLOOKUP(D1180, Products!A:C, 3, FALSE)</f>
        <v>Electronics</v>
      </c>
      <c r="M1180" t="str">
        <f>VLOOKUP(C1180, Customers!A:E, 5, FALSE)</f>
        <v>SMB</v>
      </c>
      <c r="N1180">
        <f>VLOOKUP(C1180, Customers!A:E, 3, FALSE)</f>
        <v>44</v>
      </c>
      <c r="O1180" s="93" t="str">
        <f>VLOOKUP(E1180, Sales_Reps!A:C, 3, FALSE)</f>
        <v>West</v>
      </c>
      <c r="P1180">
        <f>VLOOKUP(D1180, Products!A:E, 4, FALSE)</f>
        <v>1149</v>
      </c>
      <c r="Q1180">
        <f>IF(COUNTIF($A$2:A1180, A1180)=2, 1, 0)</f>
        <v>0</v>
      </c>
      <c r="R1180">
        <f>IF(ISNA(MATCH(C1180, Customers!$A:$A, 0)), 1, 0)</f>
        <v>0</v>
      </c>
      <c r="S1180" s="94" t="b">
        <f>VLOOKUP(D1180, Products!A:F, 6, FALSE)</f>
        <v>1</v>
      </c>
    </row>
    <row r="1181" spans="1:19">
      <c r="A1181" s="102" t="s">
        <v>1668</v>
      </c>
      <c r="B1181" s="2">
        <v>45508</v>
      </c>
      <c r="C1181" s="1" t="s">
        <v>263</v>
      </c>
      <c r="D1181" s="1" t="s">
        <v>264</v>
      </c>
      <c r="E1181" s="1" t="s">
        <v>192</v>
      </c>
      <c r="F1181" s="83">
        <v>9</v>
      </c>
      <c r="G1181" s="92">
        <v>4070</v>
      </c>
      <c r="H1181" s="3">
        <v>4.4000000000000004</v>
      </c>
      <c r="I1181" s="3">
        <v>35018.28</v>
      </c>
      <c r="J1181" s="1" t="s">
        <v>87</v>
      </c>
      <c r="K1181" s="1" t="s">
        <v>133</v>
      </c>
      <c r="L1181" t="str">
        <f>VLOOKUP(D1181, Products!A:C, 3, FALSE)</f>
        <v>Grocery</v>
      </c>
      <c r="M1181" t="str">
        <f>VLOOKUP(C1181, Customers!A:E, 5, FALSE)</f>
        <v>Retail</v>
      </c>
      <c r="N1181">
        <f>VLOOKUP(C1181, Customers!A:E, 3, FALSE)</f>
        <v>53</v>
      </c>
      <c r="O1181" s="93" t="str">
        <f>VLOOKUP(E1181, Sales_Reps!A:C, 3, FALSE)</f>
        <v>East</v>
      </c>
      <c r="P1181">
        <f>VLOOKUP(D1181, Products!A:E, 4, FALSE)</f>
        <v>2027</v>
      </c>
      <c r="Q1181">
        <f>IF(COUNTIF($A$2:A1181, A1181)=2, 1, 0)</f>
        <v>0</v>
      </c>
      <c r="R1181">
        <f>IF(ISNA(MATCH(C1181, Customers!$A:$A, 0)), 1, 0)</f>
        <v>0</v>
      </c>
      <c r="S1181" s="94" t="b">
        <f>VLOOKUP(D1181, Products!A:F, 6, FALSE)</f>
        <v>1</v>
      </c>
    </row>
    <row r="1182" spans="1:19">
      <c r="A1182" s="102" t="s">
        <v>1669</v>
      </c>
      <c r="B1182" s="2">
        <v>45617</v>
      </c>
      <c r="C1182" s="1" t="s">
        <v>328</v>
      </c>
      <c r="D1182" s="1" t="s">
        <v>187</v>
      </c>
      <c r="E1182" s="1" t="s">
        <v>111</v>
      </c>
      <c r="F1182" s="83">
        <v>9</v>
      </c>
      <c r="G1182" s="92">
        <v>3570</v>
      </c>
      <c r="H1182" s="3">
        <v>24.8</v>
      </c>
      <c r="I1182" s="3">
        <v>24161.759999999998</v>
      </c>
      <c r="J1182" s="1" t="s">
        <v>87</v>
      </c>
      <c r="K1182" s="1" t="s">
        <v>94</v>
      </c>
      <c r="L1182" t="str">
        <f>VLOOKUP(D1182, Products!A:C, 3, FALSE)</f>
        <v>Electronics</v>
      </c>
      <c r="M1182" t="str">
        <f>VLOOKUP(C1182, Customers!A:E, 5, FALSE)</f>
        <v>Retail</v>
      </c>
      <c r="N1182">
        <f>VLOOKUP(C1182, Customers!A:E, 3, FALSE)</f>
        <v>28</v>
      </c>
      <c r="O1182" s="93" t="str">
        <f>VLOOKUP(E1182, Sales_Reps!A:C, 3, FALSE)</f>
        <v>West</v>
      </c>
      <c r="P1182">
        <f>VLOOKUP(D1182, Products!A:E, 4, FALSE)</f>
        <v>1665</v>
      </c>
      <c r="Q1182">
        <f>IF(COUNTIF($A$2:A1182, A1182)=2, 1, 0)</f>
        <v>0</v>
      </c>
      <c r="R1182">
        <f>IF(ISNA(MATCH(C1182, Customers!$A:$A, 0)), 1, 0)</f>
        <v>0</v>
      </c>
      <c r="S1182" s="94" t="b">
        <f>VLOOKUP(D1182, Products!A:F, 6, FALSE)</f>
        <v>1</v>
      </c>
    </row>
    <row r="1183" spans="1:19">
      <c r="A1183" s="102" t="s">
        <v>1670</v>
      </c>
      <c r="B1183" s="2">
        <v>45470</v>
      </c>
      <c r="C1183" s="1" t="s">
        <v>272</v>
      </c>
      <c r="D1183" s="1" t="s">
        <v>179</v>
      </c>
      <c r="E1183" s="1" t="s">
        <v>92</v>
      </c>
      <c r="F1183" s="83">
        <v>10</v>
      </c>
      <c r="G1183" s="92">
        <v>3350</v>
      </c>
      <c r="H1183" s="3">
        <v>25.1</v>
      </c>
      <c r="I1183" s="3">
        <v>25091.5</v>
      </c>
      <c r="J1183" s="1" t="s">
        <v>140</v>
      </c>
      <c r="K1183" s="1" t="s">
        <v>94</v>
      </c>
      <c r="L1183" t="str">
        <f>VLOOKUP(D1183, Products!A:C, 3, FALSE)</f>
        <v>Beauty</v>
      </c>
      <c r="M1183" t="str">
        <f>VLOOKUP(C1183, Customers!A:E, 5, FALSE)</f>
        <v>SMB</v>
      </c>
      <c r="N1183">
        <f>VLOOKUP(C1183, Customers!A:E, 3, FALSE)</f>
        <v>55</v>
      </c>
      <c r="O1183" s="93" t="str">
        <f>VLOOKUP(E1183, Sales_Reps!A:C, 3, FALSE)</f>
        <v>North</v>
      </c>
      <c r="P1183">
        <f>VLOOKUP(D1183, Products!A:E, 4, FALSE)</f>
        <v>1728</v>
      </c>
      <c r="Q1183">
        <f>IF(COUNTIF($A$2:A1183, A1183)=2, 1, 0)</f>
        <v>0</v>
      </c>
      <c r="R1183">
        <f>IF(ISNA(MATCH(C1183, Customers!$A:$A, 0)), 1, 0)</f>
        <v>0</v>
      </c>
      <c r="S1183" s="94" t="b">
        <f>VLOOKUP(D1183, Products!A:F, 6, FALSE)</f>
        <v>1</v>
      </c>
    </row>
    <row r="1184" spans="1:19">
      <c r="A1184" s="102" t="s">
        <v>1671</v>
      </c>
      <c r="B1184" s="2">
        <v>45307</v>
      </c>
      <c r="C1184" s="1" t="s">
        <v>717</v>
      </c>
      <c r="D1184" s="1" t="s">
        <v>461</v>
      </c>
      <c r="E1184" s="1" t="s">
        <v>111</v>
      </c>
      <c r="F1184" s="83">
        <v>3</v>
      </c>
      <c r="G1184" s="92">
        <v>3780</v>
      </c>
      <c r="H1184" s="3">
        <v>3.8</v>
      </c>
      <c r="I1184" s="3">
        <v>10909.08</v>
      </c>
      <c r="J1184" s="1" t="s">
        <v>87</v>
      </c>
      <c r="K1184" s="1" t="s">
        <v>94</v>
      </c>
      <c r="L1184" t="str">
        <f>VLOOKUP(D1184, Products!A:C, 3, FALSE)</f>
        <v>Sports</v>
      </c>
      <c r="M1184" t="str">
        <f>VLOOKUP(C1184, Customers!A:E, 5, FALSE)</f>
        <v>Retail</v>
      </c>
      <c r="N1184">
        <f>VLOOKUP(C1184, Customers!A:E, 3, FALSE)</f>
        <v>24</v>
      </c>
      <c r="O1184" s="93" t="str">
        <f>VLOOKUP(E1184, Sales_Reps!A:C, 3, FALSE)</f>
        <v>West</v>
      </c>
      <c r="P1184">
        <f>VLOOKUP(D1184, Products!A:E, 4, FALSE)</f>
        <v>1860</v>
      </c>
      <c r="Q1184">
        <f>IF(COUNTIF($A$2:A1184, A1184)=2, 1, 0)</f>
        <v>0</v>
      </c>
      <c r="R1184">
        <f>IF(ISNA(MATCH(C1184, Customers!$A:$A, 0)), 1, 0)</f>
        <v>0</v>
      </c>
      <c r="S1184" s="94" t="b">
        <f>VLOOKUP(D1184, Products!A:F, 6, FALSE)</f>
        <v>1</v>
      </c>
    </row>
    <row r="1185" spans="1:19">
      <c r="A1185" s="102" t="s">
        <v>1672</v>
      </c>
      <c r="B1185" s="2">
        <v>45651</v>
      </c>
      <c r="C1185" s="1" t="s">
        <v>703</v>
      </c>
      <c r="D1185" s="1" t="s">
        <v>187</v>
      </c>
      <c r="E1185" s="1" t="s">
        <v>107</v>
      </c>
      <c r="F1185" s="83">
        <v>4</v>
      </c>
      <c r="G1185" s="92">
        <v>3570</v>
      </c>
      <c r="H1185" s="3">
        <v>0.9</v>
      </c>
      <c r="I1185" s="3">
        <v>14151.48</v>
      </c>
      <c r="J1185" s="1" t="s">
        <v>93</v>
      </c>
      <c r="K1185" s="1" t="s">
        <v>88</v>
      </c>
      <c r="L1185" t="str">
        <f>VLOOKUP(D1185, Products!A:C, 3, FALSE)</f>
        <v>Electronics</v>
      </c>
      <c r="M1185" t="str">
        <f>VLOOKUP(C1185, Customers!A:E, 5, FALSE)</f>
        <v>Corporate</v>
      </c>
      <c r="N1185">
        <f>VLOOKUP(C1185, Customers!A:E, 3, FALSE)</f>
        <v>52</v>
      </c>
      <c r="O1185" s="93" t="str">
        <f>VLOOKUP(E1185, Sales_Reps!A:C, 3, FALSE)</f>
        <v>North</v>
      </c>
      <c r="P1185">
        <f>VLOOKUP(D1185, Products!A:E, 4, FALSE)</f>
        <v>1665</v>
      </c>
      <c r="Q1185">
        <f>IF(COUNTIF($A$2:A1185, A1185)=2, 1, 0)</f>
        <v>0</v>
      </c>
      <c r="R1185">
        <f>IF(ISNA(MATCH(C1185, Customers!$A:$A, 0)), 1, 0)</f>
        <v>0</v>
      </c>
      <c r="S1185" s="94" t="b">
        <f>VLOOKUP(D1185, Products!A:F, 6, FALSE)</f>
        <v>1</v>
      </c>
    </row>
    <row r="1186" spans="1:19">
      <c r="A1186" s="102" t="s">
        <v>1163</v>
      </c>
      <c r="B1186" s="2">
        <v>45436</v>
      </c>
      <c r="C1186" s="1" t="s">
        <v>420</v>
      </c>
      <c r="D1186" s="1" t="s">
        <v>195</v>
      </c>
      <c r="E1186" s="1" t="s">
        <v>116</v>
      </c>
      <c r="F1186" s="83">
        <v>5</v>
      </c>
      <c r="G1186" s="92">
        <v>2860</v>
      </c>
      <c r="H1186" s="3">
        <v>20.100000000000001</v>
      </c>
      <c r="I1186" s="3">
        <v>11425.7</v>
      </c>
      <c r="J1186" s="1" t="s">
        <v>87</v>
      </c>
      <c r="K1186" s="1" t="s">
        <v>99</v>
      </c>
      <c r="L1186" t="str">
        <f>VLOOKUP(D1186, Products!A:C, 3, FALSE)</f>
        <v>Sports</v>
      </c>
      <c r="M1186" t="str">
        <f>VLOOKUP(C1186, Customers!A:E, 5, FALSE)</f>
        <v>Retail</v>
      </c>
      <c r="N1186">
        <f>VLOOKUP(C1186, Customers!A:E, 3, FALSE)</f>
        <v>44</v>
      </c>
      <c r="O1186" s="93" t="str">
        <f>VLOOKUP(E1186, Sales_Reps!A:C, 3, FALSE)</f>
        <v>West</v>
      </c>
      <c r="P1186">
        <f>VLOOKUP(D1186, Products!A:E, 4, FALSE)</f>
        <v>2028</v>
      </c>
      <c r="Q1186">
        <f>IF(COUNTIF($A$2:A1186, A1186)=2, 1, 0)</f>
        <v>1</v>
      </c>
      <c r="R1186">
        <f>IF(ISNA(MATCH(C1186, Customers!$A:$A, 0)), 1, 0)</f>
        <v>0</v>
      </c>
      <c r="S1186" s="94" t="b">
        <f>VLOOKUP(D1186, Products!A:F, 6, FALSE)</f>
        <v>1</v>
      </c>
    </row>
    <row r="1187" spans="1:19">
      <c r="A1187" s="102" t="s">
        <v>1673</v>
      </c>
      <c r="B1187" s="2">
        <v>45518</v>
      </c>
      <c r="C1187" s="1" t="s">
        <v>684</v>
      </c>
      <c r="D1187" s="1" t="s">
        <v>292</v>
      </c>
      <c r="E1187" s="1" t="s">
        <v>148</v>
      </c>
      <c r="F1187" s="83">
        <v>1</v>
      </c>
      <c r="G1187" s="92">
        <v>620</v>
      </c>
      <c r="H1187" s="3">
        <v>1.1000000000000001</v>
      </c>
      <c r="I1187" s="3">
        <v>613.17999999999995</v>
      </c>
      <c r="J1187" s="1" t="s">
        <v>140</v>
      </c>
      <c r="K1187" s="1" t="s">
        <v>99</v>
      </c>
      <c r="L1187" t="str">
        <f>VLOOKUP(D1187, Products!A:C, 3, FALSE)</f>
        <v>Apparel</v>
      </c>
      <c r="M1187" t="str">
        <f>VLOOKUP(C1187, Customers!A:E, 5, FALSE)</f>
        <v>Retail</v>
      </c>
      <c r="N1187">
        <f>VLOOKUP(C1187, Customers!A:E, 3, FALSE)</f>
        <v>41</v>
      </c>
      <c r="O1187" s="93" t="str">
        <f>VLOOKUP(E1187, Sales_Reps!A:C, 3, FALSE)</f>
        <v>North</v>
      </c>
      <c r="P1187">
        <f>VLOOKUP(D1187, Products!A:E, 4, FALSE)</f>
        <v>396</v>
      </c>
      <c r="Q1187">
        <f>IF(COUNTIF($A$2:A1187, A1187)=2, 1, 0)</f>
        <v>0</v>
      </c>
      <c r="R1187">
        <f>IF(ISNA(MATCH(C1187, Customers!$A:$A, 0)), 1, 0)</f>
        <v>0</v>
      </c>
      <c r="S1187" s="94" t="b">
        <f>VLOOKUP(D1187, Products!A:F, 6, FALSE)</f>
        <v>1</v>
      </c>
    </row>
    <row r="1188" spans="1:19">
      <c r="A1188" s="102" t="s">
        <v>1674</v>
      </c>
      <c r="B1188" s="2">
        <v>45432</v>
      </c>
      <c r="C1188" s="1" t="s">
        <v>194</v>
      </c>
      <c r="D1188" s="1" t="s">
        <v>187</v>
      </c>
      <c r="E1188" s="1" t="s">
        <v>325</v>
      </c>
      <c r="F1188" s="83">
        <v>1</v>
      </c>
      <c r="G1188" s="92">
        <v>3570</v>
      </c>
      <c r="H1188" s="3">
        <v>11.1</v>
      </c>
      <c r="I1188" s="3">
        <v>3173.73</v>
      </c>
      <c r="J1188" s="1" t="s">
        <v>140</v>
      </c>
      <c r="K1188" s="1" t="s">
        <v>88</v>
      </c>
      <c r="L1188" t="str">
        <f>VLOOKUP(D1188, Products!A:C, 3, FALSE)</f>
        <v>Electronics</v>
      </c>
      <c r="M1188" t="str">
        <f>VLOOKUP(C1188, Customers!A:E, 5, FALSE)</f>
        <v>SMB</v>
      </c>
      <c r="N1188">
        <f>VLOOKUP(C1188, Customers!A:E, 3, FALSE)</f>
        <v>44</v>
      </c>
      <c r="O1188" s="93" t="str">
        <f>VLOOKUP(E1188, Sales_Reps!A:C, 3, FALSE)</f>
        <v>South</v>
      </c>
      <c r="P1188">
        <f>VLOOKUP(D1188, Products!A:E, 4, FALSE)</f>
        <v>1665</v>
      </c>
      <c r="Q1188">
        <f>IF(COUNTIF($A$2:A1188, A1188)=2, 1, 0)</f>
        <v>0</v>
      </c>
      <c r="R1188">
        <f>IF(ISNA(MATCH(C1188, Customers!$A:$A, 0)), 1, 0)</f>
        <v>0</v>
      </c>
      <c r="S1188" s="94" t="b">
        <f>VLOOKUP(D1188, Products!A:F, 6, FALSE)</f>
        <v>1</v>
      </c>
    </row>
    <row r="1189" spans="1:19">
      <c r="A1189" s="102" t="s">
        <v>1675</v>
      </c>
      <c r="B1189" s="2">
        <v>45551</v>
      </c>
      <c r="C1189" s="1" t="s">
        <v>662</v>
      </c>
      <c r="D1189" s="1" t="s">
        <v>364</v>
      </c>
      <c r="E1189" s="1" t="s">
        <v>325</v>
      </c>
      <c r="F1189" s="83">
        <v>1</v>
      </c>
      <c r="G1189" s="92">
        <v>5330</v>
      </c>
      <c r="H1189" s="3">
        <v>3.5</v>
      </c>
      <c r="I1189" s="3">
        <v>5143.45</v>
      </c>
      <c r="J1189" s="1" t="s">
        <v>87</v>
      </c>
      <c r="K1189" s="1" t="s">
        <v>94</v>
      </c>
      <c r="L1189" t="str">
        <f>VLOOKUP(D1189, Products!A:C, 3, FALSE)</f>
        <v>Electronics</v>
      </c>
      <c r="M1189" t="str">
        <f>VLOOKUP(C1189, Customers!A:E, 5, FALSE)</f>
        <v>Corporate</v>
      </c>
      <c r="N1189">
        <f>VLOOKUP(C1189, Customers!A:E, 3, FALSE)</f>
        <v>41</v>
      </c>
      <c r="O1189" s="93" t="str">
        <f>VLOOKUP(E1189, Sales_Reps!A:C, 3, FALSE)</f>
        <v>South</v>
      </c>
      <c r="P1189">
        <f>VLOOKUP(D1189, Products!A:E, 4, FALSE)</f>
        <v>2405</v>
      </c>
      <c r="Q1189">
        <f>IF(COUNTIF($A$2:A1189, A1189)=2, 1, 0)</f>
        <v>0</v>
      </c>
      <c r="R1189">
        <f>IF(ISNA(MATCH(C1189, Customers!$A:$A, 0)), 1, 0)</f>
        <v>0</v>
      </c>
      <c r="S1189" s="94" t="b">
        <f>VLOOKUP(D1189, Products!A:F, 6, FALSE)</f>
        <v>1</v>
      </c>
    </row>
    <row r="1190" spans="1:19">
      <c r="A1190" s="102" t="s">
        <v>1676</v>
      </c>
      <c r="B1190" s="2">
        <v>45348</v>
      </c>
      <c r="C1190" s="1" t="s">
        <v>350</v>
      </c>
      <c r="D1190" s="1" t="s">
        <v>360</v>
      </c>
      <c r="E1190" s="1" t="s">
        <v>303</v>
      </c>
      <c r="F1190" s="83">
        <v>7</v>
      </c>
      <c r="G1190" s="92">
        <v>5410</v>
      </c>
      <c r="H1190" s="3">
        <v>26.2</v>
      </c>
      <c r="I1190" s="3">
        <v>27948.06</v>
      </c>
      <c r="J1190" s="1" t="s">
        <v>87</v>
      </c>
      <c r="K1190" s="1" t="s">
        <v>112</v>
      </c>
      <c r="L1190" t="str">
        <f>VLOOKUP(D1190, Products!A:C, 3, FALSE)</f>
        <v>Sports</v>
      </c>
      <c r="M1190" t="str">
        <f>VLOOKUP(C1190, Customers!A:E, 5, FALSE)</f>
        <v>SMB</v>
      </c>
      <c r="N1190">
        <f>VLOOKUP(C1190, Customers!A:E, 3, FALSE)</f>
        <v>22</v>
      </c>
      <c r="O1190" s="93" t="str">
        <f>VLOOKUP(E1190, Sales_Reps!A:C, 3, FALSE)</f>
        <v>East</v>
      </c>
      <c r="P1190">
        <f>VLOOKUP(D1190, Products!A:E, 4, FALSE)</f>
        <v>2265</v>
      </c>
      <c r="Q1190">
        <f>IF(COUNTIF($A$2:A1190, A1190)=2, 1, 0)</f>
        <v>0</v>
      </c>
      <c r="R1190">
        <f>IF(ISNA(MATCH(C1190, Customers!$A:$A, 0)), 1, 0)</f>
        <v>0</v>
      </c>
      <c r="S1190" s="94" t="b">
        <f>VLOOKUP(D1190, Products!A:F, 6, FALSE)</f>
        <v>1</v>
      </c>
    </row>
    <row r="1191" spans="1:19">
      <c r="A1191" s="102" t="s">
        <v>1677</v>
      </c>
      <c r="B1191" s="2">
        <v>45374</v>
      </c>
      <c r="C1191" s="1" t="s">
        <v>1231</v>
      </c>
      <c r="D1191" s="1" t="s">
        <v>443</v>
      </c>
      <c r="E1191" s="1" t="s">
        <v>346</v>
      </c>
      <c r="F1191" s="83">
        <v>10</v>
      </c>
      <c r="G1191" s="92">
        <v>5080</v>
      </c>
      <c r="H1191" s="3">
        <v>3.7</v>
      </c>
      <c r="I1191" s="3">
        <v>48920.4</v>
      </c>
      <c r="J1191" s="1" t="s">
        <v>93</v>
      </c>
      <c r="K1191" s="1" t="s">
        <v>88</v>
      </c>
      <c r="L1191" t="str">
        <f>VLOOKUP(D1191, Products!A:C, 3, FALSE)</f>
        <v>Home</v>
      </c>
      <c r="M1191" t="str">
        <f>VLOOKUP(C1191, Customers!A:E, 5, FALSE)</f>
        <v>Retail</v>
      </c>
      <c r="N1191">
        <f>VLOOKUP(C1191, Customers!A:E, 3, FALSE)</f>
        <v>42</v>
      </c>
      <c r="O1191" s="93" t="str">
        <f>VLOOKUP(E1191, Sales_Reps!A:C, 3, FALSE)</f>
        <v>South</v>
      </c>
      <c r="P1191">
        <f>VLOOKUP(D1191, Products!A:E, 4, FALSE)</f>
        <v>2459</v>
      </c>
      <c r="Q1191">
        <f>IF(COUNTIF($A$2:A1191, A1191)=2, 1, 0)</f>
        <v>0</v>
      </c>
      <c r="R1191">
        <f>IF(ISNA(MATCH(C1191, Customers!$A:$A, 0)), 1, 0)</f>
        <v>0</v>
      </c>
      <c r="S1191" s="94" t="b">
        <f>VLOOKUP(D1191, Products!A:F, 6, FALSE)</f>
        <v>1</v>
      </c>
    </row>
    <row r="1192" spans="1:19">
      <c r="A1192" s="102" t="s">
        <v>1678</v>
      </c>
      <c r="B1192" s="2">
        <v>45370</v>
      </c>
      <c r="C1192" s="1" t="s">
        <v>714</v>
      </c>
      <c r="D1192" s="1" t="s">
        <v>187</v>
      </c>
      <c r="E1192" s="1" t="s">
        <v>92</v>
      </c>
      <c r="F1192" s="83">
        <v>9</v>
      </c>
      <c r="G1192" s="92">
        <v>3570</v>
      </c>
      <c r="H1192" s="3">
        <v>5.6</v>
      </c>
      <c r="I1192" s="3">
        <v>30330.720000000001</v>
      </c>
      <c r="J1192" s="1" t="s">
        <v>87</v>
      </c>
      <c r="K1192" s="1" t="s">
        <v>99</v>
      </c>
      <c r="L1192" t="str">
        <f>VLOOKUP(D1192, Products!A:C, 3, FALSE)</f>
        <v>Electronics</v>
      </c>
      <c r="M1192" t="str">
        <f>VLOOKUP(C1192, Customers!A:E, 5, FALSE)</f>
        <v>Retail</v>
      </c>
      <c r="N1192">
        <f>VLOOKUP(C1192, Customers!A:E, 3, FALSE)</f>
        <v>24</v>
      </c>
      <c r="O1192" s="93" t="str">
        <f>VLOOKUP(E1192, Sales_Reps!A:C, 3, FALSE)</f>
        <v>North</v>
      </c>
      <c r="P1192">
        <f>VLOOKUP(D1192, Products!A:E, 4, FALSE)</f>
        <v>1665</v>
      </c>
      <c r="Q1192">
        <f>IF(COUNTIF($A$2:A1192, A1192)=2, 1, 0)</f>
        <v>0</v>
      </c>
      <c r="R1192">
        <f>IF(ISNA(MATCH(C1192, Customers!$A:$A, 0)), 1, 0)</f>
        <v>0</v>
      </c>
      <c r="S1192" s="94" t="b">
        <f>VLOOKUP(D1192, Products!A:F, 6, FALSE)</f>
        <v>1</v>
      </c>
    </row>
    <row r="1193" spans="1:19">
      <c r="A1193" s="102" t="s">
        <v>1679</v>
      </c>
      <c r="B1193" s="2">
        <v>45656</v>
      </c>
      <c r="C1193" s="1" t="s">
        <v>604</v>
      </c>
      <c r="D1193" s="1" t="s">
        <v>127</v>
      </c>
      <c r="E1193" s="1" t="s">
        <v>285</v>
      </c>
      <c r="F1193" s="83">
        <v>9</v>
      </c>
      <c r="G1193" s="92">
        <v>970</v>
      </c>
      <c r="H1193" s="3">
        <v>19.5</v>
      </c>
      <c r="I1193" s="3">
        <v>7027.65</v>
      </c>
      <c r="J1193" s="1" t="s">
        <v>87</v>
      </c>
      <c r="K1193" s="1" t="s">
        <v>117</v>
      </c>
      <c r="L1193" t="str">
        <f>VLOOKUP(D1193, Products!A:C, 3, FALSE)</f>
        <v>Grocery</v>
      </c>
      <c r="M1193" t="str">
        <f>VLOOKUP(C1193, Customers!A:E, 5, FALSE)</f>
        <v>Retail</v>
      </c>
      <c r="N1193">
        <f>VLOOKUP(C1193, Customers!A:E, 3, FALSE)</f>
        <v>34</v>
      </c>
      <c r="O1193" s="93" t="str">
        <f>VLOOKUP(E1193, Sales_Reps!A:C, 3, FALSE)</f>
        <v>East</v>
      </c>
      <c r="P1193">
        <f>VLOOKUP(D1193, Products!A:E, 4, FALSE)</f>
        <v>434</v>
      </c>
      <c r="Q1193">
        <f>IF(COUNTIF($A$2:A1193, A1193)=2, 1, 0)</f>
        <v>0</v>
      </c>
      <c r="R1193">
        <f>IF(ISNA(MATCH(C1193, Customers!$A:$A, 0)), 1, 0)</f>
        <v>0</v>
      </c>
      <c r="S1193" s="94" t="b">
        <f>VLOOKUP(D1193, Products!A:F, 6, FALSE)</f>
        <v>1</v>
      </c>
    </row>
    <row r="1194" spans="1:19">
      <c r="A1194" s="102" t="s">
        <v>1680</v>
      </c>
      <c r="B1194" s="2">
        <v>45357</v>
      </c>
      <c r="C1194" s="1" t="s">
        <v>420</v>
      </c>
      <c r="D1194" s="1" t="s">
        <v>282</v>
      </c>
      <c r="E1194" s="1" t="s">
        <v>204</v>
      </c>
      <c r="F1194" s="83">
        <v>10</v>
      </c>
      <c r="G1194" s="92">
        <v>300</v>
      </c>
      <c r="H1194" s="3">
        <v>23</v>
      </c>
      <c r="I1194" s="3">
        <v>2310</v>
      </c>
      <c r="J1194" s="1" t="s">
        <v>140</v>
      </c>
      <c r="K1194" s="1" t="s">
        <v>99</v>
      </c>
      <c r="L1194" t="str">
        <f>VLOOKUP(D1194, Products!A:C, 3, FALSE)</f>
        <v>Electronics</v>
      </c>
      <c r="M1194" t="str">
        <f>VLOOKUP(C1194, Customers!A:E, 5, FALSE)</f>
        <v>Retail</v>
      </c>
      <c r="N1194">
        <f>VLOOKUP(C1194, Customers!A:E, 3, FALSE)</f>
        <v>44</v>
      </c>
      <c r="O1194" s="93" t="str">
        <f>VLOOKUP(E1194, Sales_Reps!A:C, 3, FALSE)</f>
        <v>South</v>
      </c>
      <c r="P1194">
        <f>VLOOKUP(D1194, Products!A:E, 4, FALSE)</f>
        <v>128</v>
      </c>
      <c r="Q1194">
        <f>IF(COUNTIF($A$2:A1194, A1194)=2, 1, 0)</f>
        <v>0</v>
      </c>
      <c r="R1194">
        <f>IF(ISNA(MATCH(C1194, Customers!$A:$A, 0)), 1, 0)</f>
        <v>0</v>
      </c>
      <c r="S1194" s="94" t="b">
        <f>VLOOKUP(D1194, Products!A:F, 6, FALSE)</f>
        <v>1</v>
      </c>
    </row>
    <row r="1195" spans="1:19">
      <c r="A1195" s="102" t="s">
        <v>1681</v>
      </c>
      <c r="B1195" s="2">
        <v>45479</v>
      </c>
      <c r="C1195" s="1" t="s">
        <v>425</v>
      </c>
      <c r="D1195" s="1" t="s">
        <v>241</v>
      </c>
      <c r="E1195" s="1" t="s">
        <v>148</v>
      </c>
      <c r="F1195" s="83">
        <v>10</v>
      </c>
      <c r="G1195" s="92">
        <v>6080</v>
      </c>
      <c r="H1195" s="3">
        <v>3.9</v>
      </c>
      <c r="I1195" s="3">
        <v>58428.800000000003</v>
      </c>
      <c r="J1195" s="1" t="s">
        <v>87</v>
      </c>
      <c r="K1195" s="1" t="s">
        <v>94</v>
      </c>
      <c r="L1195" t="str">
        <f>VLOOKUP(D1195, Products!A:C, 3, FALSE)</f>
        <v>Beauty</v>
      </c>
      <c r="M1195" t="str">
        <f>VLOOKUP(C1195, Customers!A:E, 5, FALSE)</f>
        <v>SMB</v>
      </c>
      <c r="N1195">
        <f>VLOOKUP(C1195, Customers!A:E, 3, FALSE)</f>
        <v>64</v>
      </c>
      <c r="O1195" s="93" t="str">
        <f>VLOOKUP(E1195, Sales_Reps!A:C, 3, FALSE)</f>
        <v>North</v>
      </c>
      <c r="P1195">
        <f>VLOOKUP(D1195, Products!A:E, 4, FALSE)</f>
        <v>2617</v>
      </c>
      <c r="Q1195">
        <f>IF(COUNTIF($A$2:A1195, A1195)=2, 1, 0)</f>
        <v>0</v>
      </c>
      <c r="R1195">
        <f>IF(ISNA(MATCH(C1195, Customers!$A:$A, 0)), 1, 0)</f>
        <v>0</v>
      </c>
      <c r="S1195" s="94" t="b">
        <f>VLOOKUP(D1195, Products!A:F, 6, FALSE)</f>
        <v>1</v>
      </c>
    </row>
    <row r="1196" spans="1:19">
      <c r="A1196" s="102" t="s">
        <v>909</v>
      </c>
      <c r="B1196" s="2">
        <v>45539</v>
      </c>
      <c r="C1196" s="1" t="s">
        <v>142</v>
      </c>
      <c r="D1196" s="1" t="s">
        <v>191</v>
      </c>
      <c r="E1196" s="1" t="s">
        <v>273</v>
      </c>
      <c r="F1196" s="83">
        <v>2</v>
      </c>
      <c r="G1196" s="92">
        <v>5100</v>
      </c>
      <c r="H1196" s="3">
        <v>11</v>
      </c>
      <c r="I1196" s="3">
        <v>9078</v>
      </c>
      <c r="J1196" s="1" t="s">
        <v>87</v>
      </c>
      <c r="K1196" s="1" t="s">
        <v>88</v>
      </c>
      <c r="L1196" t="str">
        <f>VLOOKUP(D1196, Products!A:C, 3, FALSE)</f>
        <v>Beauty</v>
      </c>
      <c r="M1196" t="str">
        <f>VLOOKUP(C1196, Customers!A:E, 5, FALSE)</f>
        <v>SMB</v>
      </c>
      <c r="N1196">
        <f>VLOOKUP(C1196, Customers!A:E, 3, FALSE)</f>
        <v>39</v>
      </c>
      <c r="O1196" s="93" t="str">
        <f>VLOOKUP(E1196, Sales_Reps!A:C, 3, FALSE)</f>
        <v>South</v>
      </c>
      <c r="P1196">
        <f>VLOOKUP(D1196, Products!A:E, 4, FALSE)</f>
        <v>2237</v>
      </c>
      <c r="Q1196">
        <f>IF(COUNTIF($A$2:A1196, A1196)=2, 1, 0)</f>
        <v>1</v>
      </c>
      <c r="R1196">
        <f>IF(ISNA(MATCH(C1196, Customers!$A:$A, 0)), 1, 0)</f>
        <v>0</v>
      </c>
      <c r="S1196" s="94" t="b">
        <f>VLOOKUP(D1196, Products!A:F, 6, FALSE)</f>
        <v>1</v>
      </c>
    </row>
    <row r="1197" spans="1:19">
      <c r="A1197" s="102" t="s">
        <v>1682</v>
      </c>
      <c r="B1197" s="2">
        <v>45394</v>
      </c>
      <c r="C1197" s="1" t="s">
        <v>371</v>
      </c>
      <c r="D1197" s="1" t="s">
        <v>452</v>
      </c>
      <c r="E1197" s="1" t="s">
        <v>121</v>
      </c>
      <c r="F1197" s="83">
        <v>9</v>
      </c>
      <c r="G1197" s="92">
        <v>3450</v>
      </c>
      <c r="H1197" s="3">
        <v>23.7</v>
      </c>
      <c r="I1197" s="3">
        <v>23691.15</v>
      </c>
      <c r="J1197" s="1" t="s">
        <v>87</v>
      </c>
      <c r="K1197" s="1" t="s">
        <v>112</v>
      </c>
      <c r="L1197" t="str">
        <f>VLOOKUP(D1197, Products!A:C, 3, FALSE)</f>
        <v>Apparel</v>
      </c>
      <c r="M1197" t="str">
        <f>VLOOKUP(C1197, Customers!A:E, 5, FALSE)</f>
        <v>Retail</v>
      </c>
      <c r="N1197">
        <f>VLOOKUP(C1197, Customers!A:E, 3, FALSE)</f>
        <v>42</v>
      </c>
      <c r="O1197" s="93" t="str">
        <f>VLOOKUP(E1197, Sales_Reps!A:C, 3, FALSE)</f>
        <v>East</v>
      </c>
      <c r="P1197">
        <f>VLOOKUP(D1197, Products!A:E, 4, FALSE)</f>
        <v>1748</v>
      </c>
      <c r="Q1197">
        <f>IF(COUNTIF($A$2:A1197, A1197)=2, 1, 0)</f>
        <v>0</v>
      </c>
      <c r="R1197">
        <f>IF(ISNA(MATCH(C1197, Customers!$A:$A, 0)), 1, 0)</f>
        <v>0</v>
      </c>
      <c r="S1197" s="94" t="b">
        <f>VLOOKUP(D1197, Products!A:F, 6, FALSE)</f>
        <v>1</v>
      </c>
    </row>
    <row r="1198" spans="1:19">
      <c r="A1198" s="102" t="s">
        <v>1683</v>
      </c>
      <c r="B1198" s="2">
        <v>45335</v>
      </c>
      <c r="C1198" s="1" t="s">
        <v>759</v>
      </c>
      <c r="D1198" s="1" t="s">
        <v>167</v>
      </c>
      <c r="E1198" s="1" t="s">
        <v>273</v>
      </c>
      <c r="F1198" s="83">
        <v>5</v>
      </c>
      <c r="G1198" s="92">
        <v>2480</v>
      </c>
      <c r="H1198" s="3">
        <v>20.399999999999999</v>
      </c>
      <c r="I1198" s="3">
        <v>9870.4</v>
      </c>
      <c r="J1198" s="1" t="s">
        <v>87</v>
      </c>
      <c r="K1198" s="1" t="s">
        <v>117</v>
      </c>
      <c r="L1198" t="str">
        <f>VLOOKUP(D1198, Products!A:C, 3, FALSE)</f>
        <v>Apparel</v>
      </c>
      <c r="M1198" t="str">
        <f>VLOOKUP(C1198, Customers!A:E, 5, FALSE)</f>
        <v>Retail</v>
      </c>
      <c r="N1198">
        <f>VLOOKUP(C1198, Customers!A:E, 3, FALSE)</f>
        <v>29</v>
      </c>
      <c r="O1198" s="93" t="str">
        <f>VLOOKUP(E1198, Sales_Reps!A:C, 3, FALSE)</f>
        <v>South</v>
      </c>
      <c r="P1198">
        <f>VLOOKUP(D1198, Products!A:E, 4, FALSE)</f>
        <v>1173</v>
      </c>
      <c r="Q1198">
        <f>IF(COUNTIF($A$2:A1198, A1198)=2, 1, 0)</f>
        <v>0</v>
      </c>
      <c r="R1198">
        <f>IF(ISNA(MATCH(C1198, Customers!$A:$A, 0)), 1, 0)</f>
        <v>0</v>
      </c>
      <c r="S1198" s="94" t="b">
        <f>VLOOKUP(D1198, Products!A:F, 6, FALSE)</f>
        <v>1</v>
      </c>
    </row>
    <row r="1199" spans="1:19">
      <c r="A1199" s="102" t="s">
        <v>1684</v>
      </c>
      <c r="B1199" s="2">
        <v>45334</v>
      </c>
      <c r="C1199" s="1" t="s">
        <v>266</v>
      </c>
      <c r="D1199" s="1" t="s">
        <v>147</v>
      </c>
      <c r="E1199" s="1" t="s">
        <v>132</v>
      </c>
      <c r="F1199" s="83">
        <v>4</v>
      </c>
      <c r="G1199" s="92">
        <v>190</v>
      </c>
      <c r="H1199" s="3">
        <v>2.6</v>
      </c>
      <c r="I1199" s="3">
        <v>740.24</v>
      </c>
      <c r="J1199" s="1" t="s">
        <v>87</v>
      </c>
      <c r="K1199" s="1" t="s">
        <v>99</v>
      </c>
      <c r="L1199" t="str">
        <f>VLOOKUP(D1199, Products!A:C, 3, FALSE)</f>
        <v>Sports</v>
      </c>
      <c r="M1199" t="str">
        <f>VLOOKUP(C1199, Customers!A:E, 5, FALSE)</f>
        <v>Corporate</v>
      </c>
      <c r="N1199">
        <f>VLOOKUP(C1199, Customers!A:E, 3, FALSE)</f>
        <v>55</v>
      </c>
      <c r="O1199" s="93" t="str">
        <f>VLOOKUP(E1199, Sales_Reps!A:C, 3, FALSE)</f>
        <v>South</v>
      </c>
      <c r="P1199">
        <f>VLOOKUP(D1199, Products!A:E, 4, FALSE)</f>
        <v>147</v>
      </c>
      <c r="Q1199">
        <f>IF(COUNTIF($A$2:A1199, A1199)=2, 1, 0)</f>
        <v>0</v>
      </c>
      <c r="R1199">
        <f>IF(ISNA(MATCH(C1199, Customers!$A:$A, 0)), 1, 0)</f>
        <v>0</v>
      </c>
      <c r="S1199" s="94" t="b">
        <f>VLOOKUP(D1199, Products!A:F, 6, FALSE)</f>
        <v>1</v>
      </c>
    </row>
    <row r="1200" spans="1:19">
      <c r="A1200" s="102" t="s">
        <v>1685</v>
      </c>
      <c r="B1200" s="2">
        <v>45300</v>
      </c>
      <c r="C1200" s="1" t="s">
        <v>1006</v>
      </c>
      <c r="D1200" s="1" t="s">
        <v>245</v>
      </c>
      <c r="E1200" s="1" t="s">
        <v>192</v>
      </c>
      <c r="F1200" s="83">
        <v>4</v>
      </c>
      <c r="G1200" s="92">
        <v>2270</v>
      </c>
      <c r="H1200" s="3">
        <v>8.1</v>
      </c>
      <c r="I1200" s="3">
        <v>8344.52</v>
      </c>
      <c r="J1200" s="1" t="s">
        <v>93</v>
      </c>
      <c r="K1200" s="1" t="s">
        <v>117</v>
      </c>
      <c r="L1200" t="str">
        <f>VLOOKUP(D1200, Products!A:C, 3, FALSE)</f>
        <v>Grocery</v>
      </c>
      <c r="M1200" t="str">
        <f>VLOOKUP(C1200, Customers!A:E, 5, FALSE)</f>
        <v>SMB</v>
      </c>
      <c r="N1200">
        <f>VLOOKUP(C1200, Customers!A:E, 3, FALSE)</f>
        <v>44</v>
      </c>
      <c r="O1200" s="93" t="str">
        <f>VLOOKUP(E1200, Sales_Reps!A:C, 3, FALSE)</f>
        <v>East</v>
      </c>
      <c r="P1200">
        <f>VLOOKUP(D1200, Products!A:E, 4, FALSE)</f>
        <v>1412</v>
      </c>
      <c r="Q1200">
        <f>IF(COUNTIF($A$2:A1200, A1200)=2, 1, 0)</f>
        <v>0</v>
      </c>
      <c r="R1200">
        <f>IF(ISNA(MATCH(C1200, Customers!$A:$A, 0)), 1, 0)</f>
        <v>0</v>
      </c>
      <c r="S1200" s="94" t="b">
        <f>VLOOKUP(D1200, Products!A:F, 6, FALSE)</f>
        <v>1</v>
      </c>
    </row>
    <row r="1201" spans="1:19">
      <c r="A1201" s="102" t="s">
        <v>1686</v>
      </c>
      <c r="B1201" s="2">
        <v>45400</v>
      </c>
      <c r="C1201" s="1" t="s">
        <v>510</v>
      </c>
      <c r="D1201" s="1" t="s">
        <v>355</v>
      </c>
      <c r="E1201" s="1" t="s">
        <v>128</v>
      </c>
      <c r="F1201" s="83">
        <v>7</v>
      </c>
      <c r="G1201" s="92">
        <v>2510</v>
      </c>
      <c r="H1201" s="3">
        <v>25.5</v>
      </c>
      <c r="I1201" s="3">
        <v>13089.65</v>
      </c>
      <c r="J1201" s="1" t="s">
        <v>87</v>
      </c>
      <c r="K1201" s="1" t="s">
        <v>117</v>
      </c>
      <c r="L1201" t="str">
        <f>VLOOKUP(D1201, Products!A:C, 3, FALSE)</f>
        <v>Apparel</v>
      </c>
      <c r="M1201" t="str">
        <f>VLOOKUP(C1201, Customers!A:E, 5, FALSE)</f>
        <v>SMB</v>
      </c>
      <c r="N1201">
        <f>VLOOKUP(C1201, Customers!A:E, 3, FALSE)</f>
        <v>26</v>
      </c>
      <c r="O1201" s="93" t="str">
        <f>VLOOKUP(E1201, Sales_Reps!A:C, 3, FALSE)</f>
        <v>West</v>
      </c>
      <c r="P1201">
        <f>VLOOKUP(D1201, Products!A:E, 4, FALSE)</f>
        <v>1075</v>
      </c>
      <c r="Q1201">
        <f>IF(COUNTIF($A$2:A1201, A1201)=2, 1, 0)</f>
        <v>0</v>
      </c>
      <c r="R1201">
        <f>IF(ISNA(MATCH(C1201, Customers!$A:$A, 0)), 1, 0)</f>
        <v>0</v>
      </c>
      <c r="S1201" s="94" t="b">
        <f>VLOOKUP(D1201, Products!A:F, 6, FALSE)</f>
        <v>0</v>
      </c>
    </row>
    <row r="1202" spans="1:19">
      <c r="A1202" s="102" t="s">
        <v>1687</v>
      </c>
      <c r="B1202" s="2">
        <v>45423</v>
      </c>
      <c r="C1202" s="1" t="s">
        <v>126</v>
      </c>
      <c r="D1202" s="1" t="s">
        <v>461</v>
      </c>
      <c r="E1202" s="1" t="s">
        <v>139</v>
      </c>
      <c r="F1202" s="83">
        <v>3</v>
      </c>
      <c r="G1202" s="92">
        <v>3780</v>
      </c>
      <c r="H1202" s="3">
        <v>16.8</v>
      </c>
      <c r="I1202" s="3">
        <v>9434.8799999999992</v>
      </c>
      <c r="J1202" s="1" t="s">
        <v>87</v>
      </c>
      <c r="K1202" s="1" t="s">
        <v>88</v>
      </c>
      <c r="L1202" t="str">
        <f>VLOOKUP(D1202, Products!A:C, 3, FALSE)</f>
        <v>Sports</v>
      </c>
      <c r="M1202" t="str">
        <f>VLOOKUP(C1202, Customers!A:E, 5, FALSE)</f>
        <v>Retail</v>
      </c>
      <c r="N1202">
        <f>VLOOKUP(C1202, Customers!A:E, 3, FALSE)</f>
        <v>56</v>
      </c>
      <c r="O1202" s="93" t="str">
        <f>VLOOKUP(E1202, Sales_Reps!A:C, 3, FALSE)</f>
        <v>North</v>
      </c>
      <c r="P1202">
        <f>VLOOKUP(D1202, Products!A:E, 4, FALSE)</f>
        <v>1860</v>
      </c>
      <c r="Q1202">
        <f>IF(COUNTIF($A$2:A1202, A1202)=2, 1, 0)</f>
        <v>0</v>
      </c>
      <c r="R1202">
        <f>IF(ISNA(MATCH(C1202, Customers!$A:$A, 0)), 1, 0)</f>
        <v>0</v>
      </c>
      <c r="S1202" s="94" t="b">
        <f>VLOOKUP(D1202, Products!A:F, 6, FALSE)</f>
        <v>1</v>
      </c>
    </row>
    <row r="1203" spans="1:19">
      <c r="A1203" s="102" t="s">
        <v>1688</v>
      </c>
      <c r="B1203" s="2">
        <v>45518</v>
      </c>
      <c r="C1203" s="1" t="s">
        <v>561</v>
      </c>
      <c r="D1203" s="1" t="s">
        <v>187</v>
      </c>
      <c r="E1203" s="1" t="s">
        <v>132</v>
      </c>
      <c r="F1203" s="83">
        <v>7</v>
      </c>
      <c r="G1203" s="92">
        <v>3570</v>
      </c>
      <c r="H1203" s="3">
        <v>23.7</v>
      </c>
      <c r="I1203" s="3">
        <v>19067.37</v>
      </c>
      <c r="J1203" s="1" t="s">
        <v>87</v>
      </c>
      <c r="K1203" s="1" t="s">
        <v>133</v>
      </c>
      <c r="L1203" t="str">
        <f>VLOOKUP(D1203, Products!A:C, 3, FALSE)</f>
        <v>Electronics</v>
      </c>
      <c r="M1203" t="str">
        <f>VLOOKUP(C1203, Customers!A:E, 5, FALSE)</f>
        <v>SMB</v>
      </c>
      <c r="N1203">
        <f>VLOOKUP(C1203, Customers!A:E, 3, FALSE)</f>
        <v>43</v>
      </c>
      <c r="O1203" s="93" t="str">
        <f>VLOOKUP(E1203, Sales_Reps!A:C, 3, FALSE)</f>
        <v>South</v>
      </c>
      <c r="P1203">
        <f>VLOOKUP(D1203, Products!A:E, 4, FALSE)</f>
        <v>1665</v>
      </c>
      <c r="Q1203">
        <f>IF(COUNTIF($A$2:A1203, A1203)=2, 1, 0)</f>
        <v>0</v>
      </c>
      <c r="R1203">
        <f>IF(ISNA(MATCH(C1203, Customers!$A:$A, 0)), 1, 0)</f>
        <v>0</v>
      </c>
      <c r="S1203" s="94" t="b">
        <f>VLOOKUP(D1203, Products!A:F, 6, FALSE)</f>
        <v>1</v>
      </c>
    </row>
    <row r="1204" spans="1:19">
      <c r="A1204" s="102" t="s">
        <v>1689</v>
      </c>
      <c r="B1204" s="2">
        <v>45559</v>
      </c>
      <c r="C1204" s="1" t="s">
        <v>427</v>
      </c>
      <c r="D1204" s="1" t="s">
        <v>203</v>
      </c>
      <c r="E1204" s="1" t="s">
        <v>273</v>
      </c>
      <c r="F1204" s="83">
        <v>4</v>
      </c>
      <c r="G1204" s="92">
        <v>660</v>
      </c>
      <c r="H1204" s="3">
        <v>3.6</v>
      </c>
      <c r="I1204" s="3">
        <v>2544.96</v>
      </c>
      <c r="J1204" s="1" t="s">
        <v>87</v>
      </c>
      <c r="K1204" s="1" t="s">
        <v>88</v>
      </c>
      <c r="L1204" t="str">
        <f>VLOOKUP(D1204, Products!A:C, 3, FALSE)</f>
        <v>Home</v>
      </c>
      <c r="M1204" t="str">
        <f>VLOOKUP(C1204, Customers!A:E, 5, FALSE)</f>
        <v>Corporate</v>
      </c>
      <c r="N1204">
        <f>VLOOKUP(C1204, Customers!A:E, 3, FALSE)</f>
        <v>48</v>
      </c>
      <c r="O1204" s="93" t="str">
        <f>VLOOKUP(E1204, Sales_Reps!A:C, 3, FALSE)</f>
        <v>South</v>
      </c>
      <c r="P1204">
        <f>VLOOKUP(D1204, Products!A:E, 4, FALSE)</f>
        <v>329</v>
      </c>
      <c r="Q1204">
        <f>IF(COUNTIF($A$2:A1204, A1204)=2, 1, 0)</f>
        <v>0</v>
      </c>
      <c r="R1204">
        <f>IF(ISNA(MATCH(C1204, Customers!$A:$A, 0)), 1, 0)</f>
        <v>0</v>
      </c>
      <c r="S1204" s="94" t="b">
        <f>VLOOKUP(D1204, Products!A:F, 6, FALSE)</f>
        <v>1</v>
      </c>
    </row>
    <row r="1205" spans="1:19">
      <c r="A1205" s="102" t="s">
        <v>1690</v>
      </c>
      <c r="B1205" s="2">
        <v>45501</v>
      </c>
      <c r="C1205" s="1" t="s">
        <v>1051</v>
      </c>
      <c r="D1205" s="1" t="s">
        <v>127</v>
      </c>
      <c r="E1205" s="1" t="s">
        <v>132</v>
      </c>
      <c r="F1205" s="83">
        <v>7</v>
      </c>
      <c r="G1205" s="92">
        <v>970</v>
      </c>
      <c r="H1205" s="3">
        <v>23.7</v>
      </c>
      <c r="I1205" s="3">
        <v>5180.7700000000004</v>
      </c>
      <c r="J1205" s="1" t="s">
        <v>87</v>
      </c>
      <c r="K1205" s="1" t="s">
        <v>112</v>
      </c>
      <c r="L1205" t="str">
        <f>VLOOKUP(D1205, Products!A:C, 3, FALSE)</f>
        <v>Grocery</v>
      </c>
      <c r="M1205" t="str">
        <f>VLOOKUP(C1205, Customers!A:E, 5, FALSE)</f>
        <v>Retail</v>
      </c>
      <c r="N1205">
        <f>VLOOKUP(C1205, Customers!A:E, 3, FALSE)</f>
        <v>54</v>
      </c>
      <c r="O1205" s="93" t="str">
        <f>VLOOKUP(E1205, Sales_Reps!A:C, 3, FALSE)</f>
        <v>South</v>
      </c>
      <c r="P1205">
        <f>VLOOKUP(D1205, Products!A:E, 4, FALSE)</f>
        <v>434</v>
      </c>
      <c r="Q1205">
        <f>IF(COUNTIF($A$2:A1205, A1205)=2, 1, 0)</f>
        <v>0</v>
      </c>
      <c r="R1205">
        <f>IF(ISNA(MATCH(C1205, Customers!$A:$A, 0)), 1, 0)</f>
        <v>0</v>
      </c>
      <c r="S1205" s="94" t="b">
        <f>VLOOKUP(D1205, Products!A:F, 6, FALSE)</f>
        <v>1</v>
      </c>
    </row>
    <row r="1206" spans="1:19">
      <c r="A1206" s="102" t="s">
        <v>1691</v>
      </c>
      <c r="B1206" s="2">
        <v>45338</v>
      </c>
      <c r="C1206" s="1" t="s">
        <v>868</v>
      </c>
      <c r="D1206" s="1" t="s">
        <v>131</v>
      </c>
      <c r="E1206" s="1" t="s">
        <v>103</v>
      </c>
      <c r="F1206" s="83">
        <v>8</v>
      </c>
      <c r="G1206" s="92">
        <v>2270</v>
      </c>
      <c r="H1206" s="3">
        <v>6.8</v>
      </c>
      <c r="I1206" s="3">
        <v>16925.12</v>
      </c>
      <c r="J1206" s="1" t="s">
        <v>87</v>
      </c>
      <c r="K1206" s="1" t="s">
        <v>99</v>
      </c>
      <c r="L1206" t="str">
        <f>VLOOKUP(D1206, Products!A:C, 3, FALSE)</f>
        <v>Grocery</v>
      </c>
      <c r="M1206" t="str">
        <f>VLOOKUP(C1206, Customers!A:E, 5, FALSE)</f>
        <v>SMB</v>
      </c>
      <c r="N1206">
        <f>VLOOKUP(C1206, Customers!A:E, 3, FALSE)</f>
        <v>38</v>
      </c>
      <c r="O1206" s="93" t="str">
        <f>VLOOKUP(E1206, Sales_Reps!A:C, 3, FALSE)</f>
        <v>North</v>
      </c>
      <c r="P1206">
        <f>VLOOKUP(D1206, Products!A:E, 4, FALSE)</f>
        <v>1203</v>
      </c>
      <c r="Q1206">
        <f>IF(COUNTIF($A$2:A1206, A1206)=2, 1, 0)</f>
        <v>0</v>
      </c>
      <c r="R1206">
        <f>IF(ISNA(MATCH(C1206, Customers!$A:$A, 0)), 1, 0)</f>
        <v>0</v>
      </c>
      <c r="S1206" s="94" t="b">
        <f>VLOOKUP(D1206, Products!A:F, 6, FALSE)</f>
        <v>1</v>
      </c>
    </row>
    <row r="1207" spans="1:19">
      <c r="A1207" s="102" t="s">
        <v>1692</v>
      </c>
      <c r="B1207" s="2">
        <v>45585</v>
      </c>
      <c r="C1207" s="1" t="s">
        <v>617</v>
      </c>
      <c r="D1207" s="1" t="s">
        <v>151</v>
      </c>
      <c r="E1207" s="1" t="s">
        <v>325</v>
      </c>
      <c r="F1207" s="83">
        <v>1</v>
      </c>
      <c r="G1207" s="92">
        <v>2400</v>
      </c>
      <c r="H1207" s="3">
        <v>26.5</v>
      </c>
      <c r="I1207" s="3">
        <v>1764</v>
      </c>
      <c r="J1207" s="1" t="s">
        <v>87</v>
      </c>
      <c r="K1207" s="1" t="s">
        <v>112</v>
      </c>
      <c r="L1207" t="str">
        <f>VLOOKUP(D1207, Products!A:C, 3, FALSE)</f>
        <v>Sports</v>
      </c>
      <c r="M1207" t="str">
        <f>VLOOKUP(C1207, Customers!A:E, 5, FALSE)</f>
        <v>SMB</v>
      </c>
      <c r="N1207">
        <f>VLOOKUP(C1207, Customers!A:E, 3, FALSE)</f>
        <v>65</v>
      </c>
      <c r="O1207" s="93" t="str">
        <f>VLOOKUP(E1207, Sales_Reps!A:C, 3, FALSE)</f>
        <v>South</v>
      </c>
      <c r="P1207">
        <f>VLOOKUP(D1207, Products!A:E, 4, FALSE)</f>
        <v>974</v>
      </c>
      <c r="Q1207">
        <f>IF(COUNTIF($A$2:A1207, A1207)=2, 1, 0)</f>
        <v>0</v>
      </c>
      <c r="R1207">
        <f>IF(ISNA(MATCH(C1207, Customers!$A:$A, 0)), 1, 0)</f>
        <v>0</v>
      </c>
      <c r="S1207" s="94" t="b">
        <f>VLOOKUP(D1207, Products!A:F, 6, FALSE)</f>
        <v>1</v>
      </c>
    </row>
    <row r="1208" spans="1:19">
      <c r="A1208" s="102" t="s">
        <v>1693</v>
      </c>
      <c r="B1208" s="2">
        <v>45525</v>
      </c>
      <c r="C1208" s="1" t="s">
        <v>643</v>
      </c>
      <c r="D1208" s="1" t="s">
        <v>443</v>
      </c>
      <c r="E1208" s="1" t="s">
        <v>132</v>
      </c>
      <c r="F1208" s="83">
        <v>5</v>
      </c>
      <c r="G1208" s="92">
        <v>5080</v>
      </c>
      <c r="H1208" s="3">
        <v>29.6</v>
      </c>
      <c r="I1208" s="3">
        <v>17881.599999999999</v>
      </c>
      <c r="J1208" s="1" t="s">
        <v>87</v>
      </c>
      <c r="K1208" s="1" t="s">
        <v>112</v>
      </c>
      <c r="L1208" t="str">
        <f>VLOOKUP(D1208, Products!A:C, 3, FALSE)</f>
        <v>Home</v>
      </c>
      <c r="M1208" t="str">
        <f>VLOOKUP(C1208, Customers!A:E, 5, FALSE)</f>
        <v>SMB</v>
      </c>
      <c r="N1208">
        <f>VLOOKUP(C1208, Customers!A:E, 3, FALSE)</f>
        <v>27</v>
      </c>
      <c r="O1208" s="93" t="str">
        <f>VLOOKUP(E1208, Sales_Reps!A:C, 3, FALSE)</f>
        <v>South</v>
      </c>
      <c r="P1208">
        <f>VLOOKUP(D1208, Products!A:E, 4, FALSE)</f>
        <v>2459</v>
      </c>
      <c r="Q1208">
        <f>IF(COUNTIF($A$2:A1208, A1208)=2, 1, 0)</f>
        <v>0</v>
      </c>
      <c r="R1208">
        <f>IF(ISNA(MATCH(C1208, Customers!$A:$A, 0)), 1, 0)</f>
        <v>0</v>
      </c>
      <c r="S1208" s="94" t="b">
        <f>VLOOKUP(D1208, Products!A:F, 6, FALSE)</f>
        <v>1</v>
      </c>
    </row>
    <row r="1209" spans="1:19">
      <c r="A1209" s="102" t="s">
        <v>1694</v>
      </c>
      <c r="B1209" s="2">
        <v>45351</v>
      </c>
      <c r="C1209" s="1" t="s">
        <v>310</v>
      </c>
      <c r="D1209" s="1" t="s">
        <v>179</v>
      </c>
      <c r="E1209" s="1" t="s">
        <v>98</v>
      </c>
      <c r="F1209" s="83">
        <v>9</v>
      </c>
      <c r="G1209" s="92">
        <v>3350</v>
      </c>
      <c r="H1209" s="3">
        <v>6.2</v>
      </c>
      <c r="I1209" s="3">
        <v>28280.7</v>
      </c>
      <c r="J1209" s="1" t="s">
        <v>87</v>
      </c>
      <c r="K1209" s="1" t="s">
        <v>117</v>
      </c>
      <c r="L1209" t="str">
        <f>VLOOKUP(D1209, Products!A:C, 3, FALSE)</f>
        <v>Beauty</v>
      </c>
      <c r="M1209" t="str">
        <f>VLOOKUP(C1209, Customers!A:E, 5, FALSE)</f>
        <v>Retail</v>
      </c>
      <c r="N1209">
        <f>VLOOKUP(C1209, Customers!A:E, 3, FALSE)</f>
        <v>42</v>
      </c>
      <c r="O1209" s="93" t="str">
        <f>VLOOKUP(E1209, Sales_Reps!A:C, 3, FALSE)</f>
        <v>South</v>
      </c>
      <c r="P1209">
        <f>VLOOKUP(D1209, Products!A:E, 4, FALSE)</f>
        <v>1728</v>
      </c>
      <c r="Q1209">
        <f>IF(COUNTIF($A$2:A1209, A1209)=2, 1, 0)</f>
        <v>0</v>
      </c>
      <c r="R1209">
        <f>IF(ISNA(MATCH(C1209, Customers!$A:$A, 0)), 1, 0)</f>
        <v>0</v>
      </c>
      <c r="S1209" s="94" t="b">
        <f>VLOOKUP(D1209, Products!A:F, 6, FALSE)</f>
        <v>1</v>
      </c>
    </row>
    <row r="1210" spans="1:19">
      <c r="A1210" s="102" t="s">
        <v>1695</v>
      </c>
      <c r="B1210" s="2">
        <v>45560</v>
      </c>
      <c r="C1210" s="1" t="s">
        <v>795</v>
      </c>
      <c r="D1210" s="1" t="s">
        <v>259</v>
      </c>
      <c r="E1210" s="1" t="s">
        <v>215</v>
      </c>
      <c r="F1210" s="83">
        <v>4</v>
      </c>
      <c r="G1210" s="92">
        <v>1540</v>
      </c>
      <c r="H1210" s="3">
        <v>22.2</v>
      </c>
      <c r="I1210" s="3">
        <v>4792.4799999999996</v>
      </c>
      <c r="J1210" s="1" t="s">
        <v>87</v>
      </c>
      <c r="K1210" s="1" t="s">
        <v>94</v>
      </c>
      <c r="L1210" t="str">
        <f>VLOOKUP(D1210, Products!A:C, 3, FALSE)</f>
        <v>Beauty</v>
      </c>
      <c r="M1210" t="str">
        <f>VLOOKUP(C1210, Customers!A:E, 5, FALSE)</f>
        <v>Retail</v>
      </c>
      <c r="N1210">
        <f>VLOOKUP(C1210, Customers!A:E, 3, FALSE)</f>
        <v>22</v>
      </c>
      <c r="O1210" s="93" t="str">
        <f>VLOOKUP(E1210, Sales_Reps!A:C, 3, FALSE)</f>
        <v>North</v>
      </c>
      <c r="P1210">
        <f>VLOOKUP(D1210, Products!A:E, 4, FALSE)</f>
        <v>647</v>
      </c>
      <c r="Q1210">
        <f>IF(COUNTIF($A$2:A1210, A1210)=2, 1, 0)</f>
        <v>0</v>
      </c>
      <c r="R1210">
        <f>IF(ISNA(MATCH(C1210, Customers!$A:$A, 0)), 1, 0)</f>
        <v>0</v>
      </c>
      <c r="S1210" s="94" t="b">
        <f>VLOOKUP(D1210, Products!A:F, 6, FALSE)</f>
        <v>0</v>
      </c>
    </row>
    <row r="1211" spans="1:19">
      <c r="A1211" s="102" t="s">
        <v>1696</v>
      </c>
      <c r="B1211" s="2">
        <v>45431</v>
      </c>
      <c r="C1211" s="1" t="s">
        <v>557</v>
      </c>
      <c r="D1211" s="1" t="s">
        <v>443</v>
      </c>
      <c r="E1211" s="1" t="s">
        <v>297</v>
      </c>
      <c r="F1211" s="83">
        <v>10</v>
      </c>
      <c r="G1211" s="92">
        <v>5080</v>
      </c>
      <c r="H1211" s="3">
        <v>11.8</v>
      </c>
      <c r="I1211" s="3">
        <v>44805.599999999999</v>
      </c>
      <c r="J1211" s="1" t="s">
        <v>87</v>
      </c>
      <c r="K1211" s="1" t="s">
        <v>112</v>
      </c>
      <c r="L1211" t="str">
        <f>VLOOKUP(D1211, Products!A:C, 3, FALSE)</f>
        <v>Home</v>
      </c>
      <c r="M1211" t="str">
        <f>VLOOKUP(C1211, Customers!A:E, 5, FALSE)</f>
        <v>Retail</v>
      </c>
      <c r="N1211">
        <f>VLOOKUP(C1211, Customers!A:E, 3, FALSE)</f>
        <v>65</v>
      </c>
      <c r="O1211" s="93" t="str">
        <f>VLOOKUP(E1211, Sales_Reps!A:C, 3, FALSE)</f>
        <v>North</v>
      </c>
      <c r="P1211">
        <f>VLOOKUP(D1211, Products!A:E, 4, FALSE)</f>
        <v>2459</v>
      </c>
      <c r="Q1211">
        <f>IF(COUNTIF($A$2:A1211, A1211)=2, 1, 0)</f>
        <v>0</v>
      </c>
      <c r="R1211">
        <f>IF(ISNA(MATCH(C1211, Customers!$A:$A, 0)), 1, 0)</f>
        <v>0</v>
      </c>
      <c r="S1211" s="94" t="b">
        <f>VLOOKUP(D1211, Products!A:F, 6, FALSE)</f>
        <v>1</v>
      </c>
    </row>
    <row r="1212" spans="1:19">
      <c r="A1212" s="102" t="s">
        <v>1697</v>
      </c>
      <c r="B1212" s="2">
        <v>45296</v>
      </c>
      <c r="C1212" s="1" t="s">
        <v>956</v>
      </c>
      <c r="D1212" s="1" t="s">
        <v>659</v>
      </c>
      <c r="E1212" s="1" t="s">
        <v>325</v>
      </c>
      <c r="F1212" s="83">
        <v>9</v>
      </c>
      <c r="G1212" s="92">
        <v>3560</v>
      </c>
      <c r="H1212" s="3">
        <v>15.9</v>
      </c>
      <c r="I1212" s="3">
        <v>26945.64</v>
      </c>
      <c r="J1212" s="1" t="s">
        <v>87</v>
      </c>
      <c r="K1212" s="1" t="s">
        <v>112</v>
      </c>
      <c r="L1212" t="str">
        <f>VLOOKUP(D1212, Products!A:C, 3, FALSE)</f>
        <v>Apparel</v>
      </c>
      <c r="M1212" t="str">
        <f>VLOOKUP(C1212, Customers!A:E, 5, FALSE)</f>
        <v>Retail</v>
      </c>
      <c r="N1212">
        <f>VLOOKUP(C1212, Customers!A:E, 3, FALSE)</f>
        <v>49</v>
      </c>
      <c r="O1212" s="93" t="str">
        <f>VLOOKUP(E1212, Sales_Reps!A:C, 3, FALSE)</f>
        <v>South</v>
      </c>
      <c r="P1212">
        <f>VLOOKUP(D1212, Products!A:E, 4, FALSE)</f>
        <v>2629</v>
      </c>
      <c r="Q1212">
        <f>IF(COUNTIF($A$2:A1212, A1212)=2, 1, 0)</f>
        <v>0</v>
      </c>
      <c r="R1212">
        <f>IF(ISNA(MATCH(C1212, Customers!$A:$A, 0)), 1, 0)</f>
        <v>0</v>
      </c>
      <c r="S1212" s="94" t="b">
        <f>VLOOKUP(D1212, Products!A:F, 6, FALSE)</f>
        <v>1</v>
      </c>
    </row>
    <row r="1213" spans="1:19">
      <c r="A1213" s="102" t="s">
        <v>1698</v>
      </c>
      <c r="B1213" s="2">
        <v>45629</v>
      </c>
      <c r="C1213" s="1" t="s">
        <v>1000</v>
      </c>
      <c r="D1213" s="1" t="s">
        <v>164</v>
      </c>
      <c r="E1213" s="1" t="s">
        <v>204</v>
      </c>
      <c r="F1213" s="83">
        <v>2</v>
      </c>
      <c r="G1213" s="92">
        <v>1080</v>
      </c>
      <c r="H1213" s="3">
        <v>21.1</v>
      </c>
      <c r="I1213" s="3">
        <v>1704.24</v>
      </c>
      <c r="J1213" s="1" t="s">
        <v>87</v>
      </c>
      <c r="K1213" s="1" t="s">
        <v>117</v>
      </c>
      <c r="L1213" t="str">
        <f>VLOOKUP(D1213, Products!A:C, 3, FALSE)</f>
        <v>Home</v>
      </c>
      <c r="M1213" t="str">
        <f>VLOOKUP(C1213, Customers!A:E, 5, FALSE)</f>
        <v>Retail</v>
      </c>
      <c r="N1213">
        <f>VLOOKUP(C1213, Customers!A:E, 3, FALSE)</f>
        <v>27</v>
      </c>
      <c r="O1213" s="93" t="str">
        <f>VLOOKUP(E1213, Sales_Reps!A:C, 3, FALSE)</f>
        <v>South</v>
      </c>
      <c r="P1213">
        <f>VLOOKUP(D1213, Products!A:E, 4, FALSE)</f>
        <v>519</v>
      </c>
      <c r="Q1213">
        <f>IF(COUNTIF($A$2:A1213, A1213)=2, 1, 0)</f>
        <v>0</v>
      </c>
      <c r="R1213">
        <f>IF(ISNA(MATCH(C1213, Customers!$A:$A, 0)), 1, 0)</f>
        <v>0</v>
      </c>
      <c r="S1213" s="94" t="b">
        <f>VLOOKUP(D1213, Products!A:F, 6, FALSE)</f>
        <v>1</v>
      </c>
    </row>
    <row r="1214" spans="1:19">
      <c r="A1214" s="102" t="s">
        <v>1699</v>
      </c>
      <c r="B1214" s="2">
        <v>45310</v>
      </c>
      <c r="C1214" s="1" t="s">
        <v>392</v>
      </c>
      <c r="D1214" s="1" t="s">
        <v>367</v>
      </c>
      <c r="E1214" s="1" t="s">
        <v>303</v>
      </c>
      <c r="F1214" s="83">
        <v>5</v>
      </c>
      <c r="G1214" s="92">
        <v>2380</v>
      </c>
      <c r="H1214" s="3">
        <v>20.5</v>
      </c>
      <c r="I1214" s="3">
        <v>9460.5</v>
      </c>
      <c r="J1214" s="1" t="s">
        <v>87</v>
      </c>
      <c r="K1214" s="1" t="s">
        <v>112</v>
      </c>
      <c r="L1214" t="str">
        <f>VLOOKUP(D1214, Products!A:C, 3, FALSE)</f>
        <v>Grocery</v>
      </c>
      <c r="M1214" t="str">
        <f>VLOOKUP(C1214, Customers!A:E, 5, FALSE)</f>
        <v>Retail</v>
      </c>
      <c r="N1214">
        <f>VLOOKUP(C1214, Customers!A:E, 3, FALSE)</f>
        <v>50</v>
      </c>
      <c r="O1214" s="93" t="str">
        <f>VLOOKUP(E1214, Sales_Reps!A:C, 3, FALSE)</f>
        <v>East</v>
      </c>
      <c r="P1214">
        <f>VLOOKUP(D1214, Products!A:E, 4, FALSE)</f>
        <v>1182</v>
      </c>
      <c r="Q1214">
        <f>IF(COUNTIF($A$2:A1214, A1214)=2, 1, 0)</f>
        <v>0</v>
      </c>
      <c r="R1214">
        <f>IF(ISNA(MATCH(C1214, Customers!$A:$A, 0)), 1, 0)</f>
        <v>0</v>
      </c>
      <c r="S1214" s="94" t="b">
        <f>VLOOKUP(D1214, Products!A:F, 6, FALSE)</f>
        <v>1</v>
      </c>
    </row>
    <row r="1215" spans="1:19">
      <c r="A1215" s="102" t="s">
        <v>1700</v>
      </c>
      <c r="B1215" s="2">
        <v>45498</v>
      </c>
      <c r="C1215" s="1" t="s">
        <v>318</v>
      </c>
      <c r="D1215" s="1" t="s">
        <v>167</v>
      </c>
      <c r="E1215" s="1" t="s">
        <v>111</v>
      </c>
      <c r="F1215" s="83">
        <v>9</v>
      </c>
      <c r="G1215" s="92">
        <v>2480</v>
      </c>
      <c r="H1215" s="3">
        <v>1.2</v>
      </c>
      <c r="I1215" s="3">
        <v>22052.16</v>
      </c>
      <c r="J1215" s="1" t="s">
        <v>87</v>
      </c>
      <c r="K1215" s="1" t="s">
        <v>94</v>
      </c>
      <c r="L1215" t="str">
        <f>VLOOKUP(D1215, Products!A:C, 3, FALSE)</f>
        <v>Apparel</v>
      </c>
      <c r="M1215" t="str">
        <f>VLOOKUP(C1215, Customers!A:E, 5, FALSE)</f>
        <v>SMB</v>
      </c>
      <c r="N1215">
        <f>VLOOKUP(C1215, Customers!A:E, 3, FALSE)</f>
        <v>57</v>
      </c>
      <c r="O1215" s="93" t="str">
        <f>VLOOKUP(E1215, Sales_Reps!A:C, 3, FALSE)</f>
        <v>West</v>
      </c>
      <c r="P1215">
        <f>VLOOKUP(D1215, Products!A:E, 4, FALSE)</f>
        <v>1173</v>
      </c>
      <c r="Q1215">
        <f>IF(COUNTIF($A$2:A1215, A1215)=2, 1, 0)</f>
        <v>0</v>
      </c>
      <c r="R1215">
        <f>IF(ISNA(MATCH(C1215, Customers!$A:$A, 0)), 1, 0)</f>
        <v>0</v>
      </c>
      <c r="S1215" s="94" t="b">
        <f>VLOOKUP(D1215, Products!A:F, 6, FALSE)</f>
        <v>1</v>
      </c>
    </row>
    <row r="1216" spans="1:19">
      <c r="A1216" s="102" t="s">
        <v>1701</v>
      </c>
      <c r="B1216" s="2">
        <v>45348</v>
      </c>
      <c r="C1216" s="1" t="s">
        <v>741</v>
      </c>
      <c r="D1216" s="1" t="s">
        <v>386</v>
      </c>
      <c r="E1216" s="1" t="s">
        <v>325</v>
      </c>
      <c r="F1216" s="83">
        <v>9</v>
      </c>
      <c r="G1216" s="92">
        <v>2290</v>
      </c>
      <c r="H1216" s="3">
        <v>0.9</v>
      </c>
      <c r="I1216" s="3">
        <v>20424.509999999998</v>
      </c>
      <c r="J1216" s="1" t="s">
        <v>87</v>
      </c>
      <c r="K1216" s="1" t="s">
        <v>133</v>
      </c>
      <c r="L1216" t="str">
        <f>VLOOKUP(D1216, Products!A:C, 3, FALSE)</f>
        <v>Beauty</v>
      </c>
      <c r="M1216" t="str">
        <f>VLOOKUP(C1216, Customers!A:E, 5, FALSE)</f>
        <v>SMB</v>
      </c>
      <c r="N1216">
        <f>VLOOKUP(C1216, Customers!A:E, 3, FALSE)</f>
        <v>29</v>
      </c>
      <c r="O1216" s="93" t="str">
        <f>VLOOKUP(E1216, Sales_Reps!A:C, 3, FALSE)</f>
        <v>South</v>
      </c>
      <c r="P1216">
        <f>VLOOKUP(D1216, Products!A:E, 4, FALSE)</f>
        <v>1219</v>
      </c>
      <c r="Q1216">
        <f>IF(COUNTIF($A$2:A1216, A1216)=2, 1, 0)</f>
        <v>0</v>
      </c>
      <c r="R1216">
        <f>IF(ISNA(MATCH(C1216, Customers!$A:$A, 0)), 1, 0)</f>
        <v>0</v>
      </c>
      <c r="S1216" s="94" t="b">
        <f>VLOOKUP(D1216, Products!A:F, 6, FALSE)</f>
        <v>1</v>
      </c>
    </row>
    <row r="1217" spans="1:19">
      <c r="A1217" s="102" t="s">
        <v>1702</v>
      </c>
      <c r="B1217" s="2">
        <v>45382</v>
      </c>
      <c r="C1217" s="1" t="s">
        <v>528</v>
      </c>
      <c r="D1217" s="1" t="s">
        <v>452</v>
      </c>
      <c r="E1217" s="1" t="s">
        <v>273</v>
      </c>
      <c r="F1217" s="83">
        <v>3</v>
      </c>
      <c r="G1217" s="92">
        <v>3450</v>
      </c>
      <c r="H1217" s="3">
        <v>29.5</v>
      </c>
      <c r="I1217" s="3">
        <v>7296.75</v>
      </c>
      <c r="J1217" s="1" t="s">
        <v>87</v>
      </c>
      <c r="K1217" s="1" t="s">
        <v>112</v>
      </c>
      <c r="L1217" t="str">
        <f>VLOOKUP(D1217, Products!A:C, 3, FALSE)</f>
        <v>Apparel</v>
      </c>
      <c r="M1217" t="str">
        <f>VLOOKUP(C1217, Customers!A:E, 5, FALSE)</f>
        <v>Retail</v>
      </c>
      <c r="N1217">
        <f>VLOOKUP(C1217, Customers!A:E, 3, FALSE)</f>
        <v>44</v>
      </c>
      <c r="O1217" s="93" t="str">
        <f>VLOOKUP(E1217, Sales_Reps!A:C, 3, FALSE)</f>
        <v>South</v>
      </c>
      <c r="P1217">
        <f>VLOOKUP(D1217, Products!A:E, 4, FALSE)</f>
        <v>1748</v>
      </c>
      <c r="Q1217">
        <f>IF(COUNTIF($A$2:A1217, A1217)=2, 1, 0)</f>
        <v>0</v>
      </c>
      <c r="R1217">
        <f>IF(ISNA(MATCH(C1217, Customers!$A:$A, 0)), 1, 0)</f>
        <v>0</v>
      </c>
      <c r="S1217" s="94" t="b">
        <f>VLOOKUP(D1217, Products!A:F, 6, FALSE)</f>
        <v>1</v>
      </c>
    </row>
    <row r="1218" spans="1:19">
      <c r="A1218" s="102" t="s">
        <v>1703</v>
      </c>
      <c r="B1218" s="2">
        <v>45569</v>
      </c>
      <c r="C1218" s="1" t="s">
        <v>137</v>
      </c>
      <c r="D1218" s="1" t="s">
        <v>157</v>
      </c>
      <c r="E1218" s="1" t="s">
        <v>116</v>
      </c>
      <c r="F1218" s="83">
        <v>9</v>
      </c>
      <c r="G1218" s="92">
        <v>3450</v>
      </c>
      <c r="H1218" s="3">
        <v>19.399999999999999</v>
      </c>
      <c r="I1218" s="3">
        <v>25026.3</v>
      </c>
      <c r="J1218" s="1" t="s">
        <v>87</v>
      </c>
      <c r="K1218" s="1" t="s">
        <v>99</v>
      </c>
      <c r="L1218" t="str">
        <f>VLOOKUP(D1218, Products!A:C, 3, FALSE)</f>
        <v>Beauty</v>
      </c>
      <c r="M1218" t="str">
        <f>VLOOKUP(C1218, Customers!A:E, 5, FALSE)</f>
        <v>SMB</v>
      </c>
      <c r="N1218">
        <f>VLOOKUP(C1218, Customers!A:E, 3, FALSE)</f>
        <v>27</v>
      </c>
      <c r="O1218" s="93" t="str">
        <f>VLOOKUP(E1218, Sales_Reps!A:C, 3, FALSE)</f>
        <v>West</v>
      </c>
      <c r="P1218">
        <f>VLOOKUP(D1218, Products!A:E, 4, FALSE)</f>
        <v>2420</v>
      </c>
      <c r="Q1218">
        <f>IF(COUNTIF($A$2:A1218, A1218)=2, 1, 0)</f>
        <v>0</v>
      </c>
      <c r="R1218">
        <f>IF(ISNA(MATCH(C1218, Customers!$A:$A, 0)), 1, 0)</f>
        <v>0</v>
      </c>
      <c r="S1218" s="94" t="b">
        <f>VLOOKUP(D1218, Products!A:F, 6, FALSE)</f>
        <v>1</v>
      </c>
    </row>
    <row r="1219" spans="1:19">
      <c r="A1219" s="102" t="s">
        <v>1704</v>
      </c>
      <c r="B1219" s="2">
        <v>45516</v>
      </c>
      <c r="C1219" s="1" t="s">
        <v>331</v>
      </c>
      <c r="D1219" s="1" t="s">
        <v>138</v>
      </c>
      <c r="E1219" s="1" t="s">
        <v>170</v>
      </c>
      <c r="F1219" s="83">
        <v>2</v>
      </c>
      <c r="G1219" s="92">
        <v>2600</v>
      </c>
      <c r="H1219" s="3">
        <v>20.2</v>
      </c>
      <c r="I1219" s="3">
        <v>4149.6000000000004</v>
      </c>
      <c r="J1219" s="1" t="s">
        <v>140</v>
      </c>
      <c r="K1219" s="1" t="s">
        <v>117</v>
      </c>
      <c r="L1219" t="str">
        <f>VLOOKUP(D1219, Products!A:C, 3, FALSE)</f>
        <v>Electronics</v>
      </c>
      <c r="M1219" t="str">
        <f>VLOOKUP(C1219, Customers!A:E, 5, FALSE)</f>
        <v>Corporate</v>
      </c>
      <c r="N1219">
        <f>VLOOKUP(C1219, Customers!A:E, 3, FALSE)</f>
        <v>59</v>
      </c>
      <c r="O1219" s="93" t="str">
        <f>VLOOKUP(E1219, Sales_Reps!A:C, 3, FALSE)</f>
        <v>West</v>
      </c>
      <c r="P1219">
        <f>VLOOKUP(D1219, Products!A:E, 4, FALSE)</f>
        <v>1052</v>
      </c>
      <c r="Q1219">
        <f>IF(COUNTIF($A$2:A1219, A1219)=2, 1, 0)</f>
        <v>0</v>
      </c>
      <c r="R1219">
        <f>IF(ISNA(MATCH(C1219, Customers!$A:$A, 0)), 1, 0)</f>
        <v>0</v>
      </c>
      <c r="S1219" s="94" t="b">
        <f>VLOOKUP(D1219, Products!A:F, 6, FALSE)</f>
        <v>1</v>
      </c>
    </row>
    <row r="1220" spans="1:19">
      <c r="A1220" s="102" t="s">
        <v>1705</v>
      </c>
      <c r="B1220" s="2">
        <v>45519</v>
      </c>
      <c r="C1220" s="1" t="s">
        <v>1016</v>
      </c>
      <c r="D1220" s="1" t="s">
        <v>200</v>
      </c>
      <c r="E1220" s="1" t="s">
        <v>111</v>
      </c>
      <c r="F1220" s="83">
        <v>1</v>
      </c>
      <c r="G1220" s="92">
        <v>2760</v>
      </c>
      <c r="H1220" s="3">
        <v>9.5</v>
      </c>
      <c r="I1220" s="3">
        <v>2497.8000000000002</v>
      </c>
      <c r="J1220" s="1" t="s">
        <v>87</v>
      </c>
      <c r="K1220" s="1" t="s">
        <v>117</v>
      </c>
      <c r="L1220" t="str">
        <f>VLOOKUP(D1220, Products!A:C, 3, FALSE)</f>
        <v>Grocery</v>
      </c>
      <c r="M1220" t="str">
        <f>VLOOKUP(C1220, Customers!A:E, 5, FALSE)</f>
        <v>SMB</v>
      </c>
      <c r="N1220">
        <f>VLOOKUP(C1220, Customers!A:E, 3, FALSE)</f>
        <v>49</v>
      </c>
      <c r="O1220" s="93" t="str">
        <f>VLOOKUP(E1220, Sales_Reps!A:C, 3, FALSE)</f>
        <v>West</v>
      </c>
      <c r="P1220">
        <f>VLOOKUP(D1220, Products!A:E, 4, FALSE)</f>
        <v>1435</v>
      </c>
      <c r="Q1220">
        <f>IF(COUNTIF($A$2:A1220, A1220)=2, 1, 0)</f>
        <v>0</v>
      </c>
      <c r="R1220">
        <f>IF(ISNA(MATCH(C1220, Customers!$A:$A, 0)), 1, 0)</f>
        <v>0</v>
      </c>
      <c r="S1220" s="94" t="b">
        <f>VLOOKUP(D1220, Products!A:F, 6, FALSE)</f>
        <v>1</v>
      </c>
    </row>
    <row r="1221" spans="1:19">
      <c r="A1221" s="102" t="s">
        <v>1706</v>
      </c>
      <c r="B1221" s="2">
        <v>45593</v>
      </c>
      <c r="C1221" s="1" t="s">
        <v>599</v>
      </c>
      <c r="D1221" s="1" t="s">
        <v>270</v>
      </c>
      <c r="E1221" s="1" t="s">
        <v>148</v>
      </c>
      <c r="F1221" s="83">
        <v>4</v>
      </c>
      <c r="G1221" s="92">
        <v>4610</v>
      </c>
      <c r="H1221" s="3">
        <v>14.8</v>
      </c>
      <c r="I1221" s="3">
        <v>15710.88</v>
      </c>
      <c r="J1221" s="1" t="s">
        <v>87</v>
      </c>
      <c r="K1221" s="1" t="s">
        <v>117</v>
      </c>
      <c r="L1221" t="str">
        <f>VLOOKUP(D1221, Products!A:C, 3, FALSE)</f>
        <v>Home</v>
      </c>
      <c r="M1221" t="str">
        <f>VLOOKUP(C1221, Customers!A:E, 5, FALSE)</f>
        <v>Corporate</v>
      </c>
      <c r="N1221">
        <f>VLOOKUP(C1221, Customers!A:E, 3, FALSE)</f>
        <v>26</v>
      </c>
      <c r="O1221" s="93" t="str">
        <f>VLOOKUP(E1221, Sales_Reps!A:C, 3, FALSE)</f>
        <v>North</v>
      </c>
      <c r="P1221">
        <f>VLOOKUP(D1221, Products!A:E, 4, FALSE)</f>
        <v>1850</v>
      </c>
      <c r="Q1221">
        <f>IF(COUNTIF($A$2:A1221, A1221)=2, 1, 0)</f>
        <v>0</v>
      </c>
      <c r="R1221">
        <f>IF(ISNA(MATCH(C1221, Customers!$A:$A, 0)), 1, 0)</f>
        <v>0</v>
      </c>
      <c r="S1221" s="94" t="b">
        <f>VLOOKUP(D1221, Products!A:F, 6, FALSE)</f>
        <v>1</v>
      </c>
    </row>
    <row r="1222" spans="1:19">
      <c r="A1222" s="102" t="s">
        <v>1707</v>
      </c>
      <c r="B1222" s="2">
        <v>45532</v>
      </c>
      <c r="C1222" s="1" t="s">
        <v>130</v>
      </c>
      <c r="D1222" s="1" t="s">
        <v>167</v>
      </c>
      <c r="E1222" s="1" t="s">
        <v>116</v>
      </c>
      <c r="F1222" s="83">
        <v>3</v>
      </c>
      <c r="G1222" s="92">
        <v>2480</v>
      </c>
      <c r="H1222" s="3">
        <v>3.7</v>
      </c>
      <c r="I1222" s="3">
        <v>7164.72</v>
      </c>
      <c r="J1222" s="1" t="s">
        <v>87</v>
      </c>
      <c r="K1222" s="1" t="s">
        <v>133</v>
      </c>
      <c r="L1222" t="str">
        <f>VLOOKUP(D1222, Products!A:C, 3, FALSE)</f>
        <v>Apparel</v>
      </c>
      <c r="M1222" t="str">
        <f>VLOOKUP(C1222, Customers!A:E, 5, FALSE)</f>
        <v>Retail</v>
      </c>
      <c r="N1222">
        <f>VLOOKUP(C1222, Customers!A:E, 3, FALSE)</f>
        <v>60</v>
      </c>
      <c r="O1222" s="93" t="str">
        <f>VLOOKUP(E1222, Sales_Reps!A:C, 3, FALSE)</f>
        <v>West</v>
      </c>
      <c r="P1222">
        <f>VLOOKUP(D1222, Products!A:E, 4, FALSE)</f>
        <v>1173</v>
      </c>
      <c r="Q1222">
        <f>IF(COUNTIF($A$2:A1222, A1222)=2, 1, 0)</f>
        <v>0</v>
      </c>
      <c r="R1222">
        <f>IF(ISNA(MATCH(C1222, Customers!$A:$A, 0)), 1, 0)</f>
        <v>0</v>
      </c>
      <c r="S1222" s="94" t="b">
        <f>VLOOKUP(D1222, Products!A:F, 6, FALSE)</f>
        <v>1</v>
      </c>
    </row>
    <row r="1223" spans="1:19">
      <c r="A1223" s="102" t="s">
        <v>1708</v>
      </c>
      <c r="B1223" s="2">
        <v>45610</v>
      </c>
      <c r="C1223" s="1" t="s">
        <v>741</v>
      </c>
      <c r="D1223" s="1" t="s">
        <v>515</v>
      </c>
      <c r="E1223" s="1" t="s">
        <v>273</v>
      </c>
      <c r="F1223" s="83">
        <v>5</v>
      </c>
      <c r="G1223" s="92">
        <v>6940</v>
      </c>
      <c r="H1223" s="3">
        <v>0.3</v>
      </c>
      <c r="I1223" s="3">
        <v>34595.9</v>
      </c>
      <c r="J1223" s="1" t="s">
        <v>87</v>
      </c>
      <c r="K1223" s="1" t="s">
        <v>133</v>
      </c>
      <c r="L1223" t="str">
        <f>VLOOKUP(D1223, Products!A:C, 3, FALSE)</f>
        <v>Sports</v>
      </c>
      <c r="M1223" t="str">
        <f>VLOOKUP(C1223, Customers!A:E, 5, FALSE)</f>
        <v>SMB</v>
      </c>
      <c r="N1223">
        <f>VLOOKUP(C1223, Customers!A:E, 3, FALSE)</f>
        <v>29</v>
      </c>
      <c r="O1223" s="93" t="str">
        <f>VLOOKUP(E1223, Sales_Reps!A:C, 3, FALSE)</f>
        <v>South</v>
      </c>
      <c r="P1223">
        <f>VLOOKUP(D1223, Products!A:E, 4, FALSE)</f>
        <v>2827</v>
      </c>
      <c r="Q1223">
        <f>IF(COUNTIF($A$2:A1223, A1223)=2, 1, 0)</f>
        <v>0</v>
      </c>
      <c r="R1223">
        <f>IF(ISNA(MATCH(C1223, Customers!$A:$A, 0)), 1, 0)</f>
        <v>0</v>
      </c>
      <c r="S1223" s="94" t="b">
        <f>VLOOKUP(D1223, Products!A:F, 6, FALSE)</f>
        <v>1</v>
      </c>
    </row>
    <row r="1224" spans="1:19">
      <c r="A1224" s="102" t="s">
        <v>1709</v>
      </c>
      <c r="B1224" s="2">
        <v>45560</v>
      </c>
      <c r="C1224" s="1" t="s">
        <v>533</v>
      </c>
      <c r="D1224" s="1" t="s">
        <v>245</v>
      </c>
      <c r="E1224" s="1" t="s">
        <v>154</v>
      </c>
      <c r="F1224" s="83">
        <v>8</v>
      </c>
      <c r="G1224" s="92">
        <v>2270</v>
      </c>
      <c r="H1224" s="3">
        <v>15.6</v>
      </c>
      <c r="I1224" s="3">
        <v>15327.04</v>
      </c>
      <c r="J1224" s="1" t="s">
        <v>93</v>
      </c>
      <c r="K1224" s="1" t="s">
        <v>99</v>
      </c>
      <c r="L1224" t="str">
        <f>VLOOKUP(D1224, Products!A:C, 3, FALSE)</f>
        <v>Grocery</v>
      </c>
      <c r="M1224" t="str">
        <f>VLOOKUP(C1224, Customers!A:E, 5, FALSE)</f>
        <v>SMB</v>
      </c>
      <c r="N1224">
        <f>VLOOKUP(C1224, Customers!A:E, 3, FALSE)</f>
        <v>48</v>
      </c>
      <c r="O1224" s="93" t="str">
        <f>VLOOKUP(E1224, Sales_Reps!A:C, 3, FALSE)</f>
        <v>East</v>
      </c>
      <c r="P1224">
        <f>VLOOKUP(D1224, Products!A:E, 4, FALSE)</f>
        <v>1412</v>
      </c>
      <c r="Q1224">
        <f>IF(COUNTIF($A$2:A1224, A1224)=2, 1, 0)</f>
        <v>0</v>
      </c>
      <c r="R1224">
        <f>IF(ISNA(MATCH(C1224, Customers!$A:$A, 0)), 1, 0)</f>
        <v>0</v>
      </c>
      <c r="S1224" s="94" t="b">
        <f>VLOOKUP(D1224, Products!A:F, 6, FALSE)</f>
        <v>1</v>
      </c>
    </row>
    <row r="1225" spans="1:19">
      <c r="A1225" s="102" t="s">
        <v>1710</v>
      </c>
      <c r="B1225" s="2">
        <v>45431</v>
      </c>
      <c r="C1225" s="1" t="s">
        <v>983</v>
      </c>
      <c r="D1225" s="1" t="s">
        <v>191</v>
      </c>
      <c r="E1225" s="1" t="s">
        <v>170</v>
      </c>
      <c r="F1225" s="83">
        <v>5</v>
      </c>
      <c r="G1225" s="92">
        <v>5100</v>
      </c>
      <c r="H1225" s="3">
        <v>9.5</v>
      </c>
      <c r="I1225" s="3">
        <v>23077.5</v>
      </c>
      <c r="J1225" s="1" t="s">
        <v>87</v>
      </c>
      <c r="K1225" s="1" t="s">
        <v>117</v>
      </c>
      <c r="L1225" t="str">
        <f>VLOOKUP(D1225, Products!A:C, 3, FALSE)</f>
        <v>Beauty</v>
      </c>
      <c r="M1225" t="str">
        <f>VLOOKUP(C1225, Customers!A:E, 5, FALSE)</f>
        <v>SMB</v>
      </c>
      <c r="N1225">
        <f>VLOOKUP(C1225, Customers!A:E, 3, FALSE)</f>
        <v>36</v>
      </c>
      <c r="O1225" s="93" t="str">
        <f>VLOOKUP(E1225, Sales_Reps!A:C, 3, FALSE)</f>
        <v>West</v>
      </c>
      <c r="P1225">
        <f>VLOOKUP(D1225, Products!A:E, 4, FALSE)</f>
        <v>2237</v>
      </c>
      <c r="Q1225">
        <f>IF(COUNTIF($A$2:A1225, A1225)=2, 1, 0)</f>
        <v>0</v>
      </c>
      <c r="R1225">
        <f>IF(ISNA(MATCH(C1225, Customers!$A:$A, 0)), 1, 0)</f>
        <v>0</v>
      </c>
      <c r="S1225" s="94" t="b">
        <f>VLOOKUP(D1225, Products!A:F, 6, FALSE)</f>
        <v>1</v>
      </c>
    </row>
    <row r="1226" spans="1:19">
      <c r="A1226" s="102" t="s">
        <v>1711</v>
      </c>
      <c r="B1226" s="2">
        <v>45594</v>
      </c>
      <c r="C1226" s="1" t="s">
        <v>294</v>
      </c>
      <c r="D1226" s="1" t="s">
        <v>143</v>
      </c>
      <c r="E1226" s="1" t="s">
        <v>273</v>
      </c>
      <c r="F1226" s="83">
        <v>5</v>
      </c>
      <c r="G1226" s="92">
        <v>3250</v>
      </c>
      <c r="H1226" s="3">
        <v>8.1</v>
      </c>
      <c r="I1226" s="3">
        <v>14933.75</v>
      </c>
      <c r="J1226" s="1" t="s">
        <v>87</v>
      </c>
      <c r="K1226" s="1" t="s">
        <v>133</v>
      </c>
      <c r="L1226" t="str">
        <f>VLOOKUP(D1226, Products!A:C, 3, FALSE)</f>
        <v>Home</v>
      </c>
      <c r="M1226" t="str">
        <f>VLOOKUP(C1226, Customers!A:E, 5, FALSE)</f>
        <v>SMB</v>
      </c>
      <c r="N1226">
        <f>VLOOKUP(C1226, Customers!A:E, 3, FALSE)</f>
        <v>43</v>
      </c>
      <c r="O1226" s="93" t="str">
        <f>VLOOKUP(E1226, Sales_Reps!A:C, 3, FALSE)</f>
        <v>South</v>
      </c>
      <c r="P1226">
        <f>VLOOKUP(D1226, Products!A:E, 4, FALSE)</f>
        <v>1556</v>
      </c>
      <c r="Q1226">
        <f>IF(COUNTIF($A$2:A1226, A1226)=2, 1, 0)</f>
        <v>0</v>
      </c>
      <c r="R1226">
        <f>IF(ISNA(MATCH(C1226, Customers!$A:$A, 0)), 1, 0)</f>
        <v>0</v>
      </c>
      <c r="S1226" s="94" t="b">
        <f>VLOOKUP(D1226, Products!A:F, 6, FALSE)</f>
        <v>1</v>
      </c>
    </row>
    <row r="1227" spans="1:19">
      <c r="A1227" s="102" t="s">
        <v>1712</v>
      </c>
      <c r="B1227" s="2">
        <v>45609</v>
      </c>
      <c r="C1227" s="1" t="s">
        <v>403</v>
      </c>
      <c r="D1227" s="1" t="s">
        <v>408</v>
      </c>
      <c r="E1227" s="1" t="s">
        <v>148</v>
      </c>
      <c r="F1227" s="83">
        <v>6</v>
      </c>
      <c r="G1227" s="92">
        <v>3970</v>
      </c>
      <c r="H1227" s="3">
        <v>18.8</v>
      </c>
      <c r="I1227" s="3">
        <v>19341.84</v>
      </c>
      <c r="J1227" s="1" t="s">
        <v>93</v>
      </c>
      <c r="K1227" s="1" t="s">
        <v>117</v>
      </c>
      <c r="L1227" t="str">
        <f>VLOOKUP(D1227, Products!A:C, 3, FALSE)</f>
        <v>Electronics</v>
      </c>
      <c r="M1227" t="str">
        <f>VLOOKUP(C1227, Customers!A:E, 5, FALSE)</f>
        <v>Retail</v>
      </c>
      <c r="N1227">
        <f>VLOOKUP(C1227, Customers!A:E, 3, FALSE)</f>
        <v>59</v>
      </c>
      <c r="O1227" s="93" t="str">
        <f>VLOOKUP(E1227, Sales_Reps!A:C, 3, FALSE)</f>
        <v>North</v>
      </c>
      <c r="P1227">
        <f>VLOOKUP(D1227, Products!A:E, 4, FALSE)</f>
        <v>2865</v>
      </c>
      <c r="Q1227">
        <f>IF(COUNTIF($A$2:A1227, A1227)=2, 1, 0)</f>
        <v>0</v>
      </c>
      <c r="R1227">
        <f>IF(ISNA(MATCH(C1227, Customers!$A:$A, 0)), 1, 0)</f>
        <v>0</v>
      </c>
      <c r="S1227" s="94" t="b">
        <f>VLOOKUP(D1227, Products!A:F, 6, FALSE)</f>
        <v>1</v>
      </c>
    </row>
    <row r="1228" spans="1:19">
      <c r="A1228" s="102" t="s">
        <v>1713</v>
      </c>
      <c r="B1228" s="2">
        <v>45546</v>
      </c>
      <c r="C1228" s="1" t="s">
        <v>482</v>
      </c>
      <c r="D1228" s="1" t="s">
        <v>364</v>
      </c>
      <c r="E1228" s="1" t="s">
        <v>111</v>
      </c>
      <c r="F1228" s="83">
        <v>4</v>
      </c>
      <c r="G1228" s="92">
        <v>5330</v>
      </c>
      <c r="H1228" s="3">
        <v>19.7</v>
      </c>
      <c r="I1228" s="3">
        <v>17119.96</v>
      </c>
      <c r="J1228" s="1" t="s">
        <v>87</v>
      </c>
      <c r="K1228" s="1" t="s">
        <v>133</v>
      </c>
      <c r="L1228" t="str">
        <f>VLOOKUP(D1228, Products!A:C, 3, FALSE)</f>
        <v>Electronics</v>
      </c>
      <c r="M1228" t="str">
        <f>VLOOKUP(C1228, Customers!A:E, 5, FALSE)</f>
        <v>Corporate</v>
      </c>
      <c r="N1228">
        <f>VLOOKUP(C1228, Customers!A:E, 3, FALSE)</f>
        <v>52</v>
      </c>
      <c r="O1228" s="93" t="str">
        <f>VLOOKUP(E1228, Sales_Reps!A:C, 3, FALSE)</f>
        <v>West</v>
      </c>
      <c r="P1228">
        <f>VLOOKUP(D1228, Products!A:E, 4, FALSE)</f>
        <v>2405</v>
      </c>
      <c r="Q1228">
        <f>IF(COUNTIF($A$2:A1228, A1228)=2, 1, 0)</f>
        <v>0</v>
      </c>
      <c r="R1228">
        <f>IF(ISNA(MATCH(C1228, Customers!$A:$A, 0)), 1, 0)</f>
        <v>0</v>
      </c>
      <c r="S1228" s="94" t="b">
        <f>VLOOKUP(D1228, Products!A:F, 6, FALSE)</f>
        <v>1</v>
      </c>
    </row>
    <row r="1229" spans="1:19">
      <c r="A1229" s="102" t="s">
        <v>1714</v>
      </c>
      <c r="B1229" s="2">
        <v>45607</v>
      </c>
      <c r="C1229" s="1" t="s">
        <v>310</v>
      </c>
      <c r="D1229" s="1" t="s">
        <v>279</v>
      </c>
      <c r="E1229" s="1" t="s">
        <v>139</v>
      </c>
      <c r="F1229" s="83">
        <v>7</v>
      </c>
      <c r="G1229" s="92">
        <v>2660</v>
      </c>
      <c r="H1229" s="3">
        <v>8.5</v>
      </c>
      <c r="I1229" s="3">
        <v>17037.3</v>
      </c>
      <c r="J1229" s="1" t="s">
        <v>87</v>
      </c>
      <c r="K1229" s="1" t="s">
        <v>117</v>
      </c>
      <c r="L1229" t="str">
        <f>VLOOKUP(D1229, Products!A:C, 3, FALSE)</f>
        <v>Electronics</v>
      </c>
      <c r="M1229" t="str">
        <f>VLOOKUP(C1229, Customers!A:E, 5, FALSE)</f>
        <v>Retail</v>
      </c>
      <c r="N1229">
        <f>VLOOKUP(C1229, Customers!A:E, 3, FALSE)</f>
        <v>42</v>
      </c>
      <c r="O1229" s="93" t="str">
        <f>VLOOKUP(E1229, Sales_Reps!A:C, 3, FALSE)</f>
        <v>North</v>
      </c>
      <c r="P1229">
        <f>VLOOKUP(D1229, Products!A:E, 4, FALSE)</f>
        <v>1259</v>
      </c>
      <c r="Q1229">
        <f>IF(COUNTIF($A$2:A1229, A1229)=2, 1, 0)</f>
        <v>0</v>
      </c>
      <c r="R1229">
        <f>IF(ISNA(MATCH(C1229, Customers!$A:$A, 0)), 1, 0)</f>
        <v>0</v>
      </c>
      <c r="S1229" s="94" t="b">
        <f>VLOOKUP(D1229, Products!A:F, 6, FALSE)</f>
        <v>0</v>
      </c>
    </row>
    <row r="1230" spans="1:19">
      <c r="A1230" s="102" t="s">
        <v>1715</v>
      </c>
      <c r="B1230" s="2">
        <v>45422</v>
      </c>
      <c r="C1230" s="1" t="s">
        <v>90</v>
      </c>
      <c r="D1230" s="1" t="s">
        <v>106</v>
      </c>
      <c r="E1230" s="1" t="s">
        <v>229</v>
      </c>
      <c r="F1230" s="83">
        <v>5</v>
      </c>
      <c r="G1230" s="92">
        <v>3160</v>
      </c>
      <c r="H1230" s="3">
        <v>13.4</v>
      </c>
      <c r="I1230" s="3">
        <v>13682.8</v>
      </c>
      <c r="J1230" s="1" t="s">
        <v>93</v>
      </c>
      <c r="K1230" s="1" t="s">
        <v>94</v>
      </c>
      <c r="L1230" t="str">
        <f>VLOOKUP(D1230, Products!A:C, 3, FALSE)</f>
        <v>Apparel</v>
      </c>
      <c r="M1230" t="str">
        <f>VLOOKUP(C1230, Customers!A:E, 5, FALSE)</f>
        <v>Retail</v>
      </c>
      <c r="N1230">
        <f>VLOOKUP(C1230, Customers!A:E, 3, FALSE)</f>
        <v>39</v>
      </c>
      <c r="O1230" s="93" t="str">
        <f>VLOOKUP(E1230, Sales_Reps!A:C, 3, FALSE)</f>
        <v>West</v>
      </c>
      <c r="P1230">
        <f>VLOOKUP(D1230, Products!A:E, 4, FALSE)</f>
        <v>1886</v>
      </c>
      <c r="Q1230">
        <f>IF(COUNTIF($A$2:A1230, A1230)=2, 1, 0)</f>
        <v>0</v>
      </c>
      <c r="R1230">
        <f>IF(ISNA(MATCH(C1230, Customers!$A:$A, 0)), 1, 0)</f>
        <v>0</v>
      </c>
      <c r="S1230" s="94" t="b">
        <f>VLOOKUP(D1230, Products!A:F, 6, FALSE)</f>
        <v>1</v>
      </c>
    </row>
    <row r="1231" spans="1:19">
      <c r="A1231" s="102" t="s">
        <v>1716</v>
      </c>
      <c r="B1231" s="2">
        <v>45634</v>
      </c>
      <c r="C1231" s="1" t="s">
        <v>314</v>
      </c>
      <c r="D1231" s="1" t="s">
        <v>182</v>
      </c>
      <c r="E1231" s="1" t="s">
        <v>121</v>
      </c>
      <c r="F1231" s="83">
        <v>10</v>
      </c>
      <c r="G1231" s="92">
        <v>1010</v>
      </c>
      <c r="H1231" s="3">
        <v>14</v>
      </c>
      <c r="I1231" s="3">
        <v>8686</v>
      </c>
      <c r="J1231" s="1" t="s">
        <v>87</v>
      </c>
      <c r="K1231" s="1" t="s">
        <v>88</v>
      </c>
      <c r="L1231" t="str">
        <f>VLOOKUP(D1231, Products!A:C, 3, FALSE)</f>
        <v>Sports</v>
      </c>
      <c r="M1231" t="str">
        <f>VLOOKUP(C1231, Customers!A:E, 5, FALSE)</f>
        <v>Corporate</v>
      </c>
      <c r="N1231">
        <f>VLOOKUP(C1231, Customers!A:E, 3, FALSE)</f>
        <v>33</v>
      </c>
      <c r="O1231" s="93" t="str">
        <f>VLOOKUP(E1231, Sales_Reps!A:C, 3, FALSE)</f>
        <v>East</v>
      </c>
      <c r="P1231">
        <f>VLOOKUP(D1231, Products!A:E, 4, FALSE)</f>
        <v>516</v>
      </c>
      <c r="Q1231">
        <f>IF(COUNTIF($A$2:A1231, A1231)=2, 1, 0)</f>
        <v>0</v>
      </c>
      <c r="R1231">
        <f>IF(ISNA(MATCH(C1231, Customers!$A:$A, 0)), 1, 0)</f>
        <v>0</v>
      </c>
      <c r="S1231" s="94" t="b">
        <f>VLOOKUP(D1231, Products!A:F, 6, FALSE)</f>
        <v>1</v>
      </c>
    </row>
    <row r="1232" spans="1:19">
      <c r="A1232" s="102" t="s">
        <v>1717</v>
      </c>
      <c r="B1232" s="2">
        <v>45376</v>
      </c>
      <c r="C1232" s="1" t="s">
        <v>137</v>
      </c>
      <c r="D1232" s="1" t="s">
        <v>259</v>
      </c>
      <c r="E1232" s="1" t="s">
        <v>148</v>
      </c>
      <c r="F1232" s="83">
        <v>3</v>
      </c>
      <c r="G1232" s="92">
        <v>1540</v>
      </c>
      <c r="H1232" s="3">
        <v>13.7</v>
      </c>
      <c r="I1232" s="3">
        <v>3987.06</v>
      </c>
      <c r="J1232" s="1" t="s">
        <v>93</v>
      </c>
      <c r="K1232" s="1" t="s">
        <v>99</v>
      </c>
      <c r="L1232" t="str">
        <f>VLOOKUP(D1232, Products!A:C, 3, FALSE)</f>
        <v>Beauty</v>
      </c>
      <c r="M1232" t="str">
        <f>VLOOKUP(C1232, Customers!A:E, 5, FALSE)</f>
        <v>SMB</v>
      </c>
      <c r="N1232">
        <f>VLOOKUP(C1232, Customers!A:E, 3, FALSE)</f>
        <v>27</v>
      </c>
      <c r="O1232" s="93" t="str">
        <f>VLOOKUP(E1232, Sales_Reps!A:C, 3, FALSE)</f>
        <v>North</v>
      </c>
      <c r="P1232">
        <f>VLOOKUP(D1232, Products!A:E, 4, FALSE)</f>
        <v>647</v>
      </c>
      <c r="Q1232">
        <f>IF(COUNTIF($A$2:A1232, A1232)=2, 1, 0)</f>
        <v>0</v>
      </c>
      <c r="R1232">
        <f>IF(ISNA(MATCH(C1232, Customers!$A:$A, 0)), 1, 0)</f>
        <v>0</v>
      </c>
      <c r="S1232" s="94" t="b">
        <f>VLOOKUP(D1232, Products!A:F, 6, FALSE)</f>
        <v>0</v>
      </c>
    </row>
    <row r="1233" spans="1:19">
      <c r="A1233" s="102" t="s">
        <v>1718</v>
      </c>
      <c r="B1233" s="2">
        <v>45313</v>
      </c>
      <c r="C1233" s="1" t="s">
        <v>680</v>
      </c>
      <c r="D1233" s="1" t="s">
        <v>191</v>
      </c>
      <c r="E1233" s="1" t="s">
        <v>204</v>
      </c>
      <c r="F1233" s="83">
        <v>10</v>
      </c>
      <c r="G1233" s="92">
        <v>5100</v>
      </c>
      <c r="H1233" s="3">
        <v>13.8</v>
      </c>
      <c r="I1233" s="3">
        <v>43962</v>
      </c>
      <c r="J1233" s="1" t="s">
        <v>87</v>
      </c>
      <c r="K1233" s="1" t="s">
        <v>94</v>
      </c>
      <c r="L1233" t="str">
        <f>VLOOKUP(D1233, Products!A:C, 3, FALSE)</f>
        <v>Beauty</v>
      </c>
      <c r="M1233" t="str">
        <f>VLOOKUP(C1233, Customers!A:E, 5, FALSE)</f>
        <v>Retail</v>
      </c>
      <c r="N1233">
        <f>VLOOKUP(C1233, Customers!A:E, 3, FALSE)</f>
        <v>26</v>
      </c>
      <c r="O1233" s="93" t="str">
        <f>VLOOKUP(E1233, Sales_Reps!A:C, 3, FALSE)</f>
        <v>South</v>
      </c>
      <c r="P1233">
        <f>VLOOKUP(D1233, Products!A:E, 4, FALSE)</f>
        <v>2237</v>
      </c>
      <c r="Q1233">
        <f>IF(COUNTIF($A$2:A1233, A1233)=2, 1, 0)</f>
        <v>0</v>
      </c>
      <c r="R1233">
        <f>IF(ISNA(MATCH(C1233, Customers!$A:$A, 0)), 1, 0)</f>
        <v>0</v>
      </c>
      <c r="S1233" s="94" t="b">
        <f>VLOOKUP(D1233, Products!A:F, 6, FALSE)</f>
        <v>1</v>
      </c>
    </row>
    <row r="1234" spans="1:19">
      <c r="A1234" s="102" t="s">
        <v>1719</v>
      </c>
      <c r="B1234" s="2">
        <v>45457</v>
      </c>
      <c r="C1234" s="1" t="s">
        <v>795</v>
      </c>
      <c r="D1234" s="1" t="s">
        <v>120</v>
      </c>
      <c r="E1234" s="1" t="s">
        <v>170</v>
      </c>
      <c r="F1234" s="83">
        <v>3</v>
      </c>
      <c r="G1234" s="92">
        <v>1430</v>
      </c>
      <c r="H1234" s="3">
        <v>1.5</v>
      </c>
      <c r="I1234" s="3">
        <v>4225.6499999999996</v>
      </c>
      <c r="J1234" s="1" t="s">
        <v>87</v>
      </c>
      <c r="K1234" s="1" t="s">
        <v>94</v>
      </c>
      <c r="L1234" t="str">
        <f>VLOOKUP(D1234, Products!A:C, 3, FALSE)</f>
        <v>Electronics</v>
      </c>
      <c r="M1234" t="str">
        <f>VLOOKUP(C1234, Customers!A:E, 5, FALSE)</f>
        <v>Retail</v>
      </c>
      <c r="N1234">
        <f>VLOOKUP(C1234, Customers!A:E, 3, FALSE)</f>
        <v>22</v>
      </c>
      <c r="O1234" s="93" t="str">
        <f>VLOOKUP(E1234, Sales_Reps!A:C, 3, FALSE)</f>
        <v>West</v>
      </c>
      <c r="P1234">
        <f>VLOOKUP(D1234, Products!A:E, 4, FALSE)</f>
        <v>861</v>
      </c>
      <c r="Q1234">
        <f>IF(COUNTIF($A$2:A1234, A1234)=2, 1, 0)</f>
        <v>0</v>
      </c>
      <c r="R1234">
        <f>IF(ISNA(MATCH(C1234, Customers!$A:$A, 0)), 1, 0)</f>
        <v>0</v>
      </c>
      <c r="S1234" s="94" t="b">
        <f>VLOOKUP(D1234, Products!A:F, 6, FALSE)</f>
        <v>1</v>
      </c>
    </row>
    <row r="1235" spans="1:19">
      <c r="A1235" s="102" t="s">
        <v>1720</v>
      </c>
      <c r="B1235" s="2">
        <v>45620</v>
      </c>
      <c r="C1235" s="1" t="s">
        <v>908</v>
      </c>
      <c r="D1235" s="1" t="s">
        <v>124</v>
      </c>
      <c r="E1235" s="1" t="s">
        <v>252</v>
      </c>
      <c r="F1235" s="83">
        <v>8</v>
      </c>
      <c r="G1235" s="92">
        <v>5490</v>
      </c>
      <c r="H1235" s="3">
        <v>23.2</v>
      </c>
      <c r="I1235" s="3">
        <v>33730.559999999998</v>
      </c>
      <c r="J1235" s="1" t="s">
        <v>87</v>
      </c>
      <c r="K1235" s="1" t="s">
        <v>133</v>
      </c>
      <c r="L1235" t="str">
        <f>VLOOKUP(D1235, Products!A:C, 3, FALSE)</f>
        <v>Home</v>
      </c>
      <c r="M1235" t="str">
        <f>VLOOKUP(C1235, Customers!A:E, 5, FALSE)</f>
        <v>Retail</v>
      </c>
      <c r="N1235">
        <f>VLOOKUP(C1235, Customers!A:E, 3, FALSE)</f>
        <v>31</v>
      </c>
      <c r="O1235" s="93" t="str">
        <f>VLOOKUP(E1235, Sales_Reps!A:C, 3, FALSE)</f>
        <v>South</v>
      </c>
      <c r="P1235">
        <f>VLOOKUP(D1235, Products!A:E, 4, FALSE)</f>
        <v>2549</v>
      </c>
      <c r="Q1235">
        <f>IF(COUNTIF($A$2:A1235, A1235)=2, 1, 0)</f>
        <v>0</v>
      </c>
      <c r="R1235">
        <f>IF(ISNA(MATCH(C1235, Customers!$A:$A, 0)), 1, 0)</f>
        <v>0</v>
      </c>
      <c r="S1235" s="94" t="b">
        <f>VLOOKUP(D1235, Products!A:F, 6, FALSE)</f>
        <v>1</v>
      </c>
    </row>
    <row r="1236" spans="1:19">
      <c r="A1236" s="102" t="s">
        <v>1721</v>
      </c>
      <c r="B1236" s="2">
        <v>45495</v>
      </c>
      <c r="C1236" s="1" t="s">
        <v>418</v>
      </c>
      <c r="D1236" s="1" t="s">
        <v>176</v>
      </c>
      <c r="E1236" s="1" t="s">
        <v>107</v>
      </c>
      <c r="F1236" s="83">
        <v>6</v>
      </c>
      <c r="G1236" s="92">
        <v>1650</v>
      </c>
      <c r="H1236" s="3">
        <v>16.8</v>
      </c>
      <c r="I1236" s="3">
        <v>8236.7999999999993</v>
      </c>
      <c r="J1236" s="1" t="s">
        <v>87</v>
      </c>
      <c r="K1236" s="1" t="s">
        <v>133</v>
      </c>
      <c r="L1236" t="str">
        <f>VLOOKUP(D1236, Products!A:C, 3, FALSE)</f>
        <v>Beauty</v>
      </c>
      <c r="M1236" t="str">
        <f>VLOOKUP(C1236, Customers!A:E, 5, FALSE)</f>
        <v>Retail</v>
      </c>
      <c r="N1236">
        <f>VLOOKUP(C1236, Customers!A:E, 3, FALSE)</f>
        <v>22</v>
      </c>
      <c r="O1236" s="93" t="str">
        <f>VLOOKUP(E1236, Sales_Reps!A:C, 3, FALSE)</f>
        <v>North</v>
      </c>
      <c r="P1236">
        <f>VLOOKUP(D1236, Products!A:E, 4, FALSE)</f>
        <v>1222</v>
      </c>
      <c r="Q1236">
        <f>IF(COUNTIF($A$2:A1236, A1236)=2, 1, 0)</f>
        <v>0</v>
      </c>
      <c r="R1236">
        <f>IF(ISNA(MATCH(C1236, Customers!$A:$A, 0)), 1, 0)</f>
        <v>0</v>
      </c>
      <c r="S1236" s="94" t="b">
        <f>VLOOKUP(D1236, Products!A:F, 6, FALSE)</f>
        <v>1</v>
      </c>
    </row>
    <row r="1237" spans="1:19">
      <c r="A1237" s="102" t="s">
        <v>1722</v>
      </c>
      <c r="B1237" s="2">
        <v>45460</v>
      </c>
      <c r="C1237" s="1" t="s">
        <v>966</v>
      </c>
      <c r="D1237" s="1" t="s">
        <v>276</v>
      </c>
      <c r="E1237" s="1" t="s">
        <v>303</v>
      </c>
      <c r="F1237" s="83">
        <v>3</v>
      </c>
      <c r="G1237" s="92">
        <v>3020</v>
      </c>
      <c r="H1237" s="3">
        <v>14.5</v>
      </c>
      <c r="I1237" s="3">
        <v>7746.3</v>
      </c>
      <c r="J1237" s="1" t="s">
        <v>87</v>
      </c>
      <c r="K1237" s="1" t="s">
        <v>133</v>
      </c>
      <c r="L1237" t="str">
        <f>VLOOKUP(D1237, Products!A:C, 3, FALSE)</f>
        <v>Beauty</v>
      </c>
      <c r="M1237" t="str">
        <f>VLOOKUP(C1237, Customers!A:E, 5, FALSE)</f>
        <v>SMB</v>
      </c>
      <c r="N1237">
        <f>VLOOKUP(C1237, Customers!A:E, 3, FALSE)</f>
        <v>31</v>
      </c>
      <c r="O1237" s="93" t="str">
        <f>VLOOKUP(E1237, Sales_Reps!A:C, 3, FALSE)</f>
        <v>East</v>
      </c>
      <c r="P1237">
        <f>VLOOKUP(D1237, Products!A:E, 4, FALSE)</f>
        <v>1626</v>
      </c>
      <c r="Q1237">
        <f>IF(COUNTIF($A$2:A1237, A1237)=2, 1, 0)</f>
        <v>0</v>
      </c>
      <c r="R1237">
        <f>IF(ISNA(MATCH(C1237, Customers!$A:$A, 0)), 1, 0)</f>
        <v>0</v>
      </c>
      <c r="S1237" s="94" t="b">
        <f>VLOOKUP(D1237, Products!A:F, 6, FALSE)</f>
        <v>1</v>
      </c>
    </row>
    <row r="1238" spans="1:19">
      <c r="A1238" s="102" t="s">
        <v>1723</v>
      </c>
      <c r="B1238" s="2">
        <v>45438</v>
      </c>
      <c r="C1238" s="1" t="s">
        <v>1724</v>
      </c>
      <c r="D1238" s="1" t="s">
        <v>259</v>
      </c>
      <c r="E1238" s="1" t="s">
        <v>148</v>
      </c>
      <c r="F1238" s="83">
        <v>5</v>
      </c>
      <c r="G1238" s="92">
        <v>1540</v>
      </c>
      <c r="H1238" s="3">
        <v>27.2</v>
      </c>
      <c r="I1238" s="3">
        <v>5605.6</v>
      </c>
      <c r="J1238" s="1" t="s">
        <v>87</v>
      </c>
      <c r="K1238" s="1" t="s">
        <v>117</v>
      </c>
      <c r="L1238" t="str">
        <f>VLOOKUP(D1238, Products!A:C, 3, FALSE)</f>
        <v>Beauty</v>
      </c>
      <c r="M1238" t="str">
        <f>VLOOKUP(C1238, Customers!A:E, 5, FALSE)</f>
        <v>SMB</v>
      </c>
      <c r="N1238">
        <f>VLOOKUP(C1238, Customers!A:E, 3, FALSE)</f>
        <v>54</v>
      </c>
      <c r="O1238" s="93" t="str">
        <f>VLOOKUP(E1238, Sales_Reps!A:C, 3, FALSE)</f>
        <v>North</v>
      </c>
      <c r="P1238">
        <f>VLOOKUP(D1238, Products!A:E, 4, FALSE)</f>
        <v>647</v>
      </c>
      <c r="Q1238">
        <f>IF(COUNTIF($A$2:A1238, A1238)=2, 1, 0)</f>
        <v>0</v>
      </c>
      <c r="R1238">
        <f>IF(ISNA(MATCH(C1238, Customers!$A:$A, 0)), 1, 0)</f>
        <v>0</v>
      </c>
      <c r="S1238" s="94" t="b">
        <f>VLOOKUP(D1238, Products!A:F, 6, FALSE)</f>
        <v>0</v>
      </c>
    </row>
    <row r="1239" spans="1:19">
      <c r="A1239" s="102" t="s">
        <v>771</v>
      </c>
      <c r="B1239" s="2">
        <v>45307</v>
      </c>
      <c r="C1239" s="1" t="s">
        <v>316</v>
      </c>
      <c r="D1239" s="1" t="s">
        <v>515</v>
      </c>
      <c r="E1239" s="1" t="s">
        <v>154</v>
      </c>
      <c r="F1239" s="83">
        <v>4</v>
      </c>
      <c r="G1239" s="92">
        <v>6940</v>
      </c>
      <c r="H1239" s="3">
        <v>3.2</v>
      </c>
      <c r="I1239" s="3">
        <v>26871.68</v>
      </c>
      <c r="J1239" s="1" t="s">
        <v>87</v>
      </c>
      <c r="K1239" s="1" t="s">
        <v>88</v>
      </c>
      <c r="L1239" t="str">
        <f>VLOOKUP(D1239, Products!A:C, 3, FALSE)</f>
        <v>Sports</v>
      </c>
      <c r="M1239" t="str">
        <f>VLOOKUP(C1239, Customers!A:E, 5, FALSE)</f>
        <v>SMB</v>
      </c>
      <c r="N1239">
        <f>VLOOKUP(C1239, Customers!A:E, 3, FALSE)</f>
        <v>60</v>
      </c>
      <c r="O1239" s="93" t="str">
        <f>VLOOKUP(E1239, Sales_Reps!A:C, 3, FALSE)</f>
        <v>East</v>
      </c>
      <c r="P1239">
        <f>VLOOKUP(D1239, Products!A:E, 4, FALSE)</f>
        <v>2827</v>
      </c>
      <c r="Q1239">
        <f>IF(COUNTIF($A$2:A1239, A1239)=2, 1, 0)</f>
        <v>1</v>
      </c>
      <c r="R1239">
        <f>IF(ISNA(MATCH(C1239, Customers!$A:$A, 0)), 1, 0)</f>
        <v>0</v>
      </c>
      <c r="S1239" s="94" t="b">
        <f>VLOOKUP(D1239, Products!A:F, 6, FALSE)</f>
        <v>1</v>
      </c>
    </row>
    <row r="1240" spans="1:19">
      <c r="A1240" s="102" t="s">
        <v>1725</v>
      </c>
      <c r="B1240" s="2">
        <v>45517</v>
      </c>
      <c r="C1240" s="1" t="s">
        <v>109</v>
      </c>
      <c r="D1240" s="1" t="s">
        <v>191</v>
      </c>
      <c r="E1240" s="1" t="s">
        <v>238</v>
      </c>
      <c r="F1240" s="83">
        <v>2</v>
      </c>
      <c r="G1240" s="92">
        <v>5100</v>
      </c>
      <c r="H1240" s="3">
        <v>18.100000000000001</v>
      </c>
      <c r="I1240" s="3">
        <v>8353.7999999999993</v>
      </c>
      <c r="J1240" s="1" t="s">
        <v>87</v>
      </c>
      <c r="K1240" s="1" t="s">
        <v>112</v>
      </c>
      <c r="L1240" t="str">
        <f>VLOOKUP(D1240, Products!A:C, 3, FALSE)</f>
        <v>Beauty</v>
      </c>
      <c r="M1240" t="str">
        <f>VLOOKUP(C1240, Customers!A:E, 5, FALSE)</f>
        <v>Retail</v>
      </c>
      <c r="N1240">
        <f>VLOOKUP(C1240, Customers!A:E, 3, FALSE)</f>
        <v>36</v>
      </c>
      <c r="O1240" s="93" t="str">
        <f>VLOOKUP(E1240, Sales_Reps!A:C, 3, FALSE)</f>
        <v>East</v>
      </c>
      <c r="P1240">
        <f>VLOOKUP(D1240, Products!A:E, 4, FALSE)</f>
        <v>2237</v>
      </c>
      <c r="Q1240">
        <f>IF(COUNTIF($A$2:A1240, A1240)=2, 1, 0)</f>
        <v>0</v>
      </c>
      <c r="R1240">
        <f>IF(ISNA(MATCH(C1240, Customers!$A:$A, 0)), 1, 0)</f>
        <v>0</v>
      </c>
      <c r="S1240" s="94" t="b">
        <f>VLOOKUP(D1240, Products!A:F, 6, FALSE)</f>
        <v>1</v>
      </c>
    </row>
    <row r="1241" spans="1:19">
      <c r="A1241" s="102" t="s">
        <v>1726</v>
      </c>
      <c r="B1241" s="2">
        <v>45575</v>
      </c>
      <c r="C1241" s="1" t="s">
        <v>314</v>
      </c>
      <c r="D1241" s="1" t="s">
        <v>364</v>
      </c>
      <c r="E1241" s="1" t="s">
        <v>346</v>
      </c>
      <c r="F1241" s="83">
        <v>6</v>
      </c>
      <c r="G1241" s="92">
        <v>5330</v>
      </c>
      <c r="H1241" s="3">
        <v>0.3</v>
      </c>
      <c r="I1241" s="3">
        <v>31884.06</v>
      </c>
      <c r="J1241" s="1" t="s">
        <v>93</v>
      </c>
      <c r="K1241" s="1" t="s">
        <v>88</v>
      </c>
      <c r="L1241" t="str">
        <f>VLOOKUP(D1241, Products!A:C, 3, FALSE)</f>
        <v>Electronics</v>
      </c>
      <c r="M1241" t="str">
        <f>VLOOKUP(C1241, Customers!A:E, 5, FALSE)</f>
        <v>Corporate</v>
      </c>
      <c r="N1241">
        <f>VLOOKUP(C1241, Customers!A:E, 3, FALSE)</f>
        <v>33</v>
      </c>
      <c r="O1241" s="93" t="str">
        <f>VLOOKUP(E1241, Sales_Reps!A:C, 3, FALSE)</f>
        <v>South</v>
      </c>
      <c r="P1241">
        <f>VLOOKUP(D1241, Products!A:E, 4, FALSE)</f>
        <v>2405</v>
      </c>
      <c r="Q1241">
        <f>IF(COUNTIF($A$2:A1241, A1241)=2, 1, 0)</f>
        <v>0</v>
      </c>
      <c r="R1241">
        <f>IF(ISNA(MATCH(C1241, Customers!$A:$A, 0)), 1, 0)</f>
        <v>0</v>
      </c>
      <c r="S1241" s="94" t="b">
        <f>VLOOKUP(D1241, Products!A:F, 6, FALSE)</f>
        <v>1</v>
      </c>
    </row>
    <row r="1242" spans="1:19">
      <c r="A1242" s="102" t="s">
        <v>1727</v>
      </c>
      <c r="B1242" s="2">
        <v>45449</v>
      </c>
      <c r="C1242" s="1" t="s">
        <v>1006</v>
      </c>
      <c r="D1242" s="1" t="s">
        <v>115</v>
      </c>
      <c r="E1242" s="1" t="s">
        <v>229</v>
      </c>
      <c r="F1242" s="83">
        <v>5</v>
      </c>
      <c r="G1242" s="92">
        <v>960</v>
      </c>
      <c r="H1242" s="3">
        <v>16.600000000000001</v>
      </c>
      <c r="I1242" s="3">
        <v>4003.2</v>
      </c>
      <c r="J1242" s="1" t="s">
        <v>87</v>
      </c>
      <c r="K1242" s="1" t="s">
        <v>117</v>
      </c>
      <c r="L1242" t="str">
        <f>VLOOKUP(D1242, Products!A:C, 3, FALSE)</f>
        <v>Sports</v>
      </c>
      <c r="M1242" t="str">
        <f>VLOOKUP(C1242, Customers!A:E, 5, FALSE)</f>
        <v>SMB</v>
      </c>
      <c r="N1242">
        <f>VLOOKUP(C1242, Customers!A:E, 3, FALSE)</f>
        <v>44</v>
      </c>
      <c r="O1242" s="93" t="str">
        <f>VLOOKUP(E1242, Sales_Reps!A:C, 3, FALSE)</f>
        <v>West</v>
      </c>
      <c r="P1242">
        <f>VLOOKUP(D1242, Products!A:E, 4, FALSE)</f>
        <v>705</v>
      </c>
      <c r="Q1242">
        <f>IF(COUNTIF($A$2:A1242, A1242)=2, 1, 0)</f>
        <v>0</v>
      </c>
      <c r="R1242">
        <f>IF(ISNA(MATCH(C1242, Customers!$A:$A, 0)), 1, 0)</f>
        <v>0</v>
      </c>
      <c r="S1242" s="94" t="b">
        <f>VLOOKUP(D1242, Products!A:F, 6, FALSE)</f>
        <v>1</v>
      </c>
    </row>
    <row r="1243" spans="1:19">
      <c r="A1243" s="102" t="s">
        <v>1728</v>
      </c>
      <c r="B1243" s="2">
        <v>45481</v>
      </c>
      <c r="C1243" s="1" t="s">
        <v>305</v>
      </c>
      <c r="D1243" s="1" t="s">
        <v>85</v>
      </c>
      <c r="E1243" s="1" t="s">
        <v>285</v>
      </c>
      <c r="F1243" s="83">
        <v>7</v>
      </c>
      <c r="G1243" s="92">
        <v>3620</v>
      </c>
      <c r="H1243" s="3">
        <v>5.4</v>
      </c>
      <c r="I1243" s="3">
        <v>23971.64</v>
      </c>
      <c r="J1243" s="1" t="s">
        <v>87</v>
      </c>
      <c r="K1243" s="1" t="s">
        <v>133</v>
      </c>
      <c r="L1243" t="str">
        <f>VLOOKUP(D1243, Products!A:C, 3, FALSE)</f>
        <v>Apparel</v>
      </c>
      <c r="M1243" t="str">
        <f>VLOOKUP(C1243, Customers!A:E, 5, FALSE)</f>
        <v>Corporate</v>
      </c>
      <c r="N1243">
        <f>VLOOKUP(C1243, Customers!A:E, 3, FALSE)</f>
        <v>46</v>
      </c>
      <c r="O1243" s="93" t="str">
        <f>VLOOKUP(E1243, Sales_Reps!A:C, 3, FALSE)</f>
        <v>East</v>
      </c>
      <c r="P1243">
        <f>VLOOKUP(D1243, Products!A:E, 4, FALSE)</f>
        <v>2509</v>
      </c>
      <c r="Q1243">
        <f>IF(COUNTIF($A$2:A1243, A1243)=2, 1, 0)</f>
        <v>0</v>
      </c>
      <c r="R1243">
        <f>IF(ISNA(MATCH(C1243, Customers!$A:$A, 0)), 1, 0)</f>
        <v>0</v>
      </c>
      <c r="S1243" s="94" t="b">
        <f>VLOOKUP(D1243, Products!A:F, 6, FALSE)</f>
        <v>1</v>
      </c>
    </row>
    <row r="1244" spans="1:19">
      <c r="A1244" s="102" t="s">
        <v>1729</v>
      </c>
      <c r="B1244" s="2">
        <v>45368</v>
      </c>
      <c r="C1244" s="1" t="s">
        <v>1628</v>
      </c>
      <c r="D1244" s="1" t="s">
        <v>138</v>
      </c>
      <c r="E1244" s="1" t="s">
        <v>103</v>
      </c>
      <c r="F1244" s="83">
        <v>6</v>
      </c>
      <c r="G1244" s="92">
        <v>2600</v>
      </c>
      <c r="H1244" s="3">
        <v>25.9</v>
      </c>
      <c r="I1244" s="3">
        <v>11559.6</v>
      </c>
      <c r="J1244" s="1" t="s">
        <v>87</v>
      </c>
      <c r="K1244" s="1" t="s">
        <v>94</v>
      </c>
      <c r="L1244" t="str">
        <f>VLOOKUP(D1244, Products!A:C, 3, FALSE)</f>
        <v>Electronics</v>
      </c>
      <c r="M1244" t="str">
        <f>VLOOKUP(C1244, Customers!A:E, 5, FALSE)</f>
        <v>Retail</v>
      </c>
      <c r="N1244">
        <f>VLOOKUP(C1244, Customers!A:E, 3, FALSE)</f>
        <v>35</v>
      </c>
      <c r="O1244" s="93" t="str">
        <f>VLOOKUP(E1244, Sales_Reps!A:C, 3, FALSE)</f>
        <v>North</v>
      </c>
      <c r="P1244">
        <f>VLOOKUP(D1244, Products!A:E, 4, FALSE)</f>
        <v>1052</v>
      </c>
      <c r="Q1244">
        <f>IF(COUNTIF($A$2:A1244, A1244)=2, 1, 0)</f>
        <v>0</v>
      </c>
      <c r="R1244">
        <f>IF(ISNA(MATCH(C1244, Customers!$A:$A, 0)), 1, 0)</f>
        <v>0</v>
      </c>
      <c r="S1244" s="94" t="b">
        <f>VLOOKUP(D1244, Products!A:F, 6, FALSE)</f>
        <v>1</v>
      </c>
    </row>
    <row r="1245" spans="1:19">
      <c r="A1245" s="102" t="s">
        <v>1730</v>
      </c>
      <c r="B1245" s="2">
        <v>45298</v>
      </c>
      <c r="C1245" s="1" t="s">
        <v>485</v>
      </c>
      <c r="D1245" s="1" t="s">
        <v>279</v>
      </c>
      <c r="E1245" s="1" t="s">
        <v>252</v>
      </c>
      <c r="F1245" s="83">
        <v>7</v>
      </c>
      <c r="G1245" s="92">
        <v>2660</v>
      </c>
      <c r="H1245" s="3">
        <v>20.2</v>
      </c>
      <c r="I1245" s="3">
        <v>14858.76</v>
      </c>
      <c r="J1245" s="1" t="s">
        <v>87</v>
      </c>
      <c r="K1245" s="1" t="s">
        <v>88</v>
      </c>
      <c r="L1245" t="str">
        <f>VLOOKUP(D1245, Products!A:C, 3, FALSE)</f>
        <v>Electronics</v>
      </c>
      <c r="M1245" t="str">
        <f>VLOOKUP(C1245, Customers!A:E, 5, FALSE)</f>
        <v>Retail</v>
      </c>
      <c r="N1245">
        <f>VLOOKUP(C1245, Customers!A:E, 3, FALSE)</f>
        <v>49</v>
      </c>
      <c r="O1245" s="93" t="str">
        <f>VLOOKUP(E1245, Sales_Reps!A:C, 3, FALSE)</f>
        <v>South</v>
      </c>
      <c r="P1245">
        <f>VLOOKUP(D1245, Products!A:E, 4, FALSE)</f>
        <v>1259</v>
      </c>
      <c r="Q1245">
        <f>IF(COUNTIF($A$2:A1245, A1245)=2, 1, 0)</f>
        <v>0</v>
      </c>
      <c r="R1245">
        <f>IF(ISNA(MATCH(C1245, Customers!$A:$A, 0)), 1, 0)</f>
        <v>0</v>
      </c>
      <c r="S1245" s="94" t="b">
        <f>VLOOKUP(D1245, Products!A:F, 6, FALSE)</f>
        <v>0</v>
      </c>
    </row>
    <row r="1246" spans="1:19">
      <c r="A1246" s="102" t="s">
        <v>1731</v>
      </c>
      <c r="B1246" s="2">
        <v>45472</v>
      </c>
      <c r="C1246" s="1" t="s">
        <v>959</v>
      </c>
      <c r="D1246" s="1" t="s">
        <v>167</v>
      </c>
      <c r="E1246" s="1" t="s">
        <v>285</v>
      </c>
      <c r="F1246" s="83">
        <v>9</v>
      </c>
      <c r="G1246" s="92">
        <v>2480</v>
      </c>
      <c r="H1246" s="3">
        <v>14.7</v>
      </c>
      <c r="I1246" s="3">
        <v>19038.96</v>
      </c>
      <c r="J1246" s="1" t="s">
        <v>87</v>
      </c>
      <c r="K1246" s="1" t="s">
        <v>112</v>
      </c>
      <c r="L1246" t="str">
        <f>VLOOKUP(D1246, Products!A:C, 3, FALSE)</f>
        <v>Apparel</v>
      </c>
      <c r="M1246" t="str">
        <f>VLOOKUP(C1246, Customers!A:E, 5, FALSE)</f>
        <v>SMB</v>
      </c>
      <c r="N1246">
        <f>VLOOKUP(C1246, Customers!A:E, 3, FALSE)</f>
        <v>65</v>
      </c>
      <c r="O1246" s="93" t="str">
        <f>VLOOKUP(E1246, Sales_Reps!A:C, 3, FALSE)</f>
        <v>East</v>
      </c>
      <c r="P1246">
        <f>VLOOKUP(D1246, Products!A:E, 4, FALSE)</f>
        <v>1173</v>
      </c>
      <c r="Q1246">
        <f>IF(COUNTIF($A$2:A1246, A1246)=2, 1, 0)</f>
        <v>0</v>
      </c>
      <c r="R1246">
        <f>IF(ISNA(MATCH(C1246, Customers!$A:$A, 0)), 1, 0)</f>
        <v>0</v>
      </c>
      <c r="S1246" s="94" t="b">
        <f>VLOOKUP(D1246, Products!A:F, 6, FALSE)</f>
        <v>1</v>
      </c>
    </row>
    <row r="1247" spans="1:19">
      <c r="A1247" s="102" t="s">
        <v>1732</v>
      </c>
      <c r="B1247" s="2">
        <v>45568</v>
      </c>
      <c r="C1247" s="1" t="s">
        <v>357</v>
      </c>
      <c r="D1247" s="1" t="s">
        <v>279</v>
      </c>
      <c r="E1247" s="1" t="s">
        <v>188</v>
      </c>
      <c r="F1247" s="83">
        <v>4</v>
      </c>
      <c r="G1247" s="92">
        <v>2660</v>
      </c>
      <c r="H1247" s="3">
        <v>8.9</v>
      </c>
      <c r="I1247" s="3">
        <v>9693.0400000000009</v>
      </c>
      <c r="J1247" s="1" t="s">
        <v>87</v>
      </c>
      <c r="K1247" s="1" t="s">
        <v>99</v>
      </c>
      <c r="L1247" t="str">
        <f>VLOOKUP(D1247, Products!A:C, 3, FALSE)</f>
        <v>Electronics</v>
      </c>
      <c r="M1247" t="str">
        <f>VLOOKUP(C1247, Customers!A:E, 5, FALSE)</f>
        <v>SMB</v>
      </c>
      <c r="N1247">
        <f>VLOOKUP(C1247, Customers!A:E, 3, FALSE)</f>
        <v>38</v>
      </c>
      <c r="O1247" s="93" t="str">
        <f>VLOOKUP(E1247, Sales_Reps!A:C, 3, FALSE)</f>
        <v>South</v>
      </c>
      <c r="P1247">
        <f>VLOOKUP(D1247, Products!A:E, 4, FALSE)</f>
        <v>1259</v>
      </c>
      <c r="Q1247">
        <f>IF(COUNTIF($A$2:A1247, A1247)=2, 1, 0)</f>
        <v>0</v>
      </c>
      <c r="R1247">
        <f>IF(ISNA(MATCH(C1247, Customers!$A:$A, 0)), 1, 0)</f>
        <v>0</v>
      </c>
      <c r="S1247" s="94" t="b">
        <f>VLOOKUP(D1247, Products!A:F, 6, FALSE)</f>
        <v>0</v>
      </c>
    </row>
    <row r="1248" spans="1:19">
      <c r="A1248" s="102" t="s">
        <v>1733</v>
      </c>
      <c r="B1248" s="2">
        <v>45540</v>
      </c>
      <c r="C1248" s="1" t="s">
        <v>900</v>
      </c>
      <c r="D1248" s="1" t="s">
        <v>364</v>
      </c>
      <c r="E1248" s="1" t="s">
        <v>132</v>
      </c>
      <c r="F1248" s="83">
        <v>1</v>
      </c>
      <c r="G1248" s="92">
        <v>5330</v>
      </c>
      <c r="H1248" s="3">
        <v>26.8</v>
      </c>
      <c r="I1248" s="3">
        <v>3901.56</v>
      </c>
      <c r="J1248" s="1" t="s">
        <v>87</v>
      </c>
      <c r="K1248" s="1" t="s">
        <v>117</v>
      </c>
      <c r="L1248" t="str">
        <f>VLOOKUP(D1248, Products!A:C, 3, FALSE)</f>
        <v>Electronics</v>
      </c>
      <c r="M1248" t="str">
        <f>VLOOKUP(C1248, Customers!A:E, 5, FALSE)</f>
        <v>Retail</v>
      </c>
      <c r="N1248">
        <f>VLOOKUP(C1248, Customers!A:E, 3, FALSE)</f>
        <v>35</v>
      </c>
      <c r="O1248" s="93" t="str">
        <f>VLOOKUP(E1248, Sales_Reps!A:C, 3, FALSE)</f>
        <v>South</v>
      </c>
      <c r="P1248">
        <f>VLOOKUP(D1248, Products!A:E, 4, FALSE)</f>
        <v>2405</v>
      </c>
      <c r="Q1248">
        <f>IF(COUNTIF($A$2:A1248, A1248)=2, 1, 0)</f>
        <v>0</v>
      </c>
      <c r="R1248">
        <f>IF(ISNA(MATCH(C1248, Customers!$A:$A, 0)), 1, 0)</f>
        <v>0</v>
      </c>
      <c r="S1248" s="94" t="b">
        <f>VLOOKUP(D1248, Products!A:F, 6, FALSE)</f>
        <v>1</v>
      </c>
    </row>
    <row r="1249" spans="1:19">
      <c r="A1249" s="102" t="s">
        <v>1734</v>
      </c>
      <c r="B1249" s="2">
        <v>45544</v>
      </c>
      <c r="C1249" s="1" t="s">
        <v>1623</v>
      </c>
      <c r="D1249" s="1" t="s">
        <v>161</v>
      </c>
      <c r="E1249" s="1" t="s">
        <v>343</v>
      </c>
      <c r="F1249" s="83">
        <v>6</v>
      </c>
      <c r="G1249" s="92">
        <v>3450</v>
      </c>
      <c r="H1249" s="3">
        <v>19.2</v>
      </c>
      <c r="I1249" s="3">
        <v>16725.599999999999</v>
      </c>
      <c r="J1249" s="1" t="s">
        <v>93</v>
      </c>
      <c r="K1249" s="1" t="s">
        <v>117</v>
      </c>
      <c r="L1249" t="str">
        <f>VLOOKUP(D1249, Products!A:C, 3, FALSE)</f>
        <v>Sports</v>
      </c>
      <c r="M1249" t="str">
        <f>VLOOKUP(C1249, Customers!A:E, 5, FALSE)</f>
        <v>Retail</v>
      </c>
      <c r="N1249">
        <f>VLOOKUP(C1249, Customers!A:E, 3, FALSE)</f>
        <v>53</v>
      </c>
      <c r="O1249" s="93" t="str">
        <f>VLOOKUP(E1249, Sales_Reps!A:C, 3, FALSE)</f>
        <v>West</v>
      </c>
      <c r="P1249">
        <f>VLOOKUP(D1249, Products!A:E, 4, FALSE)</f>
        <v>2467</v>
      </c>
      <c r="Q1249">
        <f>IF(COUNTIF($A$2:A1249, A1249)=2, 1, 0)</f>
        <v>0</v>
      </c>
      <c r="R1249">
        <f>IF(ISNA(MATCH(C1249, Customers!$A:$A, 0)), 1, 0)</f>
        <v>0</v>
      </c>
      <c r="S1249" s="94" t="b">
        <f>VLOOKUP(D1249, Products!A:F, 6, FALSE)</f>
        <v>1</v>
      </c>
    </row>
    <row r="1250" spans="1:19">
      <c r="A1250" s="102" t="s">
        <v>1735</v>
      </c>
      <c r="B1250" s="2">
        <v>45334</v>
      </c>
      <c r="C1250" s="1" t="s">
        <v>169</v>
      </c>
      <c r="D1250" s="1" t="s">
        <v>147</v>
      </c>
      <c r="E1250" s="1" t="s">
        <v>111</v>
      </c>
      <c r="F1250" s="83">
        <v>10</v>
      </c>
      <c r="G1250" s="92">
        <v>190</v>
      </c>
      <c r="H1250" s="3">
        <v>18.100000000000001</v>
      </c>
      <c r="I1250" s="3">
        <v>1556.1</v>
      </c>
      <c r="J1250" s="1" t="s">
        <v>87</v>
      </c>
      <c r="K1250" s="1" t="s">
        <v>112</v>
      </c>
      <c r="L1250" t="str">
        <f>VLOOKUP(D1250, Products!A:C, 3, FALSE)</f>
        <v>Sports</v>
      </c>
      <c r="M1250" t="str">
        <f>VLOOKUP(C1250, Customers!A:E, 5, FALSE)</f>
        <v>Retail</v>
      </c>
      <c r="N1250">
        <f>VLOOKUP(C1250, Customers!A:E, 3, FALSE)</f>
        <v>34</v>
      </c>
      <c r="O1250" s="93" t="str">
        <f>VLOOKUP(E1250, Sales_Reps!A:C, 3, FALSE)</f>
        <v>West</v>
      </c>
      <c r="P1250">
        <f>VLOOKUP(D1250, Products!A:E, 4, FALSE)</f>
        <v>147</v>
      </c>
      <c r="Q1250">
        <f>IF(COUNTIF($A$2:A1250, A1250)=2, 1, 0)</f>
        <v>0</v>
      </c>
      <c r="R1250">
        <f>IF(ISNA(MATCH(C1250, Customers!$A:$A, 0)), 1, 0)</f>
        <v>0</v>
      </c>
      <c r="S1250" s="94" t="b">
        <f>VLOOKUP(D1250, Products!A:F, 6, FALSE)</f>
        <v>1</v>
      </c>
    </row>
    <row r="1251" spans="1:19">
      <c r="A1251" s="102" t="s">
        <v>1736</v>
      </c>
      <c r="B1251" s="2">
        <v>45584</v>
      </c>
      <c r="C1251" s="1" t="s">
        <v>621</v>
      </c>
      <c r="D1251" s="1" t="s">
        <v>408</v>
      </c>
      <c r="E1251" s="1" t="s">
        <v>204</v>
      </c>
      <c r="F1251" s="83">
        <v>9</v>
      </c>
      <c r="G1251" s="92">
        <v>3970</v>
      </c>
      <c r="H1251" s="3">
        <v>18.2</v>
      </c>
      <c r="I1251" s="3">
        <v>29227.14</v>
      </c>
      <c r="J1251" s="1" t="s">
        <v>93</v>
      </c>
      <c r="K1251" s="1" t="s">
        <v>94</v>
      </c>
      <c r="L1251" t="str">
        <f>VLOOKUP(D1251, Products!A:C, 3, FALSE)</f>
        <v>Electronics</v>
      </c>
      <c r="M1251" t="str">
        <f>VLOOKUP(C1251, Customers!A:E, 5, FALSE)</f>
        <v>Corporate</v>
      </c>
      <c r="N1251">
        <f>VLOOKUP(C1251, Customers!A:E, 3, FALSE)</f>
        <v>22</v>
      </c>
      <c r="O1251" s="93" t="str">
        <f>VLOOKUP(E1251, Sales_Reps!A:C, 3, FALSE)</f>
        <v>South</v>
      </c>
      <c r="P1251">
        <f>VLOOKUP(D1251, Products!A:E, 4, FALSE)</f>
        <v>2865</v>
      </c>
      <c r="Q1251">
        <f>IF(COUNTIF($A$2:A1251, A1251)=2, 1, 0)</f>
        <v>0</v>
      </c>
      <c r="R1251">
        <f>IF(ISNA(MATCH(C1251, Customers!$A:$A, 0)), 1, 0)</f>
        <v>0</v>
      </c>
      <c r="S1251" s="94" t="b">
        <f>VLOOKUP(D1251, Products!A:F, 6, FALSE)</f>
        <v>1</v>
      </c>
    </row>
    <row r="1252" spans="1:19">
      <c r="A1252" s="102" t="s">
        <v>1737</v>
      </c>
      <c r="B1252" s="2">
        <v>45404</v>
      </c>
      <c r="C1252" s="1" t="s">
        <v>130</v>
      </c>
      <c r="D1252" s="1" t="s">
        <v>270</v>
      </c>
      <c r="E1252" s="1" t="s">
        <v>297</v>
      </c>
      <c r="F1252" s="83">
        <v>4</v>
      </c>
      <c r="G1252" s="92">
        <v>4610</v>
      </c>
      <c r="H1252" s="3">
        <v>15.1</v>
      </c>
      <c r="I1252" s="3">
        <v>15655.56</v>
      </c>
      <c r="J1252" s="1" t="s">
        <v>140</v>
      </c>
      <c r="K1252" s="1" t="s">
        <v>133</v>
      </c>
      <c r="L1252" t="str">
        <f>VLOOKUP(D1252, Products!A:C, 3, FALSE)</f>
        <v>Home</v>
      </c>
      <c r="M1252" t="str">
        <f>VLOOKUP(C1252, Customers!A:E, 5, FALSE)</f>
        <v>Retail</v>
      </c>
      <c r="N1252">
        <f>VLOOKUP(C1252, Customers!A:E, 3, FALSE)</f>
        <v>60</v>
      </c>
      <c r="O1252" s="93" t="str">
        <f>VLOOKUP(E1252, Sales_Reps!A:C, 3, FALSE)</f>
        <v>North</v>
      </c>
      <c r="P1252">
        <f>VLOOKUP(D1252, Products!A:E, 4, FALSE)</f>
        <v>1850</v>
      </c>
      <c r="Q1252">
        <f>IF(COUNTIF($A$2:A1252, A1252)=2, 1, 0)</f>
        <v>0</v>
      </c>
      <c r="R1252">
        <f>IF(ISNA(MATCH(C1252, Customers!$A:$A, 0)), 1, 0)</f>
        <v>0</v>
      </c>
      <c r="S1252" s="94" t="b">
        <f>VLOOKUP(D1252, Products!A:F, 6, FALSE)</f>
        <v>1</v>
      </c>
    </row>
    <row r="1253" spans="1:19">
      <c r="A1253" s="102" t="s">
        <v>1738</v>
      </c>
      <c r="B1253" s="2">
        <v>45476</v>
      </c>
      <c r="C1253" s="1" t="s">
        <v>392</v>
      </c>
      <c r="D1253" s="1" t="s">
        <v>292</v>
      </c>
      <c r="E1253" s="1" t="s">
        <v>111</v>
      </c>
      <c r="F1253" s="83">
        <v>2</v>
      </c>
      <c r="G1253" s="92">
        <v>620</v>
      </c>
      <c r="H1253" s="3">
        <v>3.3</v>
      </c>
      <c r="I1253" s="3">
        <v>1199.08</v>
      </c>
      <c r="J1253" s="1" t="s">
        <v>87</v>
      </c>
      <c r="K1253" s="1" t="s">
        <v>112</v>
      </c>
      <c r="L1253" t="str">
        <f>VLOOKUP(D1253, Products!A:C, 3, FALSE)</f>
        <v>Apparel</v>
      </c>
      <c r="M1253" t="str">
        <f>VLOOKUP(C1253, Customers!A:E, 5, FALSE)</f>
        <v>Retail</v>
      </c>
      <c r="N1253">
        <f>VLOOKUP(C1253, Customers!A:E, 3, FALSE)</f>
        <v>50</v>
      </c>
      <c r="O1253" s="93" t="str">
        <f>VLOOKUP(E1253, Sales_Reps!A:C, 3, FALSE)</f>
        <v>West</v>
      </c>
      <c r="P1253">
        <f>VLOOKUP(D1253, Products!A:E, 4, FALSE)</f>
        <v>396</v>
      </c>
      <c r="Q1253">
        <f>IF(COUNTIF($A$2:A1253, A1253)=2, 1, 0)</f>
        <v>0</v>
      </c>
      <c r="R1253">
        <f>IF(ISNA(MATCH(C1253, Customers!$A:$A, 0)), 1, 0)</f>
        <v>0</v>
      </c>
      <c r="S1253" s="94" t="b">
        <f>VLOOKUP(D1253, Products!A:F, 6, FALSE)</f>
        <v>1</v>
      </c>
    </row>
    <row r="1254" spans="1:19">
      <c r="A1254" s="102" t="s">
        <v>1739</v>
      </c>
      <c r="B1254" s="2">
        <v>45481</v>
      </c>
      <c r="C1254" s="1" t="s">
        <v>757</v>
      </c>
      <c r="D1254" s="1" t="s">
        <v>259</v>
      </c>
      <c r="E1254" s="1" t="s">
        <v>111</v>
      </c>
      <c r="F1254" s="83">
        <v>7</v>
      </c>
      <c r="G1254" s="92">
        <v>1540</v>
      </c>
      <c r="H1254" s="3">
        <v>27.5</v>
      </c>
      <c r="I1254" s="3">
        <v>7815.5</v>
      </c>
      <c r="J1254" s="1" t="s">
        <v>87</v>
      </c>
      <c r="K1254" s="1" t="s">
        <v>117</v>
      </c>
      <c r="L1254" t="str">
        <f>VLOOKUP(D1254, Products!A:C, 3, FALSE)</f>
        <v>Beauty</v>
      </c>
      <c r="M1254" t="str">
        <f>VLOOKUP(C1254, Customers!A:E, 5, FALSE)</f>
        <v>Corporate</v>
      </c>
      <c r="N1254">
        <f>VLOOKUP(C1254, Customers!A:E, 3, FALSE)</f>
        <v>43</v>
      </c>
      <c r="O1254" s="93" t="str">
        <f>VLOOKUP(E1254, Sales_Reps!A:C, 3, FALSE)</f>
        <v>West</v>
      </c>
      <c r="P1254">
        <f>VLOOKUP(D1254, Products!A:E, 4, FALSE)</f>
        <v>647</v>
      </c>
      <c r="Q1254">
        <f>IF(COUNTIF($A$2:A1254, A1254)=2, 1, 0)</f>
        <v>0</v>
      </c>
      <c r="R1254">
        <f>IF(ISNA(MATCH(C1254, Customers!$A:$A, 0)), 1, 0)</f>
        <v>0</v>
      </c>
      <c r="S1254" s="94" t="b">
        <f>VLOOKUP(D1254, Products!A:F, 6, FALSE)</f>
        <v>0</v>
      </c>
    </row>
    <row r="1255" spans="1:19">
      <c r="A1255" s="102" t="s">
        <v>1740</v>
      </c>
      <c r="B1255" s="2">
        <v>45480</v>
      </c>
      <c r="C1255" s="1" t="s">
        <v>795</v>
      </c>
      <c r="D1255" s="1" t="s">
        <v>97</v>
      </c>
      <c r="E1255" s="1" t="s">
        <v>238</v>
      </c>
      <c r="F1255" s="83">
        <v>10</v>
      </c>
      <c r="G1255" s="92">
        <v>470</v>
      </c>
      <c r="H1255" s="3">
        <v>3.9</v>
      </c>
      <c r="I1255" s="3">
        <v>4516.7</v>
      </c>
      <c r="J1255" s="1" t="s">
        <v>87</v>
      </c>
      <c r="K1255" s="1" t="s">
        <v>94</v>
      </c>
      <c r="L1255" t="str">
        <f>VLOOKUP(D1255, Products!A:C, 3, FALSE)</f>
        <v>Sports</v>
      </c>
      <c r="M1255" t="str">
        <f>VLOOKUP(C1255, Customers!A:E, 5, FALSE)</f>
        <v>Retail</v>
      </c>
      <c r="N1255">
        <f>VLOOKUP(C1255, Customers!A:E, 3, FALSE)</f>
        <v>22</v>
      </c>
      <c r="O1255" s="93" t="str">
        <f>VLOOKUP(E1255, Sales_Reps!A:C, 3, FALSE)</f>
        <v>East</v>
      </c>
      <c r="P1255">
        <f>VLOOKUP(D1255, Products!A:E, 4, FALSE)</f>
        <v>302</v>
      </c>
      <c r="Q1255">
        <f>IF(COUNTIF($A$2:A1255, A1255)=2, 1, 0)</f>
        <v>0</v>
      </c>
      <c r="R1255">
        <f>IF(ISNA(MATCH(C1255, Customers!$A:$A, 0)), 1, 0)</f>
        <v>0</v>
      </c>
      <c r="S1255" s="94" t="b">
        <f>VLOOKUP(D1255, Products!A:F, 6, FALSE)</f>
        <v>0</v>
      </c>
    </row>
    <row r="1256" spans="1:19">
      <c r="A1256" s="102" t="s">
        <v>1741</v>
      </c>
      <c r="B1256" s="2">
        <v>45603</v>
      </c>
      <c r="C1256" s="1" t="s">
        <v>968</v>
      </c>
      <c r="D1256" s="1" t="s">
        <v>184</v>
      </c>
      <c r="E1256" s="1" t="s">
        <v>297</v>
      </c>
      <c r="F1256" s="83">
        <v>5</v>
      </c>
      <c r="G1256" s="92">
        <v>4880</v>
      </c>
      <c r="H1256" s="3">
        <v>27.4</v>
      </c>
      <c r="I1256" s="3">
        <v>17714.400000000001</v>
      </c>
      <c r="J1256" s="1" t="s">
        <v>87</v>
      </c>
      <c r="K1256" s="1" t="s">
        <v>99</v>
      </c>
      <c r="L1256" t="str">
        <f>VLOOKUP(D1256, Products!A:C, 3, FALSE)</f>
        <v>Beauty</v>
      </c>
      <c r="M1256" t="str">
        <f>VLOOKUP(C1256, Customers!A:E, 5, FALSE)</f>
        <v>Retail</v>
      </c>
      <c r="N1256">
        <f>VLOOKUP(C1256, Customers!A:E, 3, FALSE)</f>
        <v>47</v>
      </c>
      <c r="O1256" s="93" t="str">
        <f>VLOOKUP(E1256, Sales_Reps!A:C, 3, FALSE)</f>
        <v>North</v>
      </c>
      <c r="P1256">
        <f>VLOOKUP(D1256, Products!A:E, 4, FALSE)</f>
        <v>2768</v>
      </c>
      <c r="Q1256">
        <f>IF(COUNTIF($A$2:A1256, A1256)=2, 1, 0)</f>
        <v>0</v>
      </c>
      <c r="R1256">
        <f>IF(ISNA(MATCH(C1256, Customers!$A:$A, 0)), 1, 0)</f>
        <v>0</v>
      </c>
      <c r="S1256" s="94" t="b">
        <f>VLOOKUP(D1256, Products!A:F, 6, FALSE)</f>
        <v>1</v>
      </c>
    </row>
    <row r="1257" spans="1:19">
      <c r="A1257" s="102" t="s">
        <v>1742</v>
      </c>
      <c r="B1257" s="2">
        <v>45548</v>
      </c>
      <c r="C1257" s="1" t="s">
        <v>1072</v>
      </c>
      <c r="D1257" s="1" t="s">
        <v>360</v>
      </c>
      <c r="E1257" s="1" t="s">
        <v>229</v>
      </c>
      <c r="F1257" s="83">
        <v>1</v>
      </c>
      <c r="G1257" s="92">
        <v>5410</v>
      </c>
      <c r="H1257" s="3">
        <v>8.3000000000000007</v>
      </c>
      <c r="I1257" s="3">
        <v>4960.97</v>
      </c>
      <c r="J1257" s="1" t="s">
        <v>87</v>
      </c>
      <c r="K1257" s="1" t="s">
        <v>112</v>
      </c>
      <c r="L1257" t="str">
        <f>VLOOKUP(D1257, Products!A:C, 3, FALSE)</f>
        <v>Sports</v>
      </c>
      <c r="M1257" t="str">
        <f>VLOOKUP(C1257, Customers!A:E, 5, FALSE)</f>
        <v>SMB</v>
      </c>
      <c r="N1257">
        <f>VLOOKUP(C1257, Customers!A:E, 3, FALSE)</f>
        <v>53</v>
      </c>
      <c r="O1257" s="93" t="str">
        <f>VLOOKUP(E1257, Sales_Reps!A:C, 3, FALSE)</f>
        <v>West</v>
      </c>
      <c r="P1257">
        <f>VLOOKUP(D1257, Products!A:E, 4, FALSE)</f>
        <v>2265</v>
      </c>
      <c r="Q1257">
        <f>IF(COUNTIF($A$2:A1257, A1257)=2, 1, 0)</f>
        <v>0</v>
      </c>
      <c r="R1257">
        <f>IF(ISNA(MATCH(C1257, Customers!$A:$A, 0)), 1, 0)</f>
        <v>0</v>
      </c>
      <c r="S1257" s="94" t="b">
        <f>VLOOKUP(D1257, Products!A:F, 6, FALSE)</f>
        <v>1</v>
      </c>
    </row>
    <row r="1258" spans="1:19">
      <c r="A1258" s="102" t="s">
        <v>1743</v>
      </c>
      <c r="B1258" s="2">
        <v>45482</v>
      </c>
      <c r="C1258" s="1" t="s">
        <v>272</v>
      </c>
      <c r="D1258" s="1" t="s">
        <v>248</v>
      </c>
      <c r="E1258" s="1" t="s">
        <v>285</v>
      </c>
      <c r="F1258" s="83">
        <v>8</v>
      </c>
      <c r="G1258" s="92">
        <v>3870</v>
      </c>
      <c r="H1258" s="3">
        <v>9.3000000000000007</v>
      </c>
      <c r="I1258" s="3">
        <v>28080.720000000001</v>
      </c>
      <c r="J1258" s="1" t="s">
        <v>93</v>
      </c>
      <c r="K1258" s="1" t="s">
        <v>94</v>
      </c>
      <c r="L1258" t="str">
        <f>VLOOKUP(D1258, Products!A:C, 3, FALSE)</f>
        <v>Electronics</v>
      </c>
      <c r="M1258" t="str">
        <f>VLOOKUP(C1258, Customers!A:E, 5, FALSE)</f>
        <v>SMB</v>
      </c>
      <c r="N1258">
        <f>VLOOKUP(C1258, Customers!A:E, 3, FALSE)</f>
        <v>55</v>
      </c>
      <c r="O1258" s="93" t="str">
        <f>VLOOKUP(E1258, Sales_Reps!A:C, 3, FALSE)</f>
        <v>East</v>
      </c>
      <c r="P1258">
        <f>VLOOKUP(D1258, Products!A:E, 4, FALSE)</f>
        <v>1559</v>
      </c>
      <c r="Q1258">
        <f>IF(COUNTIF($A$2:A1258, A1258)=2, 1, 0)</f>
        <v>0</v>
      </c>
      <c r="R1258">
        <f>IF(ISNA(MATCH(C1258, Customers!$A:$A, 0)), 1, 0)</f>
        <v>0</v>
      </c>
      <c r="S1258" s="94" t="b">
        <f>VLOOKUP(D1258, Products!A:F, 6, FALSE)</f>
        <v>1</v>
      </c>
    </row>
    <row r="1259" spans="1:19">
      <c r="A1259" s="102" t="s">
        <v>1744</v>
      </c>
      <c r="B1259" s="2">
        <v>45457</v>
      </c>
      <c r="C1259" s="1" t="s">
        <v>725</v>
      </c>
      <c r="D1259" s="1" t="s">
        <v>135</v>
      </c>
      <c r="E1259" s="1" t="s">
        <v>238</v>
      </c>
      <c r="F1259" s="83">
        <v>10</v>
      </c>
      <c r="G1259" s="92">
        <v>2640</v>
      </c>
      <c r="H1259" s="3">
        <v>19.899999999999999</v>
      </c>
      <c r="I1259" s="3">
        <v>21146.400000000001</v>
      </c>
      <c r="J1259" s="1" t="s">
        <v>87</v>
      </c>
      <c r="K1259" s="1" t="s">
        <v>99</v>
      </c>
      <c r="L1259" t="str">
        <f>VLOOKUP(D1259, Products!A:C, 3, FALSE)</f>
        <v>Electronics</v>
      </c>
      <c r="M1259" t="str">
        <f>VLOOKUP(C1259, Customers!A:E, 5, FALSE)</f>
        <v>SMB</v>
      </c>
      <c r="N1259">
        <f>VLOOKUP(C1259, Customers!A:E, 3, FALSE)</f>
        <v>26</v>
      </c>
      <c r="O1259" s="93" t="str">
        <f>VLOOKUP(E1259, Sales_Reps!A:C, 3, FALSE)</f>
        <v>East</v>
      </c>
      <c r="P1259">
        <f>VLOOKUP(D1259, Products!A:E, 4, FALSE)</f>
        <v>1149</v>
      </c>
      <c r="Q1259">
        <f>IF(COUNTIF($A$2:A1259, A1259)=2, 1, 0)</f>
        <v>0</v>
      </c>
      <c r="R1259">
        <f>IF(ISNA(MATCH(C1259, Customers!$A:$A, 0)), 1, 0)</f>
        <v>0</v>
      </c>
      <c r="S1259" s="94" t="b">
        <f>VLOOKUP(D1259, Products!A:F, 6, FALSE)</f>
        <v>1</v>
      </c>
    </row>
    <row r="1260" spans="1:19">
      <c r="A1260" s="102" t="s">
        <v>1745</v>
      </c>
      <c r="B1260" s="2">
        <v>45508</v>
      </c>
      <c r="C1260" s="1" t="s">
        <v>621</v>
      </c>
      <c r="D1260" s="1" t="s">
        <v>443</v>
      </c>
      <c r="E1260" s="1" t="s">
        <v>86</v>
      </c>
      <c r="F1260" s="83">
        <v>1</v>
      </c>
      <c r="G1260" s="92">
        <v>5080</v>
      </c>
      <c r="H1260" s="3">
        <v>8.6</v>
      </c>
      <c r="I1260" s="3">
        <v>4643.12</v>
      </c>
      <c r="J1260" s="1" t="s">
        <v>87</v>
      </c>
      <c r="K1260" s="1" t="s">
        <v>94</v>
      </c>
      <c r="L1260" t="str">
        <f>VLOOKUP(D1260, Products!A:C, 3, FALSE)</f>
        <v>Home</v>
      </c>
      <c r="M1260" t="str">
        <f>VLOOKUP(C1260, Customers!A:E, 5, FALSE)</f>
        <v>Corporate</v>
      </c>
      <c r="N1260">
        <f>VLOOKUP(C1260, Customers!A:E, 3, FALSE)</f>
        <v>22</v>
      </c>
      <c r="O1260" s="93" t="str">
        <f>VLOOKUP(E1260, Sales_Reps!A:C, 3, FALSE)</f>
        <v>North</v>
      </c>
      <c r="P1260">
        <f>VLOOKUP(D1260, Products!A:E, 4, FALSE)</f>
        <v>2459</v>
      </c>
      <c r="Q1260">
        <f>IF(COUNTIF($A$2:A1260, A1260)=2, 1, 0)</f>
        <v>0</v>
      </c>
      <c r="R1260">
        <f>IF(ISNA(MATCH(C1260, Customers!$A:$A, 0)), 1, 0)</f>
        <v>0</v>
      </c>
      <c r="S1260" s="94" t="b">
        <f>VLOOKUP(D1260, Products!A:F, 6, FALSE)</f>
        <v>1</v>
      </c>
    </row>
    <row r="1261" spans="1:19">
      <c r="A1261" s="102" t="s">
        <v>1746</v>
      </c>
      <c r="B1261" s="2">
        <v>45399</v>
      </c>
      <c r="C1261" s="1" t="s">
        <v>700</v>
      </c>
      <c r="D1261" s="1" t="s">
        <v>143</v>
      </c>
      <c r="E1261" s="1" t="s">
        <v>303</v>
      </c>
      <c r="F1261" s="83">
        <v>9</v>
      </c>
      <c r="G1261" s="92">
        <v>3250</v>
      </c>
      <c r="H1261" s="3">
        <v>18.2</v>
      </c>
      <c r="I1261" s="3">
        <v>23926.5</v>
      </c>
      <c r="J1261" s="1" t="s">
        <v>93</v>
      </c>
      <c r="K1261" s="1" t="s">
        <v>94</v>
      </c>
      <c r="L1261" t="str">
        <f>VLOOKUP(D1261, Products!A:C, 3, FALSE)</f>
        <v>Home</v>
      </c>
      <c r="M1261" t="str">
        <f>VLOOKUP(C1261, Customers!A:E, 5, FALSE)</f>
        <v>SMB</v>
      </c>
      <c r="N1261">
        <f>VLOOKUP(C1261, Customers!A:E, 3, FALSE)</f>
        <v>46</v>
      </c>
      <c r="O1261" s="93" t="str">
        <f>VLOOKUP(E1261, Sales_Reps!A:C, 3, FALSE)</f>
        <v>East</v>
      </c>
      <c r="P1261">
        <f>VLOOKUP(D1261, Products!A:E, 4, FALSE)</f>
        <v>1556</v>
      </c>
      <c r="Q1261">
        <f>IF(COUNTIF($A$2:A1261, A1261)=2, 1, 0)</f>
        <v>0</v>
      </c>
      <c r="R1261">
        <f>IF(ISNA(MATCH(C1261, Customers!$A:$A, 0)), 1, 0)</f>
        <v>0</v>
      </c>
      <c r="S1261" s="94" t="b">
        <f>VLOOKUP(D1261, Products!A:F, 6, FALSE)</f>
        <v>1</v>
      </c>
    </row>
    <row r="1262" spans="1:19">
      <c r="A1262" s="102" t="s">
        <v>1747</v>
      </c>
      <c r="B1262" s="2">
        <v>45607</v>
      </c>
      <c r="C1262" s="1" t="s">
        <v>163</v>
      </c>
      <c r="D1262" s="1" t="s">
        <v>408</v>
      </c>
      <c r="E1262" s="1" t="s">
        <v>297</v>
      </c>
      <c r="F1262" s="83">
        <v>8</v>
      </c>
      <c r="G1262" s="92">
        <v>3970</v>
      </c>
      <c r="H1262" s="3">
        <v>22.4</v>
      </c>
      <c r="I1262" s="3">
        <v>24645.759999999998</v>
      </c>
      <c r="J1262" s="1" t="s">
        <v>87</v>
      </c>
      <c r="K1262" s="1" t="s">
        <v>94</v>
      </c>
      <c r="L1262" t="str">
        <f>VLOOKUP(D1262, Products!A:C, 3, FALSE)</f>
        <v>Electronics</v>
      </c>
      <c r="M1262" t="str">
        <f>VLOOKUP(C1262, Customers!A:E, 5, FALSE)</f>
        <v>Retail</v>
      </c>
      <c r="N1262">
        <f>VLOOKUP(C1262, Customers!A:E, 3, FALSE)</f>
        <v>49</v>
      </c>
      <c r="O1262" s="93" t="str">
        <f>VLOOKUP(E1262, Sales_Reps!A:C, 3, FALSE)</f>
        <v>North</v>
      </c>
      <c r="P1262">
        <f>VLOOKUP(D1262, Products!A:E, 4, FALSE)</f>
        <v>2865</v>
      </c>
      <c r="Q1262">
        <f>IF(COUNTIF($A$2:A1262, A1262)=2, 1, 0)</f>
        <v>0</v>
      </c>
      <c r="R1262">
        <f>IF(ISNA(MATCH(C1262, Customers!$A:$A, 0)), 1, 0)</f>
        <v>0</v>
      </c>
      <c r="S1262" s="94" t="b">
        <f>VLOOKUP(D1262, Products!A:F, 6, FALSE)</f>
        <v>1</v>
      </c>
    </row>
    <row r="1263" spans="1:19">
      <c r="A1263" s="102" t="s">
        <v>1748</v>
      </c>
      <c r="B1263" s="2">
        <v>45407</v>
      </c>
      <c r="C1263" s="1" t="s">
        <v>457</v>
      </c>
      <c r="D1263" s="1" t="s">
        <v>203</v>
      </c>
      <c r="E1263" s="1" t="s">
        <v>238</v>
      </c>
      <c r="F1263" s="83">
        <v>3</v>
      </c>
      <c r="G1263" s="92">
        <v>660</v>
      </c>
      <c r="H1263" s="3">
        <v>3.1</v>
      </c>
      <c r="I1263" s="3">
        <v>1918.62</v>
      </c>
      <c r="J1263" s="1" t="s">
        <v>87</v>
      </c>
      <c r="K1263" s="1" t="s">
        <v>88</v>
      </c>
      <c r="L1263" t="str">
        <f>VLOOKUP(D1263, Products!A:C, 3, FALSE)</f>
        <v>Home</v>
      </c>
      <c r="M1263" t="str">
        <f>VLOOKUP(C1263, Customers!A:E, 5, FALSE)</f>
        <v>Retail</v>
      </c>
      <c r="N1263">
        <f>VLOOKUP(C1263, Customers!A:E, 3, FALSE)</f>
        <v>29</v>
      </c>
      <c r="O1263" s="93" t="str">
        <f>VLOOKUP(E1263, Sales_Reps!A:C, 3, FALSE)</f>
        <v>East</v>
      </c>
      <c r="P1263">
        <f>VLOOKUP(D1263, Products!A:E, 4, FALSE)</f>
        <v>329</v>
      </c>
      <c r="Q1263">
        <f>IF(COUNTIF($A$2:A1263, A1263)=2, 1, 0)</f>
        <v>0</v>
      </c>
      <c r="R1263">
        <f>IF(ISNA(MATCH(C1263, Customers!$A:$A, 0)), 1, 0)</f>
        <v>0</v>
      </c>
      <c r="S1263" s="94" t="b">
        <f>VLOOKUP(D1263, Products!A:F, 6, FALSE)</f>
        <v>1</v>
      </c>
    </row>
    <row r="1264" spans="1:19">
      <c r="A1264" s="102" t="s">
        <v>1749</v>
      </c>
      <c r="B1264" s="2">
        <v>45357</v>
      </c>
      <c r="C1264" s="1" t="s">
        <v>1231</v>
      </c>
      <c r="D1264" s="1" t="s">
        <v>138</v>
      </c>
      <c r="E1264" s="1" t="s">
        <v>285</v>
      </c>
      <c r="F1264" s="83">
        <v>7</v>
      </c>
      <c r="G1264" s="92">
        <v>2600</v>
      </c>
      <c r="H1264" s="3">
        <v>15.4</v>
      </c>
      <c r="I1264" s="3">
        <v>15397.2</v>
      </c>
      <c r="J1264" s="1" t="s">
        <v>87</v>
      </c>
      <c r="K1264" s="1" t="s">
        <v>88</v>
      </c>
      <c r="L1264" t="str">
        <f>VLOOKUP(D1264, Products!A:C, 3, FALSE)</f>
        <v>Electronics</v>
      </c>
      <c r="M1264" t="str">
        <f>VLOOKUP(C1264, Customers!A:E, 5, FALSE)</f>
        <v>Retail</v>
      </c>
      <c r="N1264">
        <f>VLOOKUP(C1264, Customers!A:E, 3, FALSE)</f>
        <v>42</v>
      </c>
      <c r="O1264" s="93" t="str">
        <f>VLOOKUP(E1264, Sales_Reps!A:C, 3, FALSE)</f>
        <v>East</v>
      </c>
      <c r="P1264">
        <f>VLOOKUP(D1264, Products!A:E, 4, FALSE)</f>
        <v>1052</v>
      </c>
      <c r="Q1264">
        <f>IF(COUNTIF($A$2:A1264, A1264)=2, 1, 0)</f>
        <v>0</v>
      </c>
      <c r="R1264">
        <f>IF(ISNA(MATCH(C1264, Customers!$A:$A, 0)), 1, 0)</f>
        <v>0</v>
      </c>
      <c r="S1264" s="94" t="b">
        <f>VLOOKUP(D1264, Products!A:F, 6, FALSE)</f>
        <v>1</v>
      </c>
    </row>
    <row r="1265" spans="1:19">
      <c r="A1265" s="102" t="s">
        <v>1750</v>
      </c>
      <c r="B1265" s="2">
        <v>45565</v>
      </c>
      <c r="C1265" s="1" t="s">
        <v>608</v>
      </c>
      <c r="D1265" s="1" t="s">
        <v>203</v>
      </c>
      <c r="E1265" s="1" t="s">
        <v>188</v>
      </c>
      <c r="F1265" s="83">
        <v>9</v>
      </c>
      <c r="G1265" s="92">
        <v>660</v>
      </c>
      <c r="H1265" s="3">
        <v>23.7</v>
      </c>
      <c r="I1265" s="3">
        <v>4532.22</v>
      </c>
      <c r="J1265" s="1" t="s">
        <v>87</v>
      </c>
      <c r="K1265" s="1" t="s">
        <v>88</v>
      </c>
      <c r="L1265" t="str">
        <f>VLOOKUP(D1265, Products!A:C, 3, FALSE)</f>
        <v>Home</v>
      </c>
      <c r="M1265" t="str">
        <f>VLOOKUP(C1265, Customers!A:E, 5, FALSE)</f>
        <v>Corporate</v>
      </c>
      <c r="N1265">
        <f>VLOOKUP(C1265, Customers!A:E, 3, FALSE)</f>
        <v>40</v>
      </c>
      <c r="O1265" s="93" t="str">
        <f>VLOOKUP(E1265, Sales_Reps!A:C, 3, FALSE)</f>
        <v>South</v>
      </c>
      <c r="P1265">
        <f>VLOOKUP(D1265, Products!A:E, 4, FALSE)</f>
        <v>329</v>
      </c>
      <c r="Q1265">
        <f>IF(COUNTIF($A$2:A1265, A1265)=2, 1, 0)</f>
        <v>0</v>
      </c>
      <c r="R1265">
        <f>IF(ISNA(MATCH(C1265, Customers!$A:$A, 0)), 1, 0)</f>
        <v>0</v>
      </c>
      <c r="S1265" s="94" t="b">
        <f>VLOOKUP(D1265, Products!A:F, 6, FALSE)</f>
        <v>1</v>
      </c>
    </row>
    <row r="1266" spans="1:19">
      <c r="A1266" s="102" t="s">
        <v>1751</v>
      </c>
      <c r="B1266" s="2">
        <v>45395</v>
      </c>
      <c r="C1266" s="1" t="s">
        <v>258</v>
      </c>
      <c r="D1266" s="1" t="s">
        <v>367</v>
      </c>
      <c r="E1266" s="1" t="s">
        <v>158</v>
      </c>
      <c r="F1266" s="83">
        <v>3</v>
      </c>
      <c r="G1266" s="92">
        <v>2380</v>
      </c>
      <c r="H1266" s="3">
        <v>19.5</v>
      </c>
      <c r="I1266" s="3">
        <v>5747.7</v>
      </c>
      <c r="J1266" s="1" t="s">
        <v>140</v>
      </c>
      <c r="K1266" s="1" t="s">
        <v>99</v>
      </c>
      <c r="L1266" t="str">
        <f>VLOOKUP(D1266, Products!A:C, 3, FALSE)</f>
        <v>Grocery</v>
      </c>
      <c r="M1266" t="str">
        <f>VLOOKUP(C1266, Customers!A:E, 5, FALSE)</f>
        <v>SMB</v>
      </c>
      <c r="N1266">
        <f>VLOOKUP(C1266, Customers!A:E, 3, FALSE)</f>
        <v>55</v>
      </c>
      <c r="O1266" s="93" t="str">
        <f>VLOOKUP(E1266, Sales_Reps!A:C, 3, FALSE)</f>
        <v>East</v>
      </c>
      <c r="P1266">
        <f>VLOOKUP(D1266, Products!A:E, 4, FALSE)</f>
        <v>1182</v>
      </c>
      <c r="Q1266">
        <f>IF(COUNTIF($A$2:A1266, A1266)=2, 1, 0)</f>
        <v>0</v>
      </c>
      <c r="R1266">
        <f>IF(ISNA(MATCH(C1266, Customers!$A:$A, 0)), 1, 0)</f>
        <v>0</v>
      </c>
      <c r="S1266" s="94" t="b">
        <f>VLOOKUP(D1266, Products!A:F, 6, FALSE)</f>
        <v>1</v>
      </c>
    </row>
    <row r="1267" spans="1:19">
      <c r="A1267" s="102" t="s">
        <v>1752</v>
      </c>
      <c r="B1267" s="2">
        <v>45624</v>
      </c>
      <c r="C1267" s="1" t="s">
        <v>328</v>
      </c>
      <c r="D1267" s="1" t="s">
        <v>176</v>
      </c>
      <c r="E1267" s="1" t="s">
        <v>132</v>
      </c>
      <c r="F1267" s="83">
        <v>9</v>
      </c>
      <c r="G1267" s="92">
        <v>1650</v>
      </c>
      <c r="H1267" s="3">
        <v>2.5</v>
      </c>
      <c r="I1267" s="3">
        <v>14478.75</v>
      </c>
      <c r="J1267" s="1" t="s">
        <v>87</v>
      </c>
      <c r="K1267" s="1" t="s">
        <v>94</v>
      </c>
      <c r="L1267" t="str">
        <f>VLOOKUP(D1267, Products!A:C, 3, FALSE)</f>
        <v>Beauty</v>
      </c>
      <c r="M1267" t="str">
        <f>VLOOKUP(C1267, Customers!A:E, 5, FALSE)</f>
        <v>Retail</v>
      </c>
      <c r="N1267">
        <f>VLOOKUP(C1267, Customers!A:E, 3, FALSE)</f>
        <v>28</v>
      </c>
      <c r="O1267" s="93" t="str">
        <f>VLOOKUP(E1267, Sales_Reps!A:C, 3, FALSE)</f>
        <v>South</v>
      </c>
      <c r="P1267">
        <f>VLOOKUP(D1267, Products!A:E, 4, FALSE)</f>
        <v>1222</v>
      </c>
      <c r="Q1267">
        <f>IF(COUNTIF($A$2:A1267, A1267)=2, 1, 0)</f>
        <v>0</v>
      </c>
      <c r="R1267">
        <f>IF(ISNA(MATCH(C1267, Customers!$A:$A, 0)), 1, 0)</f>
        <v>0</v>
      </c>
      <c r="S1267" s="94" t="b">
        <f>VLOOKUP(D1267, Products!A:F, 6, FALSE)</f>
        <v>1</v>
      </c>
    </row>
    <row r="1268" spans="1:19">
      <c r="A1268" s="102" t="s">
        <v>1753</v>
      </c>
      <c r="B1268" s="2">
        <v>45650</v>
      </c>
      <c r="C1268" s="1" t="s">
        <v>1754</v>
      </c>
      <c r="D1268" s="1" t="s">
        <v>135</v>
      </c>
      <c r="E1268" s="1" t="s">
        <v>103</v>
      </c>
      <c r="F1268" s="83">
        <v>8</v>
      </c>
      <c r="G1268" s="92">
        <v>2640</v>
      </c>
      <c r="H1268" s="3">
        <v>24.4</v>
      </c>
      <c r="I1268" s="3">
        <v>15966.72</v>
      </c>
      <c r="J1268" s="1" t="s">
        <v>87</v>
      </c>
      <c r="K1268" s="1" t="s">
        <v>112</v>
      </c>
      <c r="L1268" t="str">
        <f>VLOOKUP(D1268, Products!A:C, 3, FALSE)</f>
        <v>Electronics</v>
      </c>
      <c r="M1268" t="e">
        <f>VLOOKUP(C1268, Customers!A:E, 5, FALSE)</f>
        <v>#N/A</v>
      </c>
      <c r="N1268" t="e">
        <f>VLOOKUP(C1268, Customers!A:E, 3, FALSE)</f>
        <v>#N/A</v>
      </c>
      <c r="O1268" s="93" t="str">
        <f>VLOOKUP(E1268, Sales_Reps!A:C, 3, FALSE)</f>
        <v>North</v>
      </c>
      <c r="P1268">
        <f>VLOOKUP(D1268, Products!A:E, 4, FALSE)</f>
        <v>1149</v>
      </c>
      <c r="Q1268">
        <f>IF(COUNTIF($A$2:A1268, A1268)=2, 1, 0)</f>
        <v>0</v>
      </c>
      <c r="R1268">
        <f>IF(ISNA(MATCH(C1268, Customers!$A:$A, 0)), 1, 0)</f>
        <v>1</v>
      </c>
      <c r="S1268" s="94" t="b">
        <f>VLOOKUP(D1268, Products!A:F, 6, FALSE)</f>
        <v>1</v>
      </c>
    </row>
    <row r="1269" spans="1:19">
      <c r="A1269" s="102" t="s">
        <v>1755</v>
      </c>
      <c r="B1269" s="2">
        <v>45370</v>
      </c>
      <c r="C1269" s="1" t="s">
        <v>597</v>
      </c>
      <c r="D1269" s="1" t="s">
        <v>367</v>
      </c>
      <c r="E1269" s="1" t="s">
        <v>252</v>
      </c>
      <c r="F1269" s="83">
        <v>8</v>
      </c>
      <c r="G1269" s="92">
        <v>2380</v>
      </c>
      <c r="H1269" s="3">
        <v>24.2</v>
      </c>
      <c r="I1269" s="3">
        <v>14432.32</v>
      </c>
      <c r="J1269" s="1" t="s">
        <v>87</v>
      </c>
      <c r="K1269" s="1" t="s">
        <v>112</v>
      </c>
      <c r="L1269" t="str">
        <f>VLOOKUP(D1269, Products!A:C, 3, FALSE)</f>
        <v>Grocery</v>
      </c>
      <c r="M1269" t="str">
        <f>VLOOKUP(C1269, Customers!A:E, 5, FALSE)</f>
        <v>Retail</v>
      </c>
      <c r="N1269">
        <f>VLOOKUP(C1269, Customers!A:E, 3, FALSE)</f>
        <v>39</v>
      </c>
      <c r="O1269" s="93" t="str">
        <f>VLOOKUP(E1269, Sales_Reps!A:C, 3, FALSE)</f>
        <v>South</v>
      </c>
      <c r="P1269">
        <f>VLOOKUP(D1269, Products!A:E, 4, FALSE)</f>
        <v>1182</v>
      </c>
      <c r="Q1269">
        <f>IF(COUNTIF($A$2:A1269, A1269)=2, 1, 0)</f>
        <v>0</v>
      </c>
      <c r="R1269">
        <f>IF(ISNA(MATCH(C1269, Customers!$A:$A, 0)), 1, 0)</f>
        <v>0</v>
      </c>
      <c r="S1269" s="94" t="b">
        <f>VLOOKUP(D1269, Products!A:F, 6, FALSE)</f>
        <v>1</v>
      </c>
    </row>
    <row r="1270" spans="1:19">
      <c r="A1270" s="102" t="s">
        <v>1756</v>
      </c>
      <c r="B1270" s="2">
        <v>45373</v>
      </c>
      <c r="C1270" s="1" t="s">
        <v>258</v>
      </c>
      <c r="D1270" s="1" t="s">
        <v>338</v>
      </c>
      <c r="E1270" s="1" t="s">
        <v>86</v>
      </c>
      <c r="F1270" s="83">
        <v>10</v>
      </c>
      <c r="G1270" s="92">
        <v>2210</v>
      </c>
      <c r="H1270" s="3">
        <v>3.6</v>
      </c>
      <c r="I1270" s="3">
        <v>21304.400000000001</v>
      </c>
      <c r="J1270" s="1" t="s">
        <v>87</v>
      </c>
      <c r="K1270" s="1" t="s">
        <v>99</v>
      </c>
      <c r="L1270" t="str">
        <f>VLOOKUP(D1270, Products!A:C, 3, FALSE)</f>
        <v>Grocery</v>
      </c>
      <c r="M1270" t="str">
        <f>VLOOKUP(C1270, Customers!A:E, 5, FALSE)</f>
        <v>SMB</v>
      </c>
      <c r="N1270">
        <f>VLOOKUP(C1270, Customers!A:E, 3, FALSE)</f>
        <v>55</v>
      </c>
      <c r="O1270" s="93" t="str">
        <f>VLOOKUP(E1270, Sales_Reps!A:C, 3, FALSE)</f>
        <v>North</v>
      </c>
      <c r="P1270">
        <f>VLOOKUP(D1270, Products!A:E, 4, FALSE)</f>
        <v>1010</v>
      </c>
      <c r="Q1270">
        <f>IF(COUNTIF($A$2:A1270, A1270)=2, 1, 0)</f>
        <v>0</v>
      </c>
      <c r="R1270">
        <f>IF(ISNA(MATCH(C1270, Customers!$A:$A, 0)), 1, 0)</f>
        <v>0</v>
      </c>
      <c r="S1270" s="94" t="b">
        <f>VLOOKUP(D1270, Products!A:F, 6, FALSE)</f>
        <v>1</v>
      </c>
    </row>
    <row r="1271" spans="1:19">
      <c r="A1271" s="102" t="s">
        <v>1757</v>
      </c>
      <c r="B1271" s="2">
        <v>45391</v>
      </c>
      <c r="C1271" s="1" t="s">
        <v>835</v>
      </c>
      <c r="D1271" s="1" t="s">
        <v>241</v>
      </c>
      <c r="E1271" s="1" t="s">
        <v>303</v>
      </c>
      <c r="F1271" s="83">
        <v>9</v>
      </c>
      <c r="G1271" s="92">
        <v>6080</v>
      </c>
      <c r="H1271" s="3">
        <v>17.2</v>
      </c>
      <c r="I1271" s="3">
        <v>45308.160000000003</v>
      </c>
      <c r="J1271" s="1" t="s">
        <v>93</v>
      </c>
      <c r="K1271" s="1" t="s">
        <v>117</v>
      </c>
      <c r="L1271" t="str">
        <f>VLOOKUP(D1271, Products!A:C, 3, FALSE)</f>
        <v>Beauty</v>
      </c>
      <c r="M1271" t="str">
        <f>VLOOKUP(C1271, Customers!A:E, 5, FALSE)</f>
        <v>Retail</v>
      </c>
      <c r="N1271">
        <f>VLOOKUP(C1271, Customers!A:E, 3, FALSE)</f>
        <v>52</v>
      </c>
      <c r="O1271" s="93" t="str">
        <f>VLOOKUP(E1271, Sales_Reps!A:C, 3, FALSE)</f>
        <v>East</v>
      </c>
      <c r="P1271">
        <f>VLOOKUP(D1271, Products!A:E, 4, FALSE)</f>
        <v>2617</v>
      </c>
      <c r="Q1271">
        <f>IF(COUNTIF($A$2:A1271, A1271)=2, 1, 0)</f>
        <v>0</v>
      </c>
      <c r="R1271">
        <f>IF(ISNA(MATCH(C1271, Customers!$A:$A, 0)), 1, 0)</f>
        <v>0</v>
      </c>
      <c r="S1271" s="94" t="b">
        <f>VLOOKUP(D1271, Products!A:F, 6, FALSE)</f>
        <v>1</v>
      </c>
    </row>
    <row r="1272" spans="1:19">
      <c r="A1272" s="102" t="s">
        <v>1758</v>
      </c>
      <c r="B1272" s="2">
        <v>45332</v>
      </c>
      <c r="C1272" s="1" t="s">
        <v>697</v>
      </c>
      <c r="D1272" s="1" t="s">
        <v>182</v>
      </c>
      <c r="E1272" s="1" t="s">
        <v>285</v>
      </c>
      <c r="F1272" s="83">
        <v>8</v>
      </c>
      <c r="G1272" s="92">
        <v>1010</v>
      </c>
      <c r="H1272" s="3">
        <v>12.3</v>
      </c>
      <c r="I1272" s="3">
        <v>7086.16</v>
      </c>
      <c r="J1272" s="1" t="s">
        <v>87</v>
      </c>
      <c r="K1272" s="1" t="s">
        <v>133</v>
      </c>
      <c r="L1272" t="str">
        <f>VLOOKUP(D1272, Products!A:C, 3, FALSE)</f>
        <v>Sports</v>
      </c>
      <c r="M1272" t="str">
        <f>VLOOKUP(C1272, Customers!A:E, 5, FALSE)</f>
        <v>Retail</v>
      </c>
      <c r="N1272">
        <f>VLOOKUP(C1272, Customers!A:E, 3, FALSE)</f>
        <v>65</v>
      </c>
      <c r="O1272" s="93" t="str">
        <f>VLOOKUP(E1272, Sales_Reps!A:C, 3, FALSE)</f>
        <v>East</v>
      </c>
      <c r="P1272">
        <f>VLOOKUP(D1272, Products!A:E, 4, FALSE)</f>
        <v>516</v>
      </c>
      <c r="Q1272">
        <f>IF(COUNTIF($A$2:A1272, A1272)=2, 1, 0)</f>
        <v>0</v>
      </c>
      <c r="R1272">
        <f>IF(ISNA(MATCH(C1272, Customers!$A:$A, 0)), 1, 0)</f>
        <v>0</v>
      </c>
      <c r="S1272" s="94" t="b">
        <f>VLOOKUP(D1272, Products!A:F, 6, FALSE)</f>
        <v>1</v>
      </c>
    </row>
    <row r="1273" spans="1:19">
      <c r="A1273" s="102" t="s">
        <v>1759</v>
      </c>
      <c r="B1273" s="2">
        <v>45582</v>
      </c>
      <c r="C1273" s="1" t="s">
        <v>948</v>
      </c>
      <c r="D1273" s="1" t="s">
        <v>102</v>
      </c>
      <c r="E1273" s="1" t="s">
        <v>273</v>
      </c>
      <c r="F1273" s="83">
        <v>8</v>
      </c>
      <c r="G1273" s="92">
        <v>3660</v>
      </c>
      <c r="H1273" s="3">
        <v>8.4</v>
      </c>
      <c r="I1273" s="3">
        <v>26820.48</v>
      </c>
      <c r="J1273" s="1" t="s">
        <v>87</v>
      </c>
      <c r="K1273" s="1" t="s">
        <v>88</v>
      </c>
      <c r="L1273" t="str">
        <f>VLOOKUP(D1273, Products!A:C, 3, FALSE)</f>
        <v>Grocery</v>
      </c>
      <c r="M1273" t="str">
        <f>VLOOKUP(C1273, Customers!A:E, 5, FALSE)</f>
        <v>Retail</v>
      </c>
      <c r="N1273">
        <f>VLOOKUP(C1273, Customers!A:E, 3, FALSE)</f>
        <v>65</v>
      </c>
      <c r="O1273" s="93" t="str">
        <f>VLOOKUP(E1273, Sales_Reps!A:C, 3, FALSE)</f>
        <v>South</v>
      </c>
      <c r="P1273">
        <f>VLOOKUP(D1273, Products!A:E, 4, FALSE)</f>
        <v>2214</v>
      </c>
      <c r="Q1273">
        <f>IF(COUNTIF($A$2:A1273, A1273)=2, 1, 0)</f>
        <v>0</v>
      </c>
      <c r="R1273">
        <f>IF(ISNA(MATCH(C1273, Customers!$A:$A, 0)), 1, 0)</f>
        <v>0</v>
      </c>
      <c r="S1273" s="94" t="b">
        <f>VLOOKUP(D1273, Products!A:F, 6, FALSE)</f>
        <v>0</v>
      </c>
    </row>
    <row r="1274" spans="1:19">
      <c r="A1274" s="102" t="s">
        <v>1760</v>
      </c>
      <c r="B1274" s="2">
        <v>45443</v>
      </c>
      <c r="C1274" s="1" t="s">
        <v>1016</v>
      </c>
      <c r="D1274" s="1" t="s">
        <v>270</v>
      </c>
      <c r="E1274" s="1" t="s">
        <v>229</v>
      </c>
      <c r="F1274" s="83">
        <v>8</v>
      </c>
      <c r="G1274" s="92">
        <v>4610</v>
      </c>
      <c r="H1274" s="3">
        <v>15.4</v>
      </c>
      <c r="I1274" s="3">
        <v>31200.48</v>
      </c>
      <c r="J1274" s="1" t="s">
        <v>140</v>
      </c>
      <c r="K1274" s="1" t="s">
        <v>117</v>
      </c>
      <c r="L1274" t="str">
        <f>VLOOKUP(D1274, Products!A:C, 3, FALSE)</f>
        <v>Home</v>
      </c>
      <c r="M1274" t="str">
        <f>VLOOKUP(C1274, Customers!A:E, 5, FALSE)</f>
        <v>SMB</v>
      </c>
      <c r="N1274">
        <f>VLOOKUP(C1274, Customers!A:E, 3, FALSE)</f>
        <v>49</v>
      </c>
      <c r="O1274" s="93" t="str">
        <f>VLOOKUP(E1274, Sales_Reps!A:C, 3, FALSE)</f>
        <v>West</v>
      </c>
      <c r="P1274">
        <f>VLOOKUP(D1274, Products!A:E, 4, FALSE)</f>
        <v>1850</v>
      </c>
      <c r="Q1274">
        <f>IF(COUNTIF($A$2:A1274, A1274)=2, 1, 0)</f>
        <v>0</v>
      </c>
      <c r="R1274">
        <f>IF(ISNA(MATCH(C1274, Customers!$A:$A, 0)), 1, 0)</f>
        <v>0</v>
      </c>
      <c r="S1274" s="94" t="b">
        <f>VLOOKUP(D1274, Products!A:F, 6, FALSE)</f>
        <v>1</v>
      </c>
    </row>
    <row r="1275" spans="1:19">
      <c r="A1275" s="102" t="s">
        <v>1761</v>
      </c>
      <c r="B1275" s="2">
        <v>45525</v>
      </c>
      <c r="C1275" s="1" t="s">
        <v>1016</v>
      </c>
      <c r="D1275" s="1" t="s">
        <v>191</v>
      </c>
      <c r="E1275" s="1" t="s">
        <v>103</v>
      </c>
      <c r="F1275" s="83">
        <v>9</v>
      </c>
      <c r="G1275" s="92">
        <v>5100</v>
      </c>
      <c r="H1275" s="3">
        <v>25.2</v>
      </c>
      <c r="I1275" s="3">
        <v>34333.199999999997</v>
      </c>
      <c r="J1275" s="1" t="s">
        <v>140</v>
      </c>
      <c r="K1275" s="1" t="s">
        <v>117</v>
      </c>
      <c r="L1275" t="str">
        <f>VLOOKUP(D1275, Products!A:C, 3, FALSE)</f>
        <v>Beauty</v>
      </c>
      <c r="M1275" t="str">
        <f>VLOOKUP(C1275, Customers!A:E, 5, FALSE)</f>
        <v>SMB</v>
      </c>
      <c r="N1275">
        <f>VLOOKUP(C1275, Customers!A:E, 3, FALSE)</f>
        <v>49</v>
      </c>
      <c r="O1275" s="93" t="str">
        <f>VLOOKUP(E1275, Sales_Reps!A:C, 3, FALSE)</f>
        <v>North</v>
      </c>
      <c r="P1275">
        <f>VLOOKUP(D1275, Products!A:E, 4, FALSE)</f>
        <v>2237</v>
      </c>
      <c r="Q1275">
        <f>IF(COUNTIF($A$2:A1275, A1275)=2, 1, 0)</f>
        <v>0</v>
      </c>
      <c r="R1275">
        <f>IF(ISNA(MATCH(C1275, Customers!$A:$A, 0)), 1, 0)</f>
        <v>0</v>
      </c>
      <c r="S1275" s="94" t="b">
        <f>VLOOKUP(D1275, Products!A:F, 6, FALSE)</f>
        <v>1</v>
      </c>
    </row>
    <row r="1276" spans="1:19">
      <c r="A1276" s="102" t="s">
        <v>1762</v>
      </c>
      <c r="B1276" s="2">
        <v>45377</v>
      </c>
      <c r="C1276" s="1" t="s">
        <v>403</v>
      </c>
      <c r="D1276" s="1" t="s">
        <v>276</v>
      </c>
      <c r="E1276" s="1" t="s">
        <v>121</v>
      </c>
      <c r="F1276" s="83">
        <v>5</v>
      </c>
      <c r="G1276" s="92">
        <v>3020</v>
      </c>
      <c r="H1276" s="3">
        <v>23</v>
      </c>
      <c r="I1276" s="3">
        <v>11627</v>
      </c>
      <c r="J1276" s="1" t="s">
        <v>87</v>
      </c>
      <c r="K1276" s="1" t="s">
        <v>117</v>
      </c>
      <c r="L1276" t="str">
        <f>VLOOKUP(D1276, Products!A:C, 3, FALSE)</f>
        <v>Beauty</v>
      </c>
      <c r="M1276" t="str">
        <f>VLOOKUP(C1276, Customers!A:E, 5, FALSE)</f>
        <v>Retail</v>
      </c>
      <c r="N1276">
        <f>VLOOKUP(C1276, Customers!A:E, 3, FALSE)</f>
        <v>59</v>
      </c>
      <c r="O1276" s="93" t="str">
        <f>VLOOKUP(E1276, Sales_Reps!A:C, 3, FALSE)</f>
        <v>East</v>
      </c>
      <c r="P1276">
        <f>VLOOKUP(D1276, Products!A:E, 4, FALSE)</f>
        <v>1626</v>
      </c>
      <c r="Q1276">
        <f>IF(COUNTIF($A$2:A1276, A1276)=2, 1, 0)</f>
        <v>0</v>
      </c>
      <c r="R1276">
        <f>IF(ISNA(MATCH(C1276, Customers!$A:$A, 0)), 1, 0)</f>
        <v>0</v>
      </c>
      <c r="S1276" s="94" t="b">
        <f>VLOOKUP(D1276, Products!A:F, 6, FALSE)</f>
        <v>1</v>
      </c>
    </row>
    <row r="1277" spans="1:19">
      <c r="A1277" s="102" t="s">
        <v>1763</v>
      </c>
      <c r="B1277" s="2">
        <v>45413</v>
      </c>
      <c r="C1277" s="1" t="s">
        <v>606</v>
      </c>
      <c r="D1277" s="1" t="s">
        <v>461</v>
      </c>
      <c r="E1277" s="1" t="s">
        <v>188</v>
      </c>
      <c r="F1277" s="83">
        <v>8</v>
      </c>
      <c r="G1277" s="92">
        <v>3780</v>
      </c>
      <c r="H1277" s="3">
        <v>17.100000000000001</v>
      </c>
      <c r="I1277" s="3">
        <v>25068.959999999999</v>
      </c>
      <c r="J1277" s="1" t="s">
        <v>87</v>
      </c>
      <c r="K1277" s="1" t="s">
        <v>112</v>
      </c>
      <c r="L1277" t="str">
        <f>VLOOKUP(D1277, Products!A:C, 3, FALSE)</f>
        <v>Sports</v>
      </c>
      <c r="M1277" t="str">
        <f>VLOOKUP(C1277, Customers!A:E, 5, FALSE)</f>
        <v>Retail</v>
      </c>
      <c r="N1277">
        <f>VLOOKUP(C1277, Customers!A:E, 3, FALSE)</f>
        <v>52</v>
      </c>
      <c r="O1277" s="93" t="str">
        <f>VLOOKUP(E1277, Sales_Reps!A:C, 3, FALSE)</f>
        <v>South</v>
      </c>
      <c r="P1277">
        <f>VLOOKUP(D1277, Products!A:E, 4, FALSE)</f>
        <v>1860</v>
      </c>
      <c r="Q1277">
        <f>IF(COUNTIF($A$2:A1277, A1277)=2, 1, 0)</f>
        <v>0</v>
      </c>
      <c r="R1277">
        <f>IF(ISNA(MATCH(C1277, Customers!$A:$A, 0)), 1, 0)</f>
        <v>0</v>
      </c>
      <c r="S1277" s="94" t="b">
        <f>VLOOKUP(D1277, Products!A:F, 6, FALSE)</f>
        <v>1</v>
      </c>
    </row>
    <row r="1278" spans="1:19">
      <c r="A1278" s="102" t="s">
        <v>1764</v>
      </c>
      <c r="B1278" s="2">
        <v>45437</v>
      </c>
      <c r="C1278" s="1" t="s">
        <v>197</v>
      </c>
      <c r="D1278" s="1" t="s">
        <v>338</v>
      </c>
      <c r="E1278" s="1" t="s">
        <v>215</v>
      </c>
      <c r="F1278" s="83">
        <v>10</v>
      </c>
      <c r="G1278" s="92">
        <v>2210</v>
      </c>
      <c r="H1278" s="3">
        <v>8.5</v>
      </c>
      <c r="I1278" s="3">
        <v>20221.5</v>
      </c>
      <c r="J1278" s="1" t="s">
        <v>87</v>
      </c>
      <c r="K1278" s="1" t="s">
        <v>88</v>
      </c>
      <c r="L1278" t="str">
        <f>VLOOKUP(D1278, Products!A:C, 3, FALSE)</f>
        <v>Grocery</v>
      </c>
      <c r="M1278" t="str">
        <f>VLOOKUP(C1278, Customers!A:E, 5, FALSE)</f>
        <v>Corporate</v>
      </c>
      <c r="N1278">
        <f>VLOOKUP(C1278, Customers!A:E, 3, FALSE)</f>
        <v>47</v>
      </c>
      <c r="O1278" s="93" t="str">
        <f>VLOOKUP(E1278, Sales_Reps!A:C, 3, FALSE)</f>
        <v>North</v>
      </c>
      <c r="P1278">
        <f>VLOOKUP(D1278, Products!A:E, 4, FALSE)</f>
        <v>1010</v>
      </c>
      <c r="Q1278">
        <f>IF(COUNTIF($A$2:A1278, A1278)=2, 1, 0)</f>
        <v>0</v>
      </c>
      <c r="R1278">
        <f>IF(ISNA(MATCH(C1278, Customers!$A:$A, 0)), 1, 0)</f>
        <v>0</v>
      </c>
      <c r="S1278" s="94" t="b">
        <f>VLOOKUP(D1278, Products!A:F, 6, FALSE)</f>
        <v>1</v>
      </c>
    </row>
    <row r="1279" spans="1:19">
      <c r="A1279" s="102" t="s">
        <v>1765</v>
      </c>
      <c r="B1279" s="2">
        <v>45604</v>
      </c>
      <c r="C1279" s="1" t="s">
        <v>1231</v>
      </c>
      <c r="D1279" s="1" t="s">
        <v>338</v>
      </c>
      <c r="E1279" s="1" t="s">
        <v>188</v>
      </c>
      <c r="F1279" s="83">
        <v>4</v>
      </c>
      <c r="G1279" s="92">
        <v>2210</v>
      </c>
      <c r="H1279" s="3">
        <v>3.1</v>
      </c>
      <c r="I1279" s="3">
        <v>8565.9599999999991</v>
      </c>
      <c r="J1279" s="1" t="s">
        <v>87</v>
      </c>
      <c r="K1279" s="1" t="s">
        <v>88</v>
      </c>
      <c r="L1279" t="str">
        <f>VLOOKUP(D1279, Products!A:C, 3, FALSE)</f>
        <v>Grocery</v>
      </c>
      <c r="M1279" t="str">
        <f>VLOOKUP(C1279, Customers!A:E, 5, FALSE)</f>
        <v>Retail</v>
      </c>
      <c r="N1279">
        <f>VLOOKUP(C1279, Customers!A:E, 3, FALSE)</f>
        <v>42</v>
      </c>
      <c r="O1279" s="93" t="str">
        <f>VLOOKUP(E1279, Sales_Reps!A:C, 3, FALSE)</f>
        <v>South</v>
      </c>
      <c r="P1279">
        <f>VLOOKUP(D1279, Products!A:E, 4, FALSE)</f>
        <v>1010</v>
      </c>
      <c r="Q1279">
        <f>IF(COUNTIF($A$2:A1279, A1279)=2, 1, 0)</f>
        <v>0</v>
      </c>
      <c r="R1279">
        <f>IF(ISNA(MATCH(C1279, Customers!$A:$A, 0)), 1, 0)</f>
        <v>0</v>
      </c>
      <c r="S1279" s="94" t="b">
        <f>VLOOKUP(D1279, Products!A:F, 6, FALSE)</f>
        <v>1</v>
      </c>
    </row>
    <row r="1280" spans="1:19">
      <c r="A1280" s="102" t="s">
        <v>1766</v>
      </c>
      <c r="B1280" s="2">
        <v>45540</v>
      </c>
      <c r="C1280" s="1" t="s">
        <v>460</v>
      </c>
      <c r="D1280" s="1" t="s">
        <v>176</v>
      </c>
      <c r="E1280" s="1" t="s">
        <v>188</v>
      </c>
      <c r="F1280" s="83">
        <v>1</v>
      </c>
      <c r="G1280" s="92">
        <v>1650</v>
      </c>
      <c r="H1280" s="3">
        <v>10</v>
      </c>
      <c r="I1280" s="3">
        <v>1485</v>
      </c>
      <c r="J1280" s="1" t="s">
        <v>87</v>
      </c>
      <c r="K1280" s="1" t="s">
        <v>88</v>
      </c>
      <c r="L1280" t="str">
        <f>VLOOKUP(D1280, Products!A:C, 3, FALSE)</f>
        <v>Beauty</v>
      </c>
      <c r="M1280" t="str">
        <f>VLOOKUP(C1280, Customers!A:E, 5, FALSE)</f>
        <v>Corporate</v>
      </c>
      <c r="N1280">
        <f>VLOOKUP(C1280, Customers!A:E, 3, FALSE)</f>
        <v>37</v>
      </c>
      <c r="O1280" s="93" t="str">
        <f>VLOOKUP(E1280, Sales_Reps!A:C, 3, FALSE)</f>
        <v>South</v>
      </c>
      <c r="P1280">
        <f>VLOOKUP(D1280, Products!A:E, 4, FALSE)</f>
        <v>1222</v>
      </c>
      <c r="Q1280">
        <f>IF(COUNTIF($A$2:A1280, A1280)=2, 1, 0)</f>
        <v>0</v>
      </c>
      <c r="R1280">
        <f>IF(ISNA(MATCH(C1280, Customers!$A:$A, 0)), 1, 0)</f>
        <v>0</v>
      </c>
      <c r="S1280" s="94" t="b">
        <f>VLOOKUP(D1280, Products!A:F, 6, FALSE)</f>
        <v>1</v>
      </c>
    </row>
    <row r="1281" spans="1:19">
      <c r="A1281" s="102" t="s">
        <v>1767</v>
      </c>
      <c r="B1281" s="2">
        <v>45597</v>
      </c>
      <c r="C1281" s="1" t="s">
        <v>411</v>
      </c>
      <c r="D1281" s="1" t="s">
        <v>147</v>
      </c>
      <c r="E1281" s="1" t="s">
        <v>92</v>
      </c>
      <c r="F1281" s="83">
        <v>6</v>
      </c>
      <c r="G1281" s="92">
        <v>190</v>
      </c>
      <c r="H1281" s="3">
        <v>3.5</v>
      </c>
      <c r="I1281" s="3">
        <v>1100.0999999999999</v>
      </c>
      <c r="J1281" s="1" t="s">
        <v>140</v>
      </c>
      <c r="K1281" s="1" t="s">
        <v>112</v>
      </c>
      <c r="L1281" t="str">
        <f>VLOOKUP(D1281, Products!A:C, 3, FALSE)</f>
        <v>Sports</v>
      </c>
      <c r="M1281" t="str">
        <f>VLOOKUP(C1281, Customers!A:E, 5, FALSE)</f>
        <v>Retail</v>
      </c>
      <c r="N1281">
        <f>VLOOKUP(C1281, Customers!A:E, 3, FALSE)</f>
        <v>61</v>
      </c>
      <c r="O1281" s="93" t="str">
        <f>VLOOKUP(E1281, Sales_Reps!A:C, 3, FALSE)</f>
        <v>North</v>
      </c>
      <c r="P1281">
        <f>VLOOKUP(D1281, Products!A:E, 4, FALSE)</f>
        <v>147</v>
      </c>
      <c r="Q1281">
        <f>IF(COUNTIF($A$2:A1281, A1281)=2, 1, 0)</f>
        <v>0</v>
      </c>
      <c r="R1281">
        <f>IF(ISNA(MATCH(C1281, Customers!$A:$A, 0)), 1, 0)</f>
        <v>0</v>
      </c>
      <c r="S1281" s="94" t="b">
        <f>VLOOKUP(D1281, Products!A:F, 6, FALSE)</f>
        <v>1</v>
      </c>
    </row>
    <row r="1282" spans="1:19">
      <c r="A1282" s="102" t="s">
        <v>1768</v>
      </c>
      <c r="B1282" s="2">
        <v>45589</v>
      </c>
      <c r="C1282" s="1" t="s">
        <v>394</v>
      </c>
      <c r="D1282" s="1" t="s">
        <v>195</v>
      </c>
      <c r="E1282" s="1" t="s">
        <v>343</v>
      </c>
      <c r="F1282" s="83">
        <v>8</v>
      </c>
      <c r="G1282" s="92">
        <v>2860</v>
      </c>
      <c r="H1282" s="3">
        <v>14.7</v>
      </c>
      <c r="I1282" s="3">
        <v>19516.64</v>
      </c>
      <c r="J1282" s="1" t="s">
        <v>87</v>
      </c>
      <c r="K1282" s="1" t="s">
        <v>117</v>
      </c>
      <c r="L1282" t="str">
        <f>VLOOKUP(D1282, Products!A:C, 3, FALSE)</f>
        <v>Sports</v>
      </c>
      <c r="M1282" t="str">
        <f>VLOOKUP(C1282, Customers!A:E, 5, FALSE)</f>
        <v>SMB</v>
      </c>
      <c r="N1282">
        <f>VLOOKUP(C1282, Customers!A:E, 3, FALSE)</f>
        <v>28</v>
      </c>
      <c r="O1282" s="93" t="str">
        <f>VLOOKUP(E1282, Sales_Reps!A:C, 3, FALSE)</f>
        <v>West</v>
      </c>
      <c r="P1282">
        <f>VLOOKUP(D1282, Products!A:E, 4, FALSE)</f>
        <v>2028</v>
      </c>
      <c r="Q1282">
        <f>IF(COUNTIF($A$2:A1282, A1282)=2, 1, 0)</f>
        <v>0</v>
      </c>
      <c r="R1282">
        <f>IF(ISNA(MATCH(C1282, Customers!$A:$A, 0)), 1, 0)</f>
        <v>0</v>
      </c>
      <c r="S1282" s="94" t="b">
        <f>VLOOKUP(D1282, Products!A:F, 6, FALSE)</f>
        <v>1</v>
      </c>
    </row>
    <row r="1283" spans="1:19">
      <c r="A1283" s="102" t="s">
        <v>1769</v>
      </c>
      <c r="B1283" s="2">
        <v>45448</v>
      </c>
      <c r="C1283" s="1" t="s">
        <v>219</v>
      </c>
      <c r="D1283" s="1" t="s">
        <v>282</v>
      </c>
      <c r="E1283" s="1" t="s">
        <v>170</v>
      </c>
      <c r="F1283" s="83">
        <v>9</v>
      </c>
      <c r="G1283" s="92">
        <v>300</v>
      </c>
      <c r="H1283" s="3">
        <v>19.5</v>
      </c>
      <c r="I1283" s="3">
        <v>2173.5</v>
      </c>
      <c r="J1283" s="1" t="s">
        <v>87</v>
      </c>
      <c r="K1283" s="1" t="s">
        <v>99</v>
      </c>
      <c r="L1283" t="str">
        <f>VLOOKUP(D1283, Products!A:C, 3, FALSE)</f>
        <v>Electronics</v>
      </c>
      <c r="M1283" t="str">
        <f>VLOOKUP(C1283, Customers!A:E, 5, FALSE)</f>
        <v>SMB</v>
      </c>
      <c r="N1283">
        <f>VLOOKUP(C1283, Customers!A:E, 3, FALSE)</f>
        <v>50</v>
      </c>
      <c r="O1283" s="93" t="str">
        <f>VLOOKUP(E1283, Sales_Reps!A:C, 3, FALSE)</f>
        <v>West</v>
      </c>
      <c r="P1283">
        <f>VLOOKUP(D1283, Products!A:E, 4, FALSE)</f>
        <v>128</v>
      </c>
      <c r="Q1283">
        <f>IF(COUNTIF($A$2:A1283, A1283)=2, 1, 0)</f>
        <v>0</v>
      </c>
      <c r="R1283">
        <f>IF(ISNA(MATCH(C1283, Customers!$A:$A, 0)), 1, 0)</f>
        <v>0</v>
      </c>
      <c r="S1283" s="94" t="b">
        <f>VLOOKUP(D1283, Products!A:F, 6, FALSE)</f>
        <v>1</v>
      </c>
    </row>
    <row r="1284" spans="1:19">
      <c r="A1284" s="102" t="s">
        <v>1770</v>
      </c>
      <c r="B1284" s="2">
        <v>45608</v>
      </c>
      <c r="C1284" s="1" t="s">
        <v>970</v>
      </c>
      <c r="D1284" s="1" t="s">
        <v>380</v>
      </c>
      <c r="E1284" s="1" t="s">
        <v>86</v>
      </c>
      <c r="F1284" s="83">
        <v>10</v>
      </c>
      <c r="G1284" s="92">
        <v>960</v>
      </c>
      <c r="H1284" s="3">
        <v>9.6999999999999993</v>
      </c>
      <c r="I1284" s="3">
        <v>8668.7999999999993</v>
      </c>
      <c r="J1284" s="1" t="s">
        <v>87</v>
      </c>
      <c r="K1284" s="1" t="s">
        <v>112</v>
      </c>
      <c r="L1284" t="str">
        <f>VLOOKUP(D1284, Products!A:C, 3, FALSE)</f>
        <v>Beauty</v>
      </c>
      <c r="M1284" t="str">
        <f>VLOOKUP(C1284, Customers!A:E, 5, FALSE)</f>
        <v>Retail</v>
      </c>
      <c r="N1284">
        <f>VLOOKUP(C1284, Customers!A:E, 3, FALSE)</f>
        <v>40</v>
      </c>
      <c r="O1284" s="93" t="str">
        <f>VLOOKUP(E1284, Sales_Reps!A:C, 3, FALSE)</f>
        <v>North</v>
      </c>
      <c r="P1284">
        <f>VLOOKUP(D1284, Products!A:E, 4, FALSE)</f>
        <v>675</v>
      </c>
      <c r="Q1284">
        <f>IF(COUNTIF($A$2:A1284, A1284)=2, 1, 0)</f>
        <v>0</v>
      </c>
      <c r="R1284">
        <f>IF(ISNA(MATCH(C1284, Customers!$A:$A, 0)), 1, 0)</f>
        <v>0</v>
      </c>
      <c r="S1284" s="94" t="b">
        <f>VLOOKUP(D1284, Products!A:F, 6, FALSE)</f>
        <v>1</v>
      </c>
    </row>
    <row r="1285" spans="1:19">
      <c r="A1285" s="102" t="s">
        <v>1771</v>
      </c>
      <c r="B1285" s="2">
        <v>45421</v>
      </c>
      <c r="C1285" s="1" t="s">
        <v>945</v>
      </c>
      <c r="D1285" s="1" t="s">
        <v>91</v>
      </c>
      <c r="E1285" s="1" t="s">
        <v>252</v>
      </c>
      <c r="F1285" s="83">
        <v>5</v>
      </c>
      <c r="G1285" s="92">
        <v>820</v>
      </c>
      <c r="H1285" s="3">
        <v>0.5</v>
      </c>
      <c r="I1285" s="3">
        <v>4079.5</v>
      </c>
      <c r="J1285" s="1" t="s">
        <v>87</v>
      </c>
      <c r="K1285" s="1" t="s">
        <v>88</v>
      </c>
      <c r="L1285" t="str">
        <f>VLOOKUP(D1285, Products!A:C, 3, FALSE)</f>
        <v>Apparel</v>
      </c>
      <c r="M1285" t="str">
        <f>VLOOKUP(C1285, Customers!A:E, 5, FALSE)</f>
        <v>Retail</v>
      </c>
      <c r="N1285">
        <f>VLOOKUP(C1285, Customers!A:E, 3, FALSE)</f>
        <v>54</v>
      </c>
      <c r="O1285" s="93" t="str">
        <f>VLOOKUP(E1285, Sales_Reps!A:C, 3, FALSE)</f>
        <v>South</v>
      </c>
      <c r="P1285">
        <f>VLOOKUP(D1285, Products!A:E, 4, FALSE)</f>
        <v>391</v>
      </c>
      <c r="Q1285">
        <f>IF(COUNTIF($A$2:A1285, A1285)=2, 1, 0)</f>
        <v>0</v>
      </c>
      <c r="R1285">
        <f>IF(ISNA(MATCH(C1285, Customers!$A:$A, 0)), 1, 0)</f>
        <v>0</v>
      </c>
      <c r="S1285" s="94" t="b">
        <f>VLOOKUP(D1285, Products!A:F, 6, FALSE)</f>
        <v>1</v>
      </c>
    </row>
    <row r="1286" spans="1:19">
      <c r="A1286" s="102" t="s">
        <v>1772</v>
      </c>
      <c r="B1286" s="2">
        <v>45383</v>
      </c>
      <c r="C1286" s="1" t="s">
        <v>284</v>
      </c>
      <c r="D1286" s="1" t="s">
        <v>110</v>
      </c>
      <c r="E1286" s="1" t="s">
        <v>139</v>
      </c>
      <c r="F1286" s="83">
        <v>2</v>
      </c>
      <c r="G1286" s="92">
        <v>370</v>
      </c>
      <c r="H1286" s="3">
        <v>10.5</v>
      </c>
      <c r="I1286" s="3">
        <v>662.3</v>
      </c>
      <c r="J1286" s="1" t="s">
        <v>93</v>
      </c>
      <c r="K1286" s="1" t="s">
        <v>94</v>
      </c>
      <c r="L1286" t="str">
        <f>VLOOKUP(D1286, Products!A:C, 3, FALSE)</f>
        <v>Home</v>
      </c>
      <c r="M1286" t="str">
        <f>VLOOKUP(C1286, Customers!A:E, 5, FALSE)</f>
        <v>Retail</v>
      </c>
      <c r="N1286">
        <f>VLOOKUP(C1286, Customers!A:E, 3, FALSE)</f>
        <v>28</v>
      </c>
      <c r="O1286" s="93" t="str">
        <f>VLOOKUP(E1286, Sales_Reps!A:C, 3, FALSE)</f>
        <v>North</v>
      </c>
      <c r="P1286">
        <f>VLOOKUP(D1286, Products!A:E, 4, FALSE)</f>
        <v>288</v>
      </c>
      <c r="Q1286">
        <f>IF(COUNTIF($A$2:A1286, A1286)=2, 1, 0)</f>
        <v>0</v>
      </c>
      <c r="R1286">
        <f>IF(ISNA(MATCH(C1286, Customers!$A:$A, 0)), 1, 0)</f>
        <v>0</v>
      </c>
      <c r="S1286" s="94" t="b">
        <f>VLOOKUP(D1286, Products!A:F, 6, FALSE)</f>
        <v>1</v>
      </c>
    </row>
    <row r="1287" spans="1:19">
      <c r="A1287" s="102" t="s">
        <v>1773</v>
      </c>
      <c r="B1287" s="2">
        <v>45453</v>
      </c>
      <c r="C1287" s="1" t="s">
        <v>686</v>
      </c>
      <c r="D1287" s="1" t="s">
        <v>124</v>
      </c>
      <c r="E1287" s="1" t="s">
        <v>154</v>
      </c>
      <c r="F1287" s="83">
        <v>9</v>
      </c>
      <c r="G1287" s="92">
        <v>5490</v>
      </c>
      <c r="H1287" s="3">
        <v>14.2</v>
      </c>
      <c r="I1287" s="3">
        <v>42393.78</v>
      </c>
      <c r="J1287" s="1" t="s">
        <v>140</v>
      </c>
      <c r="K1287" s="1" t="s">
        <v>112</v>
      </c>
      <c r="L1287" t="str">
        <f>VLOOKUP(D1287, Products!A:C, 3, FALSE)</f>
        <v>Home</v>
      </c>
      <c r="M1287" t="str">
        <f>VLOOKUP(C1287, Customers!A:E, 5, FALSE)</f>
        <v>Retail</v>
      </c>
      <c r="N1287">
        <f>VLOOKUP(C1287, Customers!A:E, 3, FALSE)</f>
        <v>35</v>
      </c>
      <c r="O1287" s="93" t="str">
        <f>VLOOKUP(E1287, Sales_Reps!A:C, 3, FALSE)</f>
        <v>East</v>
      </c>
      <c r="P1287">
        <f>VLOOKUP(D1287, Products!A:E, 4, FALSE)</f>
        <v>2549</v>
      </c>
      <c r="Q1287">
        <f>IF(COUNTIF($A$2:A1287, A1287)=2, 1, 0)</f>
        <v>0</v>
      </c>
      <c r="R1287">
        <f>IF(ISNA(MATCH(C1287, Customers!$A:$A, 0)), 1, 0)</f>
        <v>0</v>
      </c>
      <c r="S1287" s="94" t="b">
        <f>VLOOKUP(D1287, Products!A:F, 6, FALSE)</f>
        <v>1</v>
      </c>
    </row>
    <row r="1288" spans="1:19">
      <c r="A1288" s="102" t="s">
        <v>1774</v>
      </c>
      <c r="B1288" s="2">
        <v>45398</v>
      </c>
      <c r="C1288" s="1" t="s">
        <v>883</v>
      </c>
      <c r="D1288" s="1" t="s">
        <v>110</v>
      </c>
      <c r="E1288" s="1" t="s">
        <v>303</v>
      </c>
      <c r="F1288" s="83">
        <v>3</v>
      </c>
      <c r="G1288" s="92">
        <v>370</v>
      </c>
      <c r="H1288" s="3">
        <v>18.399999999999999</v>
      </c>
      <c r="I1288" s="3">
        <v>905.76</v>
      </c>
      <c r="J1288" s="1" t="s">
        <v>87</v>
      </c>
      <c r="K1288" s="1" t="s">
        <v>133</v>
      </c>
      <c r="L1288" t="str">
        <f>VLOOKUP(D1288, Products!A:C, 3, FALSE)</f>
        <v>Home</v>
      </c>
      <c r="M1288" t="str">
        <f>VLOOKUP(C1288, Customers!A:E, 5, FALSE)</f>
        <v>SMB</v>
      </c>
      <c r="N1288">
        <f>VLOOKUP(C1288, Customers!A:E, 3, FALSE)</f>
        <v>28</v>
      </c>
      <c r="O1288" s="93" t="str">
        <f>VLOOKUP(E1288, Sales_Reps!A:C, 3, FALSE)</f>
        <v>East</v>
      </c>
      <c r="P1288">
        <f>VLOOKUP(D1288, Products!A:E, 4, FALSE)</f>
        <v>288</v>
      </c>
      <c r="Q1288">
        <f>IF(COUNTIF($A$2:A1288, A1288)=2, 1, 0)</f>
        <v>0</v>
      </c>
      <c r="R1288">
        <f>IF(ISNA(MATCH(C1288, Customers!$A:$A, 0)), 1, 0)</f>
        <v>0</v>
      </c>
      <c r="S1288" s="94" t="b">
        <f>VLOOKUP(D1288, Products!A:F, 6, FALSE)</f>
        <v>1</v>
      </c>
    </row>
    <row r="1289" spans="1:19">
      <c r="A1289" s="102" t="s">
        <v>1775</v>
      </c>
      <c r="B1289" s="2">
        <v>45584</v>
      </c>
      <c r="C1289" s="1" t="s">
        <v>595</v>
      </c>
      <c r="D1289" s="1" t="s">
        <v>147</v>
      </c>
      <c r="E1289" s="1" t="s">
        <v>303</v>
      </c>
      <c r="F1289" s="83">
        <v>6</v>
      </c>
      <c r="G1289" s="92">
        <v>190</v>
      </c>
      <c r="H1289" s="3">
        <v>12.9</v>
      </c>
      <c r="I1289" s="3">
        <v>992.94</v>
      </c>
      <c r="J1289" s="1" t="s">
        <v>87</v>
      </c>
      <c r="K1289" s="1" t="s">
        <v>99</v>
      </c>
      <c r="L1289" t="str">
        <f>VLOOKUP(D1289, Products!A:C, 3, FALSE)</f>
        <v>Sports</v>
      </c>
      <c r="M1289" t="str">
        <f>VLOOKUP(C1289, Customers!A:E, 5, FALSE)</f>
        <v>SMB</v>
      </c>
      <c r="N1289">
        <f>VLOOKUP(C1289, Customers!A:E, 3, FALSE)</f>
        <v>48</v>
      </c>
      <c r="O1289" s="93" t="str">
        <f>VLOOKUP(E1289, Sales_Reps!A:C, 3, FALSE)</f>
        <v>East</v>
      </c>
      <c r="P1289">
        <f>VLOOKUP(D1289, Products!A:E, 4, FALSE)</f>
        <v>147</v>
      </c>
      <c r="Q1289">
        <f>IF(COUNTIF($A$2:A1289, A1289)=2, 1, 0)</f>
        <v>0</v>
      </c>
      <c r="R1289">
        <f>IF(ISNA(MATCH(C1289, Customers!$A:$A, 0)), 1, 0)</f>
        <v>0</v>
      </c>
      <c r="S1289" s="94" t="b">
        <f>VLOOKUP(D1289, Products!A:F, 6, FALSE)</f>
        <v>1</v>
      </c>
    </row>
    <row r="1290" spans="1:19">
      <c r="A1290" s="102" t="s">
        <v>1776</v>
      </c>
      <c r="B1290" s="2">
        <v>45397</v>
      </c>
      <c r="C1290" s="1" t="s">
        <v>376</v>
      </c>
      <c r="D1290" s="1" t="s">
        <v>338</v>
      </c>
      <c r="E1290" s="1" t="s">
        <v>154</v>
      </c>
      <c r="F1290" s="83">
        <v>8</v>
      </c>
      <c r="G1290" s="92">
        <v>2210</v>
      </c>
      <c r="H1290" s="3">
        <v>9.8000000000000007</v>
      </c>
      <c r="I1290" s="3">
        <v>15947.36</v>
      </c>
      <c r="J1290" s="1" t="s">
        <v>87</v>
      </c>
      <c r="K1290" s="1" t="s">
        <v>117</v>
      </c>
      <c r="L1290" t="str">
        <f>VLOOKUP(D1290, Products!A:C, 3, FALSE)</f>
        <v>Grocery</v>
      </c>
      <c r="M1290" t="str">
        <f>VLOOKUP(C1290, Customers!A:E, 5, FALSE)</f>
        <v>SMB</v>
      </c>
      <c r="N1290">
        <f>VLOOKUP(C1290, Customers!A:E, 3, FALSE)</f>
        <v>44</v>
      </c>
      <c r="O1290" s="93" t="str">
        <f>VLOOKUP(E1290, Sales_Reps!A:C, 3, FALSE)</f>
        <v>East</v>
      </c>
      <c r="P1290">
        <f>VLOOKUP(D1290, Products!A:E, 4, FALSE)</f>
        <v>1010</v>
      </c>
      <c r="Q1290">
        <f>IF(COUNTIF($A$2:A1290, A1290)=2, 1, 0)</f>
        <v>0</v>
      </c>
      <c r="R1290">
        <f>IF(ISNA(MATCH(C1290, Customers!$A:$A, 0)), 1, 0)</f>
        <v>0</v>
      </c>
      <c r="S1290" s="94" t="b">
        <f>VLOOKUP(D1290, Products!A:F, 6, FALSE)</f>
        <v>1</v>
      </c>
    </row>
    <row r="1291" spans="1:19">
      <c r="A1291" s="102" t="s">
        <v>1777</v>
      </c>
      <c r="B1291" s="2">
        <v>45453</v>
      </c>
      <c r="C1291" s="1" t="s">
        <v>429</v>
      </c>
      <c r="D1291" s="1" t="s">
        <v>176</v>
      </c>
      <c r="E1291" s="1" t="s">
        <v>204</v>
      </c>
      <c r="F1291" s="83">
        <v>7</v>
      </c>
      <c r="G1291" s="92">
        <v>1650</v>
      </c>
      <c r="H1291" s="3">
        <v>8.4</v>
      </c>
      <c r="I1291" s="3">
        <v>10579.8</v>
      </c>
      <c r="J1291" s="1" t="s">
        <v>87</v>
      </c>
      <c r="K1291" s="1" t="s">
        <v>117</v>
      </c>
      <c r="L1291" t="str">
        <f>VLOOKUP(D1291, Products!A:C, 3, FALSE)</f>
        <v>Beauty</v>
      </c>
      <c r="M1291" t="str">
        <f>VLOOKUP(C1291, Customers!A:E, 5, FALSE)</f>
        <v>Retail</v>
      </c>
      <c r="N1291">
        <f>VLOOKUP(C1291, Customers!A:E, 3, FALSE)</f>
        <v>55</v>
      </c>
      <c r="O1291" s="93" t="str">
        <f>VLOOKUP(E1291, Sales_Reps!A:C, 3, FALSE)</f>
        <v>South</v>
      </c>
      <c r="P1291">
        <f>VLOOKUP(D1291, Products!A:E, 4, FALSE)</f>
        <v>1222</v>
      </c>
      <c r="Q1291">
        <f>IF(COUNTIF($A$2:A1291, A1291)=2, 1, 0)</f>
        <v>0</v>
      </c>
      <c r="R1291">
        <f>IF(ISNA(MATCH(C1291, Customers!$A:$A, 0)), 1, 0)</f>
        <v>0</v>
      </c>
      <c r="S1291" s="94" t="b">
        <f>VLOOKUP(D1291, Products!A:F, 6, FALSE)</f>
        <v>1</v>
      </c>
    </row>
    <row r="1292" spans="1:19">
      <c r="A1292" s="102" t="s">
        <v>1778</v>
      </c>
      <c r="B1292" s="2">
        <v>45359</v>
      </c>
      <c r="C1292" s="1" t="s">
        <v>823</v>
      </c>
      <c r="D1292" s="1" t="s">
        <v>203</v>
      </c>
      <c r="E1292" s="1" t="s">
        <v>252</v>
      </c>
      <c r="F1292" s="83">
        <v>8</v>
      </c>
      <c r="G1292" s="92">
        <v>660</v>
      </c>
      <c r="H1292" s="3">
        <v>7.5</v>
      </c>
      <c r="I1292" s="3">
        <v>4884</v>
      </c>
      <c r="J1292" s="1" t="s">
        <v>87</v>
      </c>
      <c r="K1292" s="1" t="s">
        <v>94</v>
      </c>
      <c r="L1292" t="str">
        <f>VLOOKUP(D1292, Products!A:C, 3, FALSE)</f>
        <v>Home</v>
      </c>
      <c r="M1292" t="str">
        <f>VLOOKUP(C1292, Customers!A:E, 5, FALSE)</f>
        <v>Retail</v>
      </c>
      <c r="N1292">
        <f>VLOOKUP(C1292, Customers!A:E, 3, FALSE)</f>
        <v>32</v>
      </c>
      <c r="O1292" s="93" t="str">
        <f>VLOOKUP(E1292, Sales_Reps!A:C, 3, FALSE)</f>
        <v>South</v>
      </c>
      <c r="P1292">
        <f>VLOOKUP(D1292, Products!A:E, 4, FALSE)</f>
        <v>329</v>
      </c>
      <c r="Q1292">
        <f>IF(COUNTIF($A$2:A1292, A1292)=2, 1, 0)</f>
        <v>0</v>
      </c>
      <c r="R1292">
        <f>IF(ISNA(MATCH(C1292, Customers!$A:$A, 0)), 1, 0)</f>
        <v>0</v>
      </c>
      <c r="S1292" s="94" t="b">
        <f>VLOOKUP(D1292, Products!A:F, 6, FALSE)</f>
        <v>1</v>
      </c>
    </row>
    <row r="1293" spans="1:19">
      <c r="A1293" s="102" t="s">
        <v>1779</v>
      </c>
      <c r="B1293" s="2">
        <v>45644</v>
      </c>
      <c r="C1293" s="1" t="s">
        <v>1006</v>
      </c>
      <c r="D1293" s="1" t="s">
        <v>270</v>
      </c>
      <c r="E1293" s="1" t="s">
        <v>139</v>
      </c>
      <c r="F1293" s="83">
        <v>3</v>
      </c>
      <c r="G1293" s="92">
        <v>4610</v>
      </c>
      <c r="H1293" s="3">
        <v>29.6</v>
      </c>
      <c r="I1293" s="3">
        <v>9736.32</v>
      </c>
      <c r="J1293" s="1" t="s">
        <v>87</v>
      </c>
      <c r="K1293" s="1" t="s">
        <v>117</v>
      </c>
      <c r="L1293" t="str">
        <f>VLOOKUP(D1293, Products!A:C, 3, FALSE)</f>
        <v>Home</v>
      </c>
      <c r="M1293" t="str">
        <f>VLOOKUP(C1293, Customers!A:E, 5, FALSE)</f>
        <v>SMB</v>
      </c>
      <c r="N1293">
        <f>VLOOKUP(C1293, Customers!A:E, 3, FALSE)</f>
        <v>44</v>
      </c>
      <c r="O1293" s="93" t="str">
        <f>VLOOKUP(E1293, Sales_Reps!A:C, 3, FALSE)</f>
        <v>North</v>
      </c>
      <c r="P1293">
        <f>VLOOKUP(D1293, Products!A:E, 4, FALSE)</f>
        <v>1850</v>
      </c>
      <c r="Q1293">
        <f>IF(COUNTIF($A$2:A1293, A1293)=2, 1, 0)</f>
        <v>0</v>
      </c>
      <c r="R1293">
        <f>IF(ISNA(MATCH(C1293, Customers!$A:$A, 0)), 1, 0)</f>
        <v>0</v>
      </c>
      <c r="S1293" s="94" t="b">
        <f>VLOOKUP(D1293, Products!A:F, 6, FALSE)</f>
        <v>1</v>
      </c>
    </row>
    <row r="1294" spans="1:19">
      <c r="A1294" s="102" t="s">
        <v>1780</v>
      </c>
      <c r="B1294" s="2">
        <v>45325</v>
      </c>
      <c r="C1294" s="1" t="s">
        <v>350</v>
      </c>
      <c r="D1294" s="1" t="s">
        <v>338</v>
      </c>
      <c r="E1294" s="1" t="s">
        <v>111</v>
      </c>
      <c r="F1294" s="83">
        <v>6</v>
      </c>
      <c r="G1294" s="92">
        <v>2210</v>
      </c>
      <c r="H1294" s="3">
        <v>9.5</v>
      </c>
      <c r="I1294" s="3">
        <v>12000.3</v>
      </c>
      <c r="J1294" s="1" t="s">
        <v>87</v>
      </c>
      <c r="K1294" s="1" t="s">
        <v>112</v>
      </c>
      <c r="L1294" t="str">
        <f>VLOOKUP(D1294, Products!A:C, 3, FALSE)</f>
        <v>Grocery</v>
      </c>
      <c r="M1294" t="str">
        <f>VLOOKUP(C1294, Customers!A:E, 5, FALSE)</f>
        <v>SMB</v>
      </c>
      <c r="N1294">
        <f>VLOOKUP(C1294, Customers!A:E, 3, FALSE)</f>
        <v>22</v>
      </c>
      <c r="O1294" s="93" t="str">
        <f>VLOOKUP(E1294, Sales_Reps!A:C, 3, FALSE)</f>
        <v>West</v>
      </c>
      <c r="P1294">
        <f>VLOOKUP(D1294, Products!A:E, 4, FALSE)</f>
        <v>1010</v>
      </c>
      <c r="Q1294">
        <f>IF(COUNTIF($A$2:A1294, A1294)=2, 1, 0)</f>
        <v>0</v>
      </c>
      <c r="R1294">
        <f>IF(ISNA(MATCH(C1294, Customers!$A:$A, 0)), 1, 0)</f>
        <v>0</v>
      </c>
      <c r="S1294" s="94" t="b">
        <f>VLOOKUP(D1294, Products!A:F, 6, FALSE)</f>
        <v>1</v>
      </c>
    </row>
    <row r="1295" spans="1:19">
      <c r="A1295" s="102" t="s">
        <v>1781</v>
      </c>
      <c r="B1295" s="2">
        <v>45533</v>
      </c>
      <c r="C1295" s="1" t="s">
        <v>369</v>
      </c>
      <c r="D1295" s="1" t="s">
        <v>386</v>
      </c>
      <c r="E1295" s="1" t="s">
        <v>238</v>
      </c>
      <c r="F1295" s="83">
        <v>4</v>
      </c>
      <c r="G1295" s="92">
        <v>2290</v>
      </c>
      <c r="H1295" s="3">
        <v>3.3</v>
      </c>
      <c r="I1295" s="3">
        <v>8857.7199999999993</v>
      </c>
      <c r="J1295" s="1" t="s">
        <v>87</v>
      </c>
      <c r="K1295" s="1" t="s">
        <v>94</v>
      </c>
      <c r="L1295" t="str">
        <f>VLOOKUP(D1295, Products!A:C, 3, FALSE)</f>
        <v>Beauty</v>
      </c>
      <c r="M1295" t="str">
        <f>VLOOKUP(C1295, Customers!A:E, 5, FALSE)</f>
        <v>SMB</v>
      </c>
      <c r="N1295">
        <f>VLOOKUP(C1295, Customers!A:E, 3, FALSE)</f>
        <v>62</v>
      </c>
      <c r="O1295" s="93" t="str">
        <f>VLOOKUP(E1295, Sales_Reps!A:C, 3, FALSE)</f>
        <v>East</v>
      </c>
      <c r="P1295">
        <f>VLOOKUP(D1295, Products!A:E, 4, FALSE)</f>
        <v>1219</v>
      </c>
      <c r="Q1295">
        <f>IF(COUNTIF($A$2:A1295, A1295)=2, 1, 0)</f>
        <v>0</v>
      </c>
      <c r="R1295">
        <f>IF(ISNA(MATCH(C1295, Customers!$A:$A, 0)), 1, 0)</f>
        <v>0</v>
      </c>
      <c r="S1295" s="94" t="b">
        <f>VLOOKUP(D1295, Products!A:F, 6, FALSE)</f>
        <v>1</v>
      </c>
    </row>
    <row r="1296" spans="1:19">
      <c r="A1296" s="102" t="s">
        <v>1782</v>
      </c>
      <c r="B1296" s="2">
        <v>45369</v>
      </c>
      <c r="C1296" s="1" t="s">
        <v>101</v>
      </c>
      <c r="D1296" s="1" t="s">
        <v>164</v>
      </c>
      <c r="E1296" s="1" t="s">
        <v>201</v>
      </c>
      <c r="F1296" s="83">
        <v>5</v>
      </c>
      <c r="G1296" s="92">
        <v>1080</v>
      </c>
      <c r="H1296" s="3">
        <v>26.1</v>
      </c>
      <c r="I1296" s="3">
        <v>3990.6</v>
      </c>
      <c r="J1296" s="1" t="s">
        <v>87</v>
      </c>
      <c r="K1296" s="1" t="s">
        <v>99</v>
      </c>
      <c r="L1296" t="str">
        <f>VLOOKUP(D1296, Products!A:C, 3, FALSE)</f>
        <v>Home</v>
      </c>
      <c r="M1296" t="str">
        <f>VLOOKUP(C1296, Customers!A:E, 5, FALSE)</f>
        <v>Corporate</v>
      </c>
      <c r="N1296">
        <f>VLOOKUP(C1296, Customers!A:E, 3, FALSE)</f>
        <v>46</v>
      </c>
      <c r="O1296" s="93" t="str">
        <f>VLOOKUP(E1296, Sales_Reps!A:C, 3, FALSE)</f>
        <v>West</v>
      </c>
      <c r="P1296">
        <f>VLOOKUP(D1296, Products!A:E, 4, FALSE)</f>
        <v>519</v>
      </c>
      <c r="Q1296">
        <f>IF(COUNTIF($A$2:A1296, A1296)=2, 1, 0)</f>
        <v>0</v>
      </c>
      <c r="R1296">
        <f>IF(ISNA(MATCH(C1296, Customers!$A:$A, 0)), 1, 0)</f>
        <v>0</v>
      </c>
      <c r="S1296" s="94" t="b">
        <f>VLOOKUP(D1296, Products!A:F, 6, FALSE)</f>
        <v>1</v>
      </c>
    </row>
    <row r="1297" spans="1:19">
      <c r="A1297" s="102" t="s">
        <v>1783</v>
      </c>
      <c r="B1297" s="2">
        <v>45312</v>
      </c>
      <c r="C1297" s="1" t="s">
        <v>440</v>
      </c>
      <c r="D1297" s="1" t="s">
        <v>115</v>
      </c>
      <c r="E1297" s="1" t="s">
        <v>132</v>
      </c>
      <c r="F1297" s="83">
        <v>7</v>
      </c>
      <c r="G1297" s="92">
        <v>960</v>
      </c>
      <c r="H1297" s="3">
        <v>17.7</v>
      </c>
      <c r="I1297" s="3">
        <v>5530.56</v>
      </c>
      <c r="J1297" s="1" t="s">
        <v>87</v>
      </c>
      <c r="K1297" s="1" t="s">
        <v>88</v>
      </c>
      <c r="L1297" t="str">
        <f>VLOOKUP(D1297, Products!A:C, 3, FALSE)</f>
        <v>Sports</v>
      </c>
      <c r="M1297" t="str">
        <f>VLOOKUP(C1297, Customers!A:E, 5, FALSE)</f>
        <v>SMB</v>
      </c>
      <c r="N1297">
        <f>VLOOKUP(C1297, Customers!A:E, 3, FALSE)</f>
        <v>30</v>
      </c>
      <c r="O1297" s="93" t="str">
        <f>VLOOKUP(E1297, Sales_Reps!A:C, 3, FALSE)</f>
        <v>South</v>
      </c>
      <c r="P1297">
        <f>VLOOKUP(D1297, Products!A:E, 4, FALSE)</f>
        <v>705</v>
      </c>
      <c r="Q1297">
        <f>IF(COUNTIF($A$2:A1297, A1297)=2, 1, 0)</f>
        <v>0</v>
      </c>
      <c r="R1297">
        <f>IF(ISNA(MATCH(C1297, Customers!$A:$A, 0)), 1, 0)</f>
        <v>0</v>
      </c>
      <c r="S1297" s="94" t="b">
        <f>VLOOKUP(D1297, Products!A:F, 6, FALSE)</f>
        <v>1</v>
      </c>
    </row>
    <row r="1298" spans="1:19">
      <c r="A1298" s="102" t="s">
        <v>1784</v>
      </c>
      <c r="B1298" s="2">
        <v>45445</v>
      </c>
      <c r="C1298" s="1" t="s">
        <v>1027</v>
      </c>
      <c r="D1298" s="1" t="s">
        <v>151</v>
      </c>
      <c r="E1298" s="1" t="s">
        <v>107</v>
      </c>
      <c r="F1298" s="83">
        <v>1</v>
      </c>
      <c r="G1298" s="92">
        <v>2400</v>
      </c>
      <c r="H1298" s="3">
        <v>29.9</v>
      </c>
      <c r="I1298" s="3">
        <v>1682.4</v>
      </c>
      <c r="J1298" s="1" t="s">
        <v>87</v>
      </c>
      <c r="K1298" s="1" t="s">
        <v>112</v>
      </c>
      <c r="L1298" t="str">
        <f>VLOOKUP(D1298, Products!A:C, 3, FALSE)</f>
        <v>Sports</v>
      </c>
      <c r="M1298" t="str">
        <f>VLOOKUP(C1298, Customers!A:E, 5, FALSE)</f>
        <v>SMB</v>
      </c>
      <c r="N1298">
        <f>VLOOKUP(C1298, Customers!A:E, 3, FALSE)</f>
        <v>47</v>
      </c>
      <c r="O1298" s="93" t="str">
        <f>VLOOKUP(E1298, Sales_Reps!A:C, 3, FALSE)</f>
        <v>North</v>
      </c>
      <c r="P1298">
        <f>VLOOKUP(D1298, Products!A:E, 4, FALSE)</f>
        <v>974</v>
      </c>
      <c r="Q1298">
        <f>IF(COUNTIF($A$2:A1298, A1298)=2, 1, 0)</f>
        <v>0</v>
      </c>
      <c r="R1298">
        <f>IF(ISNA(MATCH(C1298, Customers!$A:$A, 0)), 1, 0)</f>
        <v>0</v>
      </c>
      <c r="S1298" s="94" t="b">
        <f>VLOOKUP(D1298, Products!A:F, 6, FALSE)</f>
        <v>1</v>
      </c>
    </row>
    <row r="1299" spans="1:19">
      <c r="A1299" s="102" t="s">
        <v>1785</v>
      </c>
      <c r="B1299" s="2">
        <v>45636</v>
      </c>
      <c r="C1299" s="1" t="s">
        <v>1350</v>
      </c>
      <c r="D1299" s="1" t="s">
        <v>386</v>
      </c>
      <c r="E1299" s="1" t="s">
        <v>132</v>
      </c>
      <c r="F1299" s="83">
        <v>9</v>
      </c>
      <c r="G1299" s="92">
        <v>2290</v>
      </c>
      <c r="H1299" s="3">
        <v>28.8</v>
      </c>
      <c r="I1299" s="3">
        <v>14674.32</v>
      </c>
      <c r="J1299" s="1" t="s">
        <v>87</v>
      </c>
      <c r="K1299" s="1" t="s">
        <v>112</v>
      </c>
      <c r="L1299" t="str">
        <f>VLOOKUP(D1299, Products!A:C, 3, FALSE)</f>
        <v>Beauty</v>
      </c>
      <c r="M1299" t="str">
        <f>VLOOKUP(C1299, Customers!A:E, 5, FALSE)</f>
        <v>Retail</v>
      </c>
      <c r="N1299">
        <f>VLOOKUP(C1299, Customers!A:E, 3, FALSE)</f>
        <v>38</v>
      </c>
      <c r="O1299" s="93" t="str">
        <f>VLOOKUP(E1299, Sales_Reps!A:C, 3, FALSE)</f>
        <v>South</v>
      </c>
      <c r="P1299">
        <f>VLOOKUP(D1299, Products!A:E, 4, FALSE)</f>
        <v>1219</v>
      </c>
      <c r="Q1299">
        <f>IF(COUNTIF($A$2:A1299, A1299)=2, 1, 0)</f>
        <v>0</v>
      </c>
      <c r="R1299">
        <f>IF(ISNA(MATCH(C1299, Customers!$A:$A, 0)), 1, 0)</f>
        <v>0</v>
      </c>
      <c r="S1299" s="94" t="b">
        <f>VLOOKUP(D1299, Products!A:F, 6, FALSE)</f>
        <v>1</v>
      </c>
    </row>
    <row r="1300" spans="1:19">
      <c r="A1300" s="102" t="s">
        <v>1786</v>
      </c>
      <c r="B1300" s="2">
        <v>45294</v>
      </c>
      <c r="C1300" s="1" t="s">
        <v>225</v>
      </c>
      <c r="D1300" s="1" t="s">
        <v>164</v>
      </c>
      <c r="E1300" s="1" t="s">
        <v>303</v>
      </c>
      <c r="F1300" s="83">
        <v>9</v>
      </c>
      <c r="G1300" s="92">
        <v>1080</v>
      </c>
      <c r="H1300" s="3">
        <v>10.3</v>
      </c>
      <c r="I1300" s="3">
        <v>8718.84</v>
      </c>
      <c r="J1300" s="1" t="s">
        <v>87</v>
      </c>
      <c r="K1300" s="1" t="s">
        <v>94</v>
      </c>
      <c r="L1300" t="str">
        <f>VLOOKUP(D1300, Products!A:C, 3, FALSE)</f>
        <v>Home</v>
      </c>
      <c r="M1300" t="str">
        <f>VLOOKUP(C1300, Customers!A:E, 5, FALSE)</f>
        <v>Retail</v>
      </c>
      <c r="N1300">
        <f>VLOOKUP(C1300, Customers!A:E, 3, FALSE)</f>
        <v>37</v>
      </c>
      <c r="O1300" s="93" t="str">
        <f>VLOOKUP(E1300, Sales_Reps!A:C, 3, FALSE)</f>
        <v>East</v>
      </c>
      <c r="P1300">
        <f>VLOOKUP(D1300, Products!A:E, 4, FALSE)</f>
        <v>519</v>
      </c>
      <c r="Q1300">
        <f>IF(COUNTIF($A$2:A1300, A1300)=2, 1, 0)</f>
        <v>0</v>
      </c>
      <c r="R1300">
        <f>IF(ISNA(MATCH(C1300, Customers!$A:$A, 0)), 1, 0)</f>
        <v>0</v>
      </c>
      <c r="S1300" s="94" t="b">
        <f>VLOOKUP(D1300, Products!A:F, 6, FALSE)</f>
        <v>1</v>
      </c>
    </row>
    <row r="1301" spans="1:19">
      <c r="A1301" s="102" t="s">
        <v>1787</v>
      </c>
      <c r="B1301" s="2">
        <v>45449</v>
      </c>
      <c r="C1301" s="1" t="s">
        <v>910</v>
      </c>
      <c r="D1301" s="1" t="s">
        <v>502</v>
      </c>
      <c r="E1301" s="1" t="s">
        <v>139</v>
      </c>
      <c r="F1301" s="83">
        <v>1</v>
      </c>
      <c r="G1301" s="92">
        <v>1090</v>
      </c>
      <c r="H1301" s="3">
        <v>5.8</v>
      </c>
      <c r="I1301" s="3">
        <v>1026.78</v>
      </c>
      <c r="J1301" s="1" t="s">
        <v>140</v>
      </c>
      <c r="K1301" s="1" t="s">
        <v>99</v>
      </c>
      <c r="L1301" t="str">
        <f>VLOOKUP(D1301, Products!A:C, 3, FALSE)</f>
        <v>Home</v>
      </c>
      <c r="M1301" t="str">
        <f>VLOOKUP(C1301, Customers!A:E, 5, FALSE)</f>
        <v>Retail</v>
      </c>
      <c r="N1301">
        <f>VLOOKUP(C1301, Customers!A:E, 3, FALSE)</f>
        <v>55</v>
      </c>
      <c r="O1301" s="93" t="str">
        <f>VLOOKUP(E1301, Sales_Reps!A:C, 3, FALSE)</f>
        <v>North</v>
      </c>
      <c r="P1301">
        <f>VLOOKUP(D1301, Products!A:E, 4, FALSE)</f>
        <v>464</v>
      </c>
      <c r="Q1301">
        <f>IF(COUNTIF($A$2:A1301, A1301)=2, 1, 0)</f>
        <v>0</v>
      </c>
      <c r="R1301">
        <f>IF(ISNA(MATCH(C1301, Customers!$A:$A, 0)), 1, 0)</f>
        <v>0</v>
      </c>
      <c r="S1301" s="94" t="b">
        <f>VLOOKUP(D1301, Products!A:F, 6, FALSE)</f>
        <v>1</v>
      </c>
    </row>
    <row r="1302" spans="1:19">
      <c r="A1302" s="102" t="s">
        <v>1788</v>
      </c>
      <c r="B1302" s="2">
        <v>45560</v>
      </c>
      <c r="C1302" s="1" t="s">
        <v>902</v>
      </c>
      <c r="D1302" s="1" t="s">
        <v>338</v>
      </c>
      <c r="E1302" s="1" t="s">
        <v>303</v>
      </c>
      <c r="F1302" s="83">
        <v>3</v>
      </c>
      <c r="G1302" s="92">
        <v>2210</v>
      </c>
      <c r="H1302" s="3">
        <v>18.2</v>
      </c>
      <c r="I1302" s="3">
        <v>5423.34</v>
      </c>
      <c r="J1302" s="1" t="s">
        <v>93</v>
      </c>
      <c r="K1302" s="1" t="s">
        <v>112</v>
      </c>
      <c r="L1302" t="str">
        <f>VLOOKUP(D1302, Products!A:C, 3, FALSE)</f>
        <v>Grocery</v>
      </c>
      <c r="M1302" t="str">
        <f>VLOOKUP(C1302, Customers!A:E, 5, FALSE)</f>
        <v>Retail</v>
      </c>
      <c r="N1302">
        <f>VLOOKUP(C1302, Customers!A:E, 3, FALSE)</f>
        <v>37</v>
      </c>
      <c r="O1302" s="93" t="str">
        <f>VLOOKUP(E1302, Sales_Reps!A:C, 3, FALSE)</f>
        <v>East</v>
      </c>
      <c r="P1302">
        <f>VLOOKUP(D1302, Products!A:E, 4, FALSE)</f>
        <v>1010</v>
      </c>
      <c r="Q1302">
        <f>IF(COUNTIF($A$2:A1302, A1302)=2, 1, 0)</f>
        <v>0</v>
      </c>
      <c r="R1302">
        <f>IF(ISNA(MATCH(C1302, Customers!$A:$A, 0)), 1, 0)</f>
        <v>0</v>
      </c>
      <c r="S1302" s="94" t="b">
        <f>VLOOKUP(D1302, Products!A:F, 6, FALSE)</f>
        <v>1</v>
      </c>
    </row>
    <row r="1303" spans="1:19">
      <c r="A1303" s="102" t="s">
        <v>1789</v>
      </c>
      <c r="B1303" s="2">
        <v>45588</v>
      </c>
      <c r="C1303" s="1" t="s">
        <v>197</v>
      </c>
      <c r="D1303" s="1" t="s">
        <v>85</v>
      </c>
      <c r="E1303" s="1" t="s">
        <v>188</v>
      </c>
      <c r="F1303" s="83">
        <v>8</v>
      </c>
      <c r="G1303" s="92">
        <v>3620</v>
      </c>
      <c r="H1303" s="3">
        <v>1.4</v>
      </c>
      <c r="I1303" s="3">
        <v>28554.560000000001</v>
      </c>
      <c r="J1303" s="1" t="s">
        <v>87</v>
      </c>
      <c r="K1303" s="1" t="s">
        <v>88</v>
      </c>
      <c r="L1303" t="str">
        <f>VLOOKUP(D1303, Products!A:C, 3, FALSE)</f>
        <v>Apparel</v>
      </c>
      <c r="M1303" t="str">
        <f>VLOOKUP(C1303, Customers!A:E, 5, FALSE)</f>
        <v>Corporate</v>
      </c>
      <c r="N1303">
        <f>VLOOKUP(C1303, Customers!A:E, 3, FALSE)</f>
        <v>47</v>
      </c>
      <c r="O1303" s="93" t="str">
        <f>VLOOKUP(E1303, Sales_Reps!A:C, 3, FALSE)</f>
        <v>South</v>
      </c>
      <c r="P1303">
        <f>VLOOKUP(D1303, Products!A:E, 4, FALSE)</f>
        <v>2509</v>
      </c>
      <c r="Q1303">
        <f>IF(COUNTIF($A$2:A1303, A1303)=2, 1, 0)</f>
        <v>0</v>
      </c>
      <c r="R1303">
        <f>IF(ISNA(MATCH(C1303, Customers!$A:$A, 0)), 1, 0)</f>
        <v>0</v>
      </c>
      <c r="S1303" s="94" t="b">
        <f>VLOOKUP(D1303, Products!A:F, 6, FALSE)</f>
        <v>1</v>
      </c>
    </row>
    <row r="1304" spans="1:19">
      <c r="A1304" s="102" t="s">
        <v>1790</v>
      </c>
      <c r="B1304" s="2">
        <v>45360</v>
      </c>
      <c r="C1304" s="1" t="s">
        <v>208</v>
      </c>
      <c r="D1304" s="1" t="s">
        <v>295</v>
      </c>
      <c r="E1304" s="1" t="s">
        <v>273</v>
      </c>
      <c r="F1304" s="83">
        <v>7</v>
      </c>
      <c r="G1304" s="92">
        <v>2030</v>
      </c>
      <c r="H1304" s="3">
        <v>27.7</v>
      </c>
      <c r="I1304" s="3">
        <v>10273.83</v>
      </c>
      <c r="J1304" s="1" t="s">
        <v>87</v>
      </c>
      <c r="K1304" s="1" t="s">
        <v>133</v>
      </c>
      <c r="L1304" t="str">
        <f>VLOOKUP(D1304, Products!A:C, 3, FALSE)</f>
        <v>Home</v>
      </c>
      <c r="M1304" t="str">
        <f>VLOOKUP(C1304, Customers!A:E, 5, FALSE)</f>
        <v>Retail</v>
      </c>
      <c r="N1304">
        <f>VLOOKUP(C1304, Customers!A:E, 3, FALSE)</f>
        <v>26</v>
      </c>
      <c r="O1304" s="93" t="str">
        <f>VLOOKUP(E1304, Sales_Reps!A:C, 3, FALSE)</f>
        <v>South</v>
      </c>
      <c r="P1304">
        <f>VLOOKUP(D1304, Products!A:E, 4, FALSE)</f>
        <v>1143</v>
      </c>
      <c r="Q1304">
        <f>IF(COUNTIF($A$2:A1304, A1304)=2, 1, 0)</f>
        <v>0</v>
      </c>
      <c r="R1304">
        <f>IF(ISNA(MATCH(C1304, Customers!$A:$A, 0)), 1, 0)</f>
        <v>0</v>
      </c>
      <c r="S1304" s="94" t="b">
        <f>VLOOKUP(D1304, Products!A:F, 6, FALSE)</f>
        <v>1</v>
      </c>
    </row>
    <row r="1305" spans="1:19">
      <c r="A1305" s="102" t="s">
        <v>1791</v>
      </c>
      <c r="B1305" s="2">
        <v>45316</v>
      </c>
      <c r="C1305" s="1" t="s">
        <v>599</v>
      </c>
      <c r="D1305" s="1" t="s">
        <v>248</v>
      </c>
      <c r="E1305" s="1" t="s">
        <v>154</v>
      </c>
      <c r="F1305" s="83">
        <v>1</v>
      </c>
      <c r="G1305" s="92">
        <v>3870</v>
      </c>
      <c r="H1305" s="3">
        <v>29.6</v>
      </c>
      <c r="I1305" s="3">
        <v>2724.48</v>
      </c>
      <c r="J1305" s="1" t="s">
        <v>87</v>
      </c>
      <c r="K1305" s="1" t="s">
        <v>117</v>
      </c>
      <c r="L1305" t="str">
        <f>VLOOKUP(D1305, Products!A:C, 3, FALSE)</f>
        <v>Electronics</v>
      </c>
      <c r="M1305" t="str">
        <f>VLOOKUP(C1305, Customers!A:E, 5, FALSE)</f>
        <v>Corporate</v>
      </c>
      <c r="N1305">
        <f>VLOOKUP(C1305, Customers!A:E, 3, FALSE)</f>
        <v>26</v>
      </c>
      <c r="O1305" s="93" t="str">
        <f>VLOOKUP(E1305, Sales_Reps!A:C, 3, FALSE)</f>
        <v>East</v>
      </c>
      <c r="P1305">
        <f>VLOOKUP(D1305, Products!A:E, 4, FALSE)</f>
        <v>1559</v>
      </c>
      <c r="Q1305">
        <f>IF(COUNTIF($A$2:A1305, A1305)=2, 1, 0)</f>
        <v>0</v>
      </c>
      <c r="R1305">
        <f>IF(ISNA(MATCH(C1305, Customers!$A:$A, 0)), 1, 0)</f>
        <v>0</v>
      </c>
      <c r="S1305" s="94" t="b">
        <f>VLOOKUP(D1305, Products!A:F, 6, FALSE)</f>
        <v>1</v>
      </c>
    </row>
    <row r="1306" spans="1:19">
      <c r="A1306" s="102" t="s">
        <v>1792</v>
      </c>
      <c r="B1306" s="2">
        <v>45324</v>
      </c>
      <c r="C1306" s="1" t="s">
        <v>835</v>
      </c>
      <c r="D1306" s="1" t="s">
        <v>187</v>
      </c>
      <c r="E1306" s="1" t="s">
        <v>98</v>
      </c>
      <c r="F1306" s="83">
        <v>5</v>
      </c>
      <c r="G1306" s="92">
        <v>3570</v>
      </c>
      <c r="H1306" s="3">
        <v>11.8</v>
      </c>
      <c r="I1306" s="3">
        <v>15743.7</v>
      </c>
      <c r="J1306" s="1" t="s">
        <v>144</v>
      </c>
      <c r="K1306" s="1" t="s">
        <v>117</v>
      </c>
      <c r="L1306" t="str">
        <f>VLOOKUP(D1306, Products!A:C, 3, FALSE)</f>
        <v>Electronics</v>
      </c>
      <c r="M1306" t="str">
        <f>VLOOKUP(C1306, Customers!A:E, 5, FALSE)</f>
        <v>Retail</v>
      </c>
      <c r="N1306">
        <f>VLOOKUP(C1306, Customers!A:E, 3, FALSE)</f>
        <v>52</v>
      </c>
      <c r="O1306" s="93" t="str">
        <f>VLOOKUP(E1306, Sales_Reps!A:C, 3, FALSE)</f>
        <v>South</v>
      </c>
      <c r="P1306">
        <f>VLOOKUP(D1306, Products!A:E, 4, FALSE)</f>
        <v>1665</v>
      </c>
      <c r="Q1306">
        <f>IF(COUNTIF($A$2:A1306, A1306)=2, 1, 0)</f>
        <v>0</v>
      </c>
      <c r="R1306">
        <f>IF(ISNA(MATCH(C1306, Customers!$A:$A, 0)), 1, 0)</f>
        <v>0</v>
      </c>
      <c r="S1306" s="94" t="b">
        <f>VLOOKUP(D1306, Products!A:F, 6, FALSE)</f>
        <v>1</v>
      </c>
    </row>
    <row r="1307" spans="1:19">
      <c r="A1307" s="102" t="s">
        <v>1793</v>
      </c>
      <c r="B1307" s="2">
        <v>45650</v>
      </c>
      <c r="C1307" s="1" t="s">
        <v>1104</v>
      </c>
      <c r="D1307" s="1" t="s">
        <v>364</v>
      </c>
      <c r="E1307" s="1" t="s">
        <v>121</v>
      </c>
      <c r="F1307" s="83">
        <v>7</v>
      </c>
      <c r="G1307" s="92">
        <v>5330</v>
      </c>
      <c r="H1307" s="3">
        <v>8.1999999999999993</v>
      </c>
      <c r="I1307" s="3">
        <v>34250.58</v>
      </c>
      <c r="J1307" s="1" t="s">
        <v>87</v>
      </c>
      <c r="K1307" s="1" t="s">
        <v>117</v>
      </c>
      <c r="L1307" t="str">
        <f>VLOOKUP(D1307, Products!A:C, 3, FALSE)</f>
        <v>Electronics</v>
      </c>
      <c r="M1307" t="str">
        <f>VLOOKUP(C1307, Customers!A:E, 5, FALSE)</f>
        <v>Corporate</v>
      </c>
      <c r="N1307">
        <f>VLOOKUP(C1307, Customers!A:E, 3, FALSE)</f>
        <v>31</v>
      </c>
      <c r="O1307" s="93" t="str">
        <f>VLOOKUP(E1307, Sales_Reps!A:C, 3, FALSE)</f>
        <v>East</v>
      </c>
      <c r="P1307">
        <f>VLOOKUP(D1307, Products!A:E, 4, FALSE)</f>
        <v>2405</v>
      </c>
      <c r="Q1307">
        <f>IF(COUNTIF($A$2:A1307, A1307)=2, 1, 0)</f>
        <v>0</v>
      </c>
      <c r="R1307">
        <f>IF(ISNA(MATCH(C1307, Customers!$A:$A, 0)), 1, 0)</f>
        <v>0</v>
      </c>
      <c r="S1307" s="94" t="b">
        <f>VLOOKUP(D1307, Products!A:F, 6, FALSE)</f>
        <v>1</v>
      </c>
    </row>
    <row r="1308" spans="1:19">
      <c r="A1308" s="102" t="s">
        <v>1794</v>
      </c>
      <c r="B1308" s="2">
        <v>45564</v>
      </c>
      <c r="C1308" s="1" t="s">
        <v>807</v>
      </c>
      <c r="D1308" s="1" t="s">
        <v>267</v>
      </c>
      <c r="E1308" s="1" t="s">
        <v>204</v>
      </c>
      <c r="F1308" s="83">
        <v>5</v>
      </c>
      <c r="G1308" s="92">
        <v>1220</v>
      </c>
      <c r="H1308" s="3">
        <v>17.8</v>
      </c>
      <c r="I1308" s="3">
        <v>5014.2</v>
      </c>
      <c r="J1308" s="1" t="s">
        <v>144</v>
      </c>
      <c r="K1308" s="1" t="s">
        <v>88</v>
      </c>
      <c r="L1308" t="str">
        <f>VLOOKUP(D1308, Products!A:C, 3, FALSE)</f>
        <v>Electronics</v>
      </c>
      <c r="M1308" t="str">
        <f>VLOOKUP(C1308, Customers!A:E, 5, FALSE)</f>
        <v>Retail</v>
      </c>
      <c r="N1308">
        <f>VLOOKUP(C1308, Customers!A:E, 3, FALSE)</f>
        <v>36</v>
      </c>
      <c r="O1308" s="93" t="str">
        <f>VLOOKUP(E1308, Sales_Reps!A:C, 3, FALSE)</f>
        <v>South</v>
      </c>
      <c r="P1308">
        <f>VLOOKUP(D1308, Products!A:E, 4, FALSE)</f>
        <v>517</v>
      </c>
      <c r="Q1308">
        <f>IF(COUNTIF($A$2:A1308, A1308)=2, 1, 0)</f>
        <v>0</v>
      </c>
      <c r="R1308">
        <f>IF(ISNA(MATCH(C1308, Customers!$A:$A, 0)), 1, 0)</f>
        <v>0</v>
      </c>
      <c r="S1308" s="94" t="b">
        <f>VLOOKUP(D1308, Products!A:F, 6, FALSE)</f>
        <v>1</v>
      </c>
    </row>
    <row r="1309" spans="1:19">
      <c r="A1309" s="102" t="s">
        <v>1795</v>
      </c>
      <c r="B1309" s="2">
        <v>45587</v>
      </c>
      <c r="C1309" s="1" t="s">
        <v>163</v>
      </c>
      <c r="D1309" s="1" t="s">
        <v>452</v>
      </c>
      <c r="E1309" s="1" t="s">
        <v>121</v>
      </c>
      <c r="F1309" s="83">
        <v>7</v>
      </c>
      <c r="G1309" s="92">
        <v>3450</v>
      </c>
      <c r="H1309" s="3">
        <v>29.3</v>
      </c>
      <c r="I1309" s="3">
        <v>17074.05</v>
      </c>
      <c r="J1309" s="1" t="s">
        <v>87</v>
      </c>
      <c r="K1309" s="1" t="s">
        <v>94</v>
      </c>
      <c r="L1309" t="str">
        <f>VLOOKUP(D1309, Products!A:C, 3, FALSE)</f>
        <v>Apparel</v>
      </c>
      <c r="M1309" t="str">
        <f>VLOOKUP(C1309, Customers!A:E, 5, FALSE)</f>
        <v>Retail</v>
      </c>
      <c r="N1309">
        <f>VLOOKUP(C1309, Customers!A:E, 3, FALSE)</f>
        <v>49</v>
      </c>
      <c r="O1309" s="93" t="str">
        <f>VLOOKUP(E1309, Sales_Reps!A:C, 3, FALSE)</f>
        <v>East</v>
      </c>
      <c r="P1309">
        <f>VLOOKUP(D1309, Products!A:E, 4, FALSE)</f>
        <v>1748</v>
      </c>
      <c r="Q1309">
        <f>IF(COUNTIF($A$2:A1309, A1309)=2, 1, 0)</f>
        <v>0</v>
      </c>
      <c r="R1309">
        <f>IF(ISNA(MATCH(C1309, Customers!$A:$A, 0)), 1, 0)</f>
        <v>0</v>
      </c>
      <c r="S1309" s="94" t="b">
        <f>VLOOKUP(D1309, Products!A:F, 6, FALSE)</f>
        <v>1</v>
      </c>
    </row>
    <row r="1310" spans="1:19">
      <c r="A1310" s="102" t="s">
        <v>1796</v>
      </c>
      <c r="B1310" s="2">
        <v>45538</v>
      </c>
      <c r="C1310" s="1" t="s">
        <v>617</v>
      </c>
      <c r="D1310" s="1" t="s">
        <v>659</v>
      </c>
      <c r="E1310" s="1" t="s">
        <v>252</v>
      </c>
      <c r="F1310" s="83">
        <v>6</v>
      </c>
      <c r="G1310" s="92">
        <v>3560</v>
      </c>
      <c r="H1310" s="3">
        <v>9.4</v>
      </c>
      <c r="I1310" s="3">
        <v>19352.16</v>
      </c>
      <c r="J1310" s="1" t="s">
        <v>93</v>
      </c>
      <c r="K1310" s="1" t="s">
        <v>112</v>
      </c>
      <c r="L1310" t="str">
        <f>VLOOKUP(D1310, Products!A:C, 3, FALSE)</f>
        <v>Apparel</v>
      </c>
      <c r="M1310" t="str">
        <f>VLOOKUP(C1310, Customers!A:E, 5, FALSE)</f>
        <v>SMB</v>
      </c>
      <c r="N1310">
        <f>VLOOKUP(C1310, Customers!A:E, 3, FALSE)</f>
        <v>65</v>
      </c>
      <c r="O1310" s="93" t="str">
        <f>VLOOKUP(E1310, Sales_Reps!A:C, 3, FALSE)</f>
        <v>South</v>
      </c>
      <c r="P1310">
        <f>VLOOKUP(D1310, Products!A:E, 4, FALSE)</f>
        <v>2629</v>
      </c>
      <c r="Q1310">
        <f>IF(COUNTIF($A$2:A1310, A1310)=2, 1, 0)</f>
        <v>0</v>
      </c>
      <c r="R1310">
        <f>IF(ISNA(MATCH(C1310, Customers!$A:$A, 0)), 1, 0)</f>
        <v>0</v>
      </c>
      <c r="S1310" s="94" t="b">
        <f>VLOOKUP(D1310, Products!A:F, 6, FALSE)</f>
        <v>1</v>
      </c>
    </row>
    <row r="1311" spans="1:19">
      <c r="A1311" s="102" t="s">
        <v>1797</v>
      </c>
      <c r="B1311" s="2">
        <v>45385</v>
      </c>
      <c r="C1311" s="1" t="s">
        <v>504</v>
      </c>
      <c r="D1311" s="1" t="s">
        <v>110</v>
      </c>
      <c r="E1311" s="1" t="s">
        <v>92</v>
      </c>
      <c r="F1311" s="83">
        <v>4</v>
      </c>
      <c r="G1311" s="92">
        <v>370</v>
      </c>
      <c r="H1311" s="3">
        <v>4.9000000000000004</v>
      </c>
      <c r="I1311" s="3">
        <v>1407.48</v>
      </c>
      <c r="J1311" s="1" t="s">
        <v>87</v>
      </c>
      <c r="K1311" s="1" t="s">
        <v>117</v>
      </c>
      <c r="L1311" t="str">
        <f>VLOOKUP(D1311, Products!A:C, 3, FALSE)</f>
        <v>Home</v>
      </c>
      <c r="M1311" t="str">
        <f>VLOOKUP(C1311, Customers!A:E, 5, FALSE)</f>
        <v>Corporate</v>
      </c>
      <c r="N1311">
        <f>VLOOKUP(C1311, Customers!A:E, 3, FALSE)</f>
        <v>36</v>
      </c>
      <c r="O1311" s="93" t="str">
        <f>VLOOKUP(E1311, Sales_Reps!A:C, 3, FALSE)</f>
        <v>North</v>
      </c>
      <c r="P1311">
        <f>VLOOKUP(D1311, Products!A:E, 4, FALSE)</f>
        <v>288</v>
      </c>
      <c r="Q1311">
        <f>IF(COUNTIF($A$2:A1311, A1311)=2, 1, 0)</f>
        <v>0</v>
      </c>
      <c r="R1311">
        <f>IF(ISNA(MATCH(C1311, Customers!$A:$A, 0)), 1, 0)</f>
        <v>0</v>
      </c>
      <c r="S1311" s="94" t="b">
        <f>VLOOKUP(D1311, Products!A:F, 6, FALSE)</f>
        <v>1</v>
      </c>
    </row>
    <row r="1312" spans="1:19">
      <c r="A1312" s="102" t="s">
        <v>1798</v>
      </c>
      <c r="B1312" s="2">
        <v>45647</v>
      </c>
      <c r="C1312" s="1" t="s">
        <v>720</v>
      </c>
      <c r="D1312" s="1" t="s">
        <v>267</v>
      </c>
      <c r="E1312" s="1" t="s">
        <v>148</v>
      </c>
      <c r="F1312" s="83">
        <v>1</v>
      </c>
      <c r="G1312" s="92">
        <v>1220</v>
      </c>
      <c r="H1312" s="3">
        <v>15.2</v>
      </c>
      <c r="I1312" s="3">
        <v>1034.56</v>
      </c>
      <c r="J1312" s="1" t="s">
        <v>87</v>
      </c>
      <c r="K1312" s="1" t="s">
        <v>88</v>
      </c>
      <c r="L1312" t="str">
        <f>VLOOKUP(D1312, Products!A:C, 3, FALSE)</f>
        <v>Electronics</v>
      </c>
      <c r="M1312" t="str">
        <f>VLOOKUP(C1312, Customers!A:E, 5, FALSE)</f>
        <v>Retail</v>
      </c>
      <c r="N1312">
        <f>VLOOKUP(C1312, Customers!A:E, 3, FALSE)</f>
        <v>48</v>
      </c>
      <c r="O1312" s="93" t="str">
        <f>VLOOKUP(E1312, Sales_Reps!A:C, 3, FALSE)</f>
        <v>North</v>
      </c>
      <c r="P1312">
        <f>VLOOKUP(D1312, Products!A:E, 4, FALSE)</f>
        <v>517</v>
      </c>
      <c r="Q1312">
        <f>IF(COUNTIF($A$2:A1312, A1312)=2, 1, 0)</f>
        <v>0</v>
      </c>
      <c r="R1312">
        <f>IF(ISNA(MATCH(C1312, Customers!$A:$A, 0)), 1, 0)</f>
        <v>0</v>
      </c>
      <c r="S1312" s="94" t="b">
        <f>VLOOKUP(D1312, Products!A:F, 6, FALSE)</f>
        <v>1</v>
      </c>
    </row>
    <row r="1313" spans="1:19">
      <c r="A1313" s="102" t="s">
        <v>1799</v>
      </c>
      <c r="B1313" s="2">
        <v>45466</v>
      </c>
      <c r="C1313" s="1" t="s">
        <v>802</v>
      </c>
      <c r="D1313" s="1" t="s">
        <v>237</v>
      </c>
      <c r="E1313" s="1" t="s">
        <v>103</v>
      </c>
      <c r="F1313" s="83">
        <v>3</v>
      </c>
      <c r="G1313" s="92">
        <v>3640</v>
      </c>
      <c r="H1313" s="3">
        <v>12.3</v>
      </c>
      <c r="I1313" s="3">
        <v>9576.84</v>
      </c>
      <c r="J1313" s="1" t="s">
        <v>93</v>
      </c>
      <c r="K1313" s="1" t="s">
        <v>94</v>
      </c>
      <c r="L1313" t="str">
        <f>VLOOKUP(D1313, Products!A:C, 3, FALSE)</f>
        <v>Apparel</v>
      </c>
      <c r="M1313" t="str">
        <f>VLOOKUP(C1313, Customers!A:E, 5, FALSE)</f>
        <v>SMB</v>
      </c>
      <c r="N1313">
        <f>VLOOKUP(C1313, Customers!A:E, 3, FALSE)</f>
        <v>39</v>
      </c>
      <c r="O1313" s="93" t="str">
        <f>VLOOKUP(E1313, Sales_Reps!A:C, 3, FALSE)</f>
        <v>North</v>
      </c>
      <c r="P1313">
        <f>VLOOKUP(D1313, Products!A:E, 4, FALSE)</f>
        <v>2611</v>
      </c>
      <c r="Q1313">
        <f>IF(COUNTIF($A$2:A1313, A1313)=2, 1, 0)</f>
        <v>0</v>
      </c>
      <c r="R1313">
        <f>IF(ISNA(MATCH(C1313, Customers!$A:$A, 0)), 1, 0)</f>
        <v>0</v>
      </c>
      <c r="S1313" s="94" t="b">
        <f>VLOOKUP(D1313, Products!A:F, 6, FALSE)</f>
        <v>1</v>
      </c>
    </row>
    <row r="1314" spans="1:19">
      <c r="A1314" s="102" t="s">
        <v>1800</v>
      </c>
      <c r="B1314" s="2">
        <v>45559</v>
      </c>
      <c r="C1314" s="1" t="s">
        <v>872</v>
      </c>
      <c r="D1314" s="1" t="s">
        <v>276</v>
      </c>
      <c r="E1314" s="1" t="s">
        <v>132</v>
      </c>
      <c r="F1314" s="83">
        <v>8</v>
      </c>
      <c r="G1314" s="92">
        <v>3020</v>
      </c>
      <c r="H1314" s="3">
        <v>28.2</v>
      </c>
      <c r="I1314" s="3">
        <v>17346.88</v>
      </c>
      <c r="J1314" s="1" t="s">
        <v>93</v>
      </c>
      <c r="K1314" s="1" t="s">
        <v>112</v>
      </c>
      <c r="L1314" t="str">
        <f>VLOOKUP(D1314, Products!A:C, 3, FALSE)</f>
        <v>Beauty</v>
      </c>
      <c r="M1314" t="str">
        <f>VLOOKUP(C1314, Customers!A:E, 5, FALSE)</f>
        <v>Corporate</v>
      </c>
      <c r="N1314">
        <f>VLOOKUP(C1314, Customers!A:E, 3, FALSE)</f>
        <v>62</v>
      </c>
      <c r="O1314" s="93" t="str">
        <f>VLOOKUP(E1314, Sales_Reps!A:C, 3, FALSE)</f>
        <v>South</v>
      </c>
      <c r="P1314">
        <f>VLOOKUP(D1314, Products!A:E, 4, FALSE)</f>
        <v>1626</v>
      </c>
      <c r="Q1314">
        <f>IF(COUNTIF($A$2:A1314, A1314)=2, 1, 0)</f>
        <v>0</v>
      </c>
      <c r="R1314">
        <f>IF(ISNA(MATCH(C1314, Customers!$A:$A, 0)), 1, 0)</f>
        <v>0</v>
      </c>
      <c r="S1314" s="94" t="b">
        <f>VLOOKUP(D1314, Products!A:F, 6, FALSE)</f>
        <v>1</v>
      </c>
    </row>
    <row r="1315" spans="1:19">
      <c r="A1315" s="102" t="s">
        <v>1801</v>
      </c>
      <c r="B1315" s="2">
        <v>45469</v>
      </c>
      <c r="C1315" s="1" t="s">
        <v>655</v>
      </c>
      <c r="D1315" s="1" t="s">
        <v>191</v>
      </c>
      <c r="E1315" s="1" t="s">
        <v>107</v>
      </c>
      <c r="F1315" s="83">
        <v>3</v>
      </c>
      <c r="G1315" s="92">
        <v>5100</v>
      </c>
      <c r="H1315" s="3">
        <v>7.8</v>
      </c>
      <c r="I1315" s="3">
        <v>14106.6</v>
      </c>
      <c r="J1315" s="1" t="s">
        <v>87</v>
      </c>
      <c r="K1315" s="1" t="s">
        <v>133</v>
      </c>
      <c r="L1315" t="str">
        <f>VLOOKUP(D1315, Products!A:C, 3, FALSE)</f>
        <v>Beauty</v>
      </c>
      <c r="M1315" t="str">
        <f>VLOOKUP(C1315, Customers!A:E, 5, FALSE)</f>
        <v>Retail</v>
      </c>
      <c r="N1315">
        <f>VLOOKUP(C1315, Customers!A:E, 3, FALSE)</f>
        <v>27</v>
      </c>
      <c r="O1315" s="93" t="str">
        <f>VLOOKUP(E1315, Sales_Reps!A:C, 3, FALSE)</f>
        <v>North</v>
      </c>
      <c r="P1315">
        <f>VLOOKUP(D1315, Products!A:E, 4, FALSE)</f>
        <v>2237</v>
      </c>
      <c r="Q1315">
        <f>IF(COUNTIF($A$2:A1315, A1315)=2, 1, 0)</f>
        <v>0</v>
      </c>
      <c r="R1315">
        <f>IF(ISNA(MATCH(C1315, Customers!$A:$A, 0)), 1, 0)</f>
        <v>0</v>
      </c>
      <c r="S1315" s="94" t="b">
        <f>VLOOKUP(D1315, Products!A:F, 6, FALSE)</f>
        <v>1</v>
      </c>
    </row>
    <row r="1316" spans="1:19">
      <c r="A1316" s="102" t="s">
        <v>1802</v>
      </c>
      <c r="B1316" s="2">
        <v>45407</v>
      </c>
      <c r="C1316" s="1" t="s">
        <v>485</v>
      </c>
      <c r="D1316" s="1" t="s">
        <v>282</v>
      </c>
      <c r="E1316" s="1" t="s">
        <v>215</v>
      </c>
      <c r="F1316" s="83">
        <v>9</v>
      </c>
      <c r="G1316" s="92">
        <v>300</v>
      </c>
      <c r="H1316" s="3">
        <v>19</v>
      </c>
      <c r="I1316" s="3">
        <v>2187</v>
      </c>
      <c r="J1316" s="1" t="s">
        <v>87</v>
      </c>
      <c r="K1316" s="1" t="s">
        <v>88</v>
      </c>
      <c r="L1316" t="str">
        <f>VLOOKUP(D1316, Products!A:C, 3, FALSE)</f>
        <v>Electronics</v>
      </c>
      <c r="M1316" t="str">
        <f>VLOOKUP(C1316, Customers!A:E, 5, FALSE)</f>
        <v>Retail</v>
      </c>
      <c r="N1316">
        <f>VLOOKUP(C1316, Customers!A:E, 3, FALSE)</f>
        <v>49</v>
      </c>
      <c r="O1316" s="93" t="str">
        <f>VLOOKUP(E1316, Sales_Reps!A:C, 3, FALSE)</f>
        <v>North</v>
      </c>
      <c r="P1316">
        <f>VLOOKUP(D1316, Products!A:E, 4, FALSE)</f>
        <v>128</v>
      </c>
      <c r="Q1316">
        <f>IF(COUNTIF($A$2:A1316, A1316)=2, 1, 0)</f>
        <v>0</v>
      </c>
      <c r="R1316">
        <f>IF(ISNA(MATCH(C1316, Customers!$A:$A, 0)), 1, 0)</f>
        <v>0</v>
      </c>
      <c r="S1316" s="94" t="b">
        <f>VLOOKUP(D1316, Products!A:F, 6, FALSE)</f>
        <v>1</v>
      </c>
    </row>
    <row r="1317" spans="1:19">
      <c r="A1317" s="102" t="s">
        <v>1803</v>
      </c>
      <c r="B1317" s="2">
        <v>45634</v>
      </c>
      <c r="C1317" s="1" t="s">
        <v>194</v>
      </c>
      <c r="D1317" s="1" t="s">
        <v>386</v>
      </c>
      <c r="E1317" s="1" t="s">
        <v>86</v>
      </c>
      <c r="F1317" s="83">
        <v>10</v>
      </c>
      <c r="G1317" s="92">
        <v>2290</v>
      </c>
      <c r="H1317" s="3">
        <v>27.7</v>
      </c>
      <c r="I1317" s="3">
        <v>16556.7</v>
      </c>
      <c r="J1317" s="1" t="s">
        <v>87</v>
      </c>
      <c r="K1317" s="1" t="s">
        <v>88</v>
      </c>
      <c r="L1317" t="str">
        <f>VLOOKUP(D1317, Products!A:C, 3, FALSE)</f>
        <v>Beauty</v>
      </c>
      <c r="M1317" t="str">
        <f>VLOOKUP(C1317, Customers!A:E, 5, FALSE)</f>
        <v>SMB</v>
      </c>
      <c r="N1317">
        <f>VLOOKUP(C1317, Customers!A:E, 3, FALSE)</f>
        <v>44</v>
      </c>
      <c r="O1317" s="93" t="str">
        <f>VLOOKUP(E1317, Sales_Reps!A:C, 3, FALSE)</f>
        <v>North</v>
      </c>
      <c r="P1317">
        <f>VLOOKUP(D1317, Products!A:E, 4, FALSE)</f>
        <v>1219</v>
      </c>
      <c r="Q1317">
        <f>IF(COUNTIF($A$2:A1317, A1317)=2, 1, 0)</f>
        <v>0</v>
      </c>
      <c r="R1317">
        <f>IF(ISNA(MATCH(C1317, Customers!$A:$A, 0)), 1, 0)</f>
        <v>0</v>
      </c>
      <c r="S1317" s="94" t="b">
        <f>VLOOKUP(D1317, Products!A:F, 6, FALSE)</f>
        <v>1</v>
      </c>
    </row>
    <row r="1318" spans="1:19">
      <c r="A1318" s="102" t="s">
        <v>1804</v>
      </c>
      <c r="B1318" s="2">
        <v>45454</v>
      </c>
      <c r="C1318" s="1" t="s">
        <v>178</v>
      </c>
      <c r="D1318" s="1" t="s">
        <v>237</v>
      </c>
      <c r="E1318" s="1" t="s">
        <v>116</v>
      </c>
      <c r="F1318" s="83">
        <v>9</v>
      </c>
      <c r="G1318" s="92">
        <v>3640</v>
      </c>
      <c r="H1318" s="3">
        <v>20.100000000000001</v>
      </c>
      <c r="I1318" s="3">
        <v>26175.24</v>
      </c>
      <c r="J1318" s="1" t="s">
        <v>87</v>
      </c>
      <c r="K1318" s="1" t="s">
        <v>94</v>
      </c>
      <c r="L1318" t="str">
        <f>VLOOKUP(D1318, Products!A:C, 3, FALSE)</f>
        <v>Apparel</v>
      </c>
      <c r="M1318" t="str">
        <f>VLOOKUP(C1318, Customers!A:E, 5, FALSE)</f>
        <v>Corporate</v>
      </c>
      <c r="N1318">
        <f>VLOOKUP(C1318, Customers!A:E, 3, FALSE)</f>
        <v>55</v>
      </c>
      <c r="O1318" s="93" t="str">
        <f>VLOOKUP(E1318, Sales_Reps!A:C, 3, FALSE)</f>
        <v>West</v>
      </c>
      <c r="P1318">
        <f>VLOOKUP(D1318, Products!A:E, 4, FALSE)</f>
        <v>2611</v>
      </c>
      <c r="Q1318">
        <f>IF(COUNTIF($A$2:A1318, A1318)=2, 1, 0)</f>
        <v>0</v>
      </c>
      <c r="R1318">
        <f>IF(ISNA(MATCH(C1318, Customers!$A:$A, 0)), 1, 0)</f>
        <v>0</v>
      </c>
      <c r="S1318" s="94" t="b">
        <f>VLOOKUP(D1318, Products!A:F, 6, FALSE)</f>
        <v>1</v>
      </c>
    </row>
    <row r="1319" spans="1:19">
      <c r="A1319" s="102" t="s">
        <v>1805</v>
      </c>
      <c r="B1319" s="2">
        <v>45565</v>
      </c>
      <c r="C1319" s="1" t="s">
        <v>606</v>
      </c>
      <c r="D1319" s="1" t="s">
        <v>91</v>
      </c>
      <c r="E1319" s="1" t="s">
        <v>285</v>
      </c>
      <c r="F1319" s="83">
        <v>4</v>
      </c>
      <c r="G1319" s="92">
        <v>820</v>
      </c>
      <c r="H1319" s="3">
        <v>7.6</v>
      </c>
      <c r="I1319" s="3">
        <v>3030.72</v>
      </c>
      <c r="J1319" s="1" t="s">
        <v>87</v>
      </c>
      <c r="K1319" s="1" t="s">
        <v>112</v>
      </c>
      <c r="L1319" t="str">
        <f>VLOOKUP(D1319, Products!A:C, 3, FALSE)</f>
        <v>Apparel</v>
      </c>
      <c r="M1319" t="str">
        <f>VLOOKUP(C1319, Customers!A:E, 5, FALSE)</f>
        <v>Retail</v>
      </c>
      <c r="N1319">
        <f>VLOOKUP(C1319, Customers!A:E, 3, FALSE)</f>
        <v>52</v>
      </c>
      <c r="O1319" s="93" t="str">
        <f>VLOOKUP(E1319, Sales_Reps!A:C, 3, FALSE)</f>
        <v>East</v>
      </c>
      <c r="P1319">
        <f>VLOOKUP(D1319, Products!A:E, 4, FALSE)</f>
        <v>391</v>
      </c>
      <c r="Q1319">
        <f>IF(COUNTIF($A$2:A1319, A1319)=2, 1, 0)</f>
        <v>0</v>
      </c>
      <c r="R1319">
        <f>IF(ISNA(MATCH(C1319, Customers!$A:$A, 0)), 1, 0)</f>
        <v>0</v>
      </c>
      <c r="S1319" s="94" t="b">
        <f>VLOOKUP(D1319, Products!A:F, 6, FALSE)</f>
        <v>1</v>
      </c>
    </row>
    <row r="1320" spans="1:19">
      <c r="A1320" s="102" t="s">
        <v>1806</v>
      </c>
      <c r="B1320" s="2">
        <v>45443</v>
      </c>
      <c r="C1320" s="1" t="s">
        <v>1358</v>
      </c>
      <c r="D1320" s="1" t="s">
        <v>127</v>
      </c>
      <c r="E1320" s="1" t="s">
        <v>98</v>
      </c>
      <c r="F1320" s="83">
        <v>1</v>
      </c>
      <c r="G1320" s="92">
        <v>970</v>
      </c>
      <c r="H1320" s="3">
        <v>1.7</v>
      </c>
      <c r="I1320" s="3">
        <v>953.51</v>
      </c>
      <c r="J1320" s="1" t="s">
        <v>87</v>
      </c>
      <c r="K1320" s="1" t="s">
        <v>112</v>
      </c>
      <c r="L1320" t="str">
        <f>VLOOKUP(D1320, Products!A:C, 3, FALSE)</f>
        <v>Grocery</v>
      </c>
      <c r="M1320" t="str">
        <f>VLOOKUP(C1320, Customers!A:E, 5, FALSE)</f>
        <v>Corporate</v>
      </c>
      <c r="N1320">
        <f>VLOOKUP(C1320, Customers!A:E, 3, FALSE)</f>
        <v>42</v>
      </c>
      <c r="O1320" s="93" t="str">
        <f>VLOOKUP(E1320, Sales_Reps!A:C, 3, FALSE)</f>
        <v>South</v>
      </c>
      <c r="P1320">
        <f>VLOOKUP(D1320, Products!A:E, 4, FALSE)</f>
        <v>434</v>
      </c>
      <c r="Q1320">
        <f>IF(COUNTIF($A$2:A1320, A1320)=2, 1, 0)</f>
        <v>0</v>
      </c>
      <c r="R1320">
        <f>IF(ISNA(MATCH(C1320, Customers!$A:$A, 0)), 1, 0)</f>
        <v>0</v>
      </c>
      <c r="S1320" s="94" t="b">
        <f>VLOOKUP(D1320, Products!A:F, 6, FALSE)</f>
        <v>1</v>
      </c>
    </row>
    <row r="1321" spans="1:19">
      <c r="A1321" s="102" t="s">
        <v>1807</v>
      </c>
      <c r="B1321" s="2">
        <v>45318</v>
      </c>
      <c r="C1321" s="1" t="s">
        <v>130</v>
      </c>
      <c r="D1321" s="1" t="s">
        <v>659</v>
      </c>
      <c r="E1321" s="1" t="s">
        <v>121</v>
      </c>
      <c r="F1321" s="83">
        <v>5</v>
      </c>
      <c r="G1321" s="92">
        <v>3560</v>
      </c>
      <c r="H1321" s="3">
        <v>10.5</v>
      </c>
      <c r="I1321" s="3">
        <v>15931</v>
      </c>
      <c r="J1321" s="1" t="s">
        <v>87</v>
      </c>
      <c r="K1321" s="1" t="s">
        <v>133</v>
      </c>
      <c r="L1321" t="str">
        <f>VLOOKUP(D1321, Products!A:C, 3, FALSE)</f>
        <v>Apparel</v>
      </c>
      <c r="M1321" t="str">
        <f>VLOOKUP(C1321, Customers!A:E, 5, FALSE)</f>
        <v>Retail</v>
      </c>
      <c r="N1321">
        <f>VLOOKUP(C1321, Customers!A:E, 3, FALSE)</f>
        <v>60</v>
      </c>
      <c r="O1321" s="93" t="str">
        <f>VLOOKUP(E1321, Sales_Reps!A:C, 3, FALSE)</f>
        <v>East</v>
      </c>
      <c r="P1321">
        <f>VLOOKUP(D1321, Products!A:E, 4, FALSE)</f>
        <v>2629</v>
      </c>
      <c r="Q1321">
        <f>IF(COUNTIF($A$2:A1321, A1321)=2, 1, 0)</f>
        <v>0</v>
      </c>
      <c r="R1321">
        <f>IF(ISNA(MATCH(C1321, Customers!$A:$A, 0)), 1, 0)</f>
        <v>0</v>
      </c>
      <c r="S1321" s="94" t="b">
        <f>VLOOKUP(D1321, Products!A:F, 6, FALSE)</f>
        <v>1</v>
      </c>
    </row>
    <row r="1322" spans="1:19">
      <c r="A1322" s="102" t="s">
        <v>1808</v>
      </c>
      <c r="B1322" s="2">
        <v>45308</v>
      </c>
      <c r="C1322" s="1" t="s">
        <v>353</v>
      </c>
      <c r="D1322" s="1" t="s">
        <v>502</v>
      </c>
      <c r="E1322" s="1" t="s">
        <v>204</v>
      </c>
      <c r="F1322" s="83">
        <v>6</v>
      </c>
      <c r="G1322" s="92">
        <v>1090</v>
      </c>
      <c r="H1322" s="3">
        <v>2.4</v>
      </c>
      <c r="I1322" s="3">
        <v>6383.04</v>
      </c>
      <c r="J1322" s="1" t="s">
        <v>93</v>
      </c>
      <c r="K1322" s="1" t="s">
        <v>94</v>
      </c>
      <c r="L1322" t="str">
        <f>VLOOKUP(D1322, Products!A:C, 3, FALSE)</f>
        <v>Home</v>
      </c>
      <c r="M1322" t="str">
        <f>VLOOKUP(C1322, Customers!A:E, 5, FALSE)</f>
        <v>Retail</v>
      </c>
      <c r="N1322">
        <f>VLOOKUP(C1322, Customers!A:E, 3, FALSE)</f>
        <v>60</v>
      </c>
      <c r="O1322" s="93" t="str">
        <f>VLOOKUP(E1322, Sales_Reps!A:C, 3, FALSE)</f>
        <v>South</v>
      </c>
      <c r="P1322">
        <f>VLOOKUP(D1322, Products!A:E, 4, FALSE)</f>
        <v>464</v>
      </c>
      <c r="Q1322">
        <f>IF(COUNTIF($A$2:A1322, A1322)=2, 1, 0)</f>
        <v>0</v>
      </c>
      <c r="R1322">
        <f>IF(ISNA(MATCH(C1322, Customers!$A:$A, 0)), 1, 0)</f>
        <v>0</v>
      </c>
      <c r="S1322" s="94" t="b">
        <f>VLOOKUP(D1322, Products!A:F, 6, FALSE)</f>
        <v>1</v>
      </c>
    </row>
    <row r="1323" spans="1:19">
      <c r="A1323" s="102" t="s">
        <v>1809</v>
      </c>
      <c r="B1323" s="2">
        <v>45306</v>
      </c>
      <c r="C1323" s="1" t="s">
        <v>707</v>
      </c>
      <c r="D1323" s="1" t="s">
        <v>279</v>
      </c>
      <c r="E1323" s="1" t="s">
        <v>238</v>
      </c>
      <c r="F1323" s="83">
        <v>6</v>
      </c>
      <c r="G1323" s="92">
        <v>2660</v>
      </c>
      <c r="H1323" s="3">
        <v>6.4</v>
      </c>
      <c r="I1323" s="3">
        <v>14938.56</v>
      </c>
      <c r="J1323" s="1" t="s">
        <v>87</v>
      </c>
      <c r="K1323" s="1" t="s">
        <v>112</v>
      </c>
      <c r="L1323" t="str">
        <f>VLOOKUP(D1323, Products!A:C, 3, FALSE)</f>
        <v>Electronics</v>
      </c>
      <c r="M1323" t="str">
        <f>VLOOKUP(C1323, Customers!A:E, 5, FALSE)</f>
        <v>Retail</v>
      </c>
      <c r="N1323">
        <f>VLOOKUP(C1323, Customers!A:E, 3, FALSE)</f>
        <v>33</v>
      </c>
      <c r="O1323" s="93" t="str">
        <f>VLOOKUP(E1323, Sales_Reps!A:C, 3, FALSE)</f>
        <v>East</v>
      </c>
      <c r="P1323">
        <f>VLOOKUP(D1323, Products!A:E, 4, FALSE)</f>
        <v>1259</v>
      </c>
      <c r="Q1323">
        <f>IF(COUNTIF($A$2:A1323, A1323)=2, 1, 0)</f>
        <v>0</v>
      </c>
      <c r="R1323">
        <f>IF(ISNA(MATCH(C1323, Customers!$A:$A, 0)), 1, 0)</f>
        <v>0</v>
      </c>
      <c r="S1323" s="94" t="b">
        <f>VLOOKUP(D1323, Products!A:F, 6, FALSE)</f>
        <v>0</v>
      </c>
    </row>
    <row r="1324" spans="1:19">
      <c r="A1324" s="102" t="s">
        <v>1810</v>
      </c>
      <c r="B1324" s="2">
        <v>45432</v>
      </c>
      <c r="C1324" s="1" t="s">
        <v>324</v>
      </c>
      <c r="D1324" s="1" t="s">
        <v>408</v>
      </c>
      <c r="E1324" s="1" t="s">
        <v>215</v>
      </c>
      <c r="F1324" s="83">
        <v>5</v>
      </c>
      <c r="G1324" s="92">
        <v>3970</v>
      </c>
      <c r="H1324" s="3">
        <v>18.8</v>
      </c>
      <c r="I1324" s="3">
        <v>16118.2</v>
      </c>
      <c r="J1324" s="1" t="s">
        <v>93</v>
      </c>
      <c r="K1324" s="1" t="s">
        <v>133</v>
      </c>
      <c r="L1324" t="str">
        <f>VLOOKUP(D1324, Products!A:C, 3, FALSE)</f>
        <v>Electronics</v>
      </c>
      <c r="M1324" t="str">
        <f>VLOOKUP(C1324, Customers!A:E, 5, FALSE)</f>
        <v>Retail</v>
      </c>
      <c r="N1324">
        <f>VLOOKUP(C1324, Customers!A:E, 3, FALSE)</f>
        <v>28</v>
      </c>
      <c r="O1324" s="93" t="str">
        <f>VLOOKUP(E1324, Sales_Reps!A:C, 3, FALSE)</f>
        <v>North</v>
      </c>
      <c r="P1324">
        <f>VLOOKUP(D1324, Products!A:E, 4, FALSE)</f>
        <v>2865</v>
      </c>
      <c r="Q1324">
        <f>IF(COUNTIF($A$2:A1324, A1324)=2, 1, 0)</f>
        <v>0</v>
      </c>
      <c r="R1324">
        <f>IF(ISNA(MATCH(C1324, Customers!$A:$A, 0)), 1, 0)</f>
        <v>0</v>
      </c>
      <c r="S1324" s="94" t="b">
        <f>VLOOKUP(D1324, Products!A:F, 6, FALSE)</f>
        <v>1</v>
      </c>
    </row>
    <row r="1325" spans="1:19">
      <c r="A1325" s="102" t="s">
        <v>1811</v>
      </c>
      <c r="B1325" s="2">
        <v>45369</v>
      </c>
      <c r="C1325" s="1" t="s">
        <v>336</v>
      </c>
      <c r="D1325" s="1" t="s">
        <v>515</v>
      </c>
      <c r="E1325" s="1" t="s">
        <v>158</v>
      </c>
      <c r="F1325" s="83">
        <v>7</v>
      </c>
      <c r="G1325" s="92">
        <v>6940</v>
      </c>
      <c r="H1325" s="3">
        <v>23.8</v>
      </c>
      <c r="I1325" s="3">
        <v>37017.96</v>
      </c>
      <c r="J1325" s="1" t="s">
        <v>144</v>
      </c>
      <c r="K1325" s="1" t="s">
        <v>112</v>
      </c>
      <c r="L1325" t="str">
        <f>VLOOKUP(D1325, Products!A:C, 3, FALSE)</f>
        <v>Sports</v>
      </c>
      <c r="M1325" t="str">
        <f>VLOOKUP(C1325, Customers!A:E, 5, FALSE)</f>
        <v>Retail</v>
      </c>
      <c r="N1325">
        <f>VLOOKUP(C1325, Customers!A:E, 3, FALSE)</f>
        <v>49</v>
      </c>
      <c r="O1325" s="93" t="str">
        <f>VLOOKUP(E1325, Sales_Reps!A:C, 3, FALSE)</f>
        <v>East</v>
      </c>
      <c r="P1325">
        <f>VLOOKUP(D1325, Products!A:E, 4, FALSE)</f>
        <v>2827</v>
      </c>
      <c r="Q1325">
        <f>IF(COUNTIF($A$2:A1325, A1325)=2, 1, 0)</f>
        <v>0</v>
      </c>
      <c r="R1325">
        <f>IF(ISNA(MATCH(C1325, Customers!$A:$A, 0)), 1, 0)</f>
        <v>0</v>
      </c>
      <c r="S1325" s="94" t="b">
        <f>VLOOKUP(D1325, Products!A:F, 6, FALSE)</f>
        <v>1</v>
      </c>
    </row>
    <row r="1326" spans="1:19">
      <c r="A1326" s="102" t="s">
        <v>1812</v>
      </c>
      <c r="B1326" s="2">
        <v>45544</v>
      </c>
      <c r="C1326" s="1" t="s">
        <v>643</v>
      </c>
      <c r="D1326" s="1" t="s">
        <v>151</v>
      </c>
      <c r="E1326" s="1" t="s">
        <v>139</v>
      </c>
      <c r="F1326" s="83">
        <v>3</v>
      </c>
      <c r="G1326" s="92">
        <v>2400</v>
      </c>
      <c r="H1326" s="3">
        <v>9.8000000000000007</v>
      </c>
      <c r="I1326" s="3">
        <v>6494.4</v>
      </c>
      <c r="J1326" s="1" t="s">
        <v>87</v>
      </c>
      <c r="K1326" s="1" t="s">
        <v>112</v>
      </c>
      <c r="L1326" t="str">
        <f>VLOOKUP(D1326, Products!A:C, 3, FALSE)</f>
        <v>Sports</v>
      </c>
      <c r="M1326" t="str">
        <f>VLOOKUP(C1326, Customers!A:E, 5, FALSE)</f>
        <v>SMB</v>
      </c>
      <c r="N1326">
        <f>VLOOKUP(C1326, Customers!A:E, 3, FALSE)</f>
        <v>27</v>
      </c>
      <c r="O1326" s="93" t="str">
        <f>VLOOKUP(E1326, Sales_Reps!A:C, 3, FALSE)</f>
        <v>North</v>
      </c>
      <c r="P1326">
        <f>VLOOKUP(D1326, Products!A:E, 4, FALSE)</f>
        <v>974</v>
      </c>
      <c r="Q1326">
        <f>IF(COUNTIF($A$2:A1326, A1326)=2, 1, 0)</f>
        <v>0</v>
      </c>
      <c r="R1326">
        <f>IF(ISNA(MATCH(C1326, Customers!$A:$A, 0)), 1, 0)</f>
        <v>0</v>
      </c>
      <c r="S1326" s="94" t="b">
        <f>VLOOKUP(D1326, Products!A:F, 6, FALSE)</f>
        <v>1</v>
      </c>
    </row>
    <row r="1327" spans="1:19">
      <c r="A1327" s="102" t="s">
        <v>1813</v>
      </c>
      <c r="B1327" s="2">
        <v>45395</v>
      </c>
      <c r="C1327" s="1" t="s">
        <v>1250</v>
      </c>
      <c r="D1327" s="1" t="s">
        <v>161</v>
      </c>
      <c r="E1327" s="1" t="s">
        <v>154</v>
      </c>
      <c r="F1327" s="83">
        <v>8</v>
      </c>
      <c r="G1327" s="92">
        <v>3450</v>
      </c>
      <c r="H1327" s="3">
        <v>26.6</v>
      </c>
      <c r="I1327" s="3">
        <v>20258.400000000001</v>
      </c>
      <c r="J1327" s="1" t="s">
        <v>140</v>
      </c>
      <c r="K1327" s="1" t="s">
        <v>88</v>
      </c>
      <c r="L1327" t="str">
        <f>VLOOKUP(D1327, Products!A:C, 3, FALSE)</f>
        <v>Sports</v>
      </c>
      <c r="M1327" t="str">
        <f>VLOOKUP(C1327, Customers!A:E, 5, FALSE)</f>
        <v>Retail</v>
      </c>
      <c r="N1327">
        <f>VLOOKUP(C1327, Customers!A:E, 3, FALSE)</f>
        <v>44</v>
      </c>
      <c r="O1327" s="93" t="str">
        <f>VLOOKUP(E1327, Sales_Reps!A:C, 3, FALSE)</f>
        <v>East</v>
      </c>
      <c r="P1327">
        <f>VLOOKUP(D1327, Products!A:E, 4, FALSE)</f>
        <v>2467</v>
      </c>
      <c r="Q1327">
        <f>IF(COUNTIF($A$2:A1327, A1327)=2, 1, 0)</f>
        <v>0</v>
      </c>
      <c r="R1327">
        <f>IF(ISNA(MATCH(C1327, Customers!$A:$A, 0)), 1, 0)</f>
        <v>0</v>
      </c>
      <c r="S1327" s="94" t="b">
        <f>VLOOKUP(D1327, Products!A:F, 6, FALSE)</f>
        <v>1</v>
      </c>
    </row>
    <row r="1328" spans="1:19">
      <c r="A1328" s="102" t="s">
        <v>1814</v>
      </c>
      <c r="B1328" s="2">
        <v>45389</v>
      </c>
      <c r="C1328" s="1" t="s">
        <v>440</v>
      </c>
      <c r="D1328" s="1" t="s">
        <v>267</v>
      </c>
      <c r="E1328" s="1" t="s">
        <v>139</v>
      </c>
      <c r="F1328" s="83">
        <v>4</v>
      </c>
      <c r="G1328" s="92">
        <v>1220</v>
      </c>
      <c r="H1328" s="3">
        <v>5.5</v>
      </c>
      <c r="I1328" s="3">
        <v>4611.6000000000004</v>
      </c>
      <c r="J1328" s="1" t="s">
        <v>87</v>
      </c>
      <c r="K1328" s="1" t="s">
        <v>88</v>
      </c>
      <c r="L1328" t="str">
        <f>VLOOKUP(D1328, Products!A:C, 3, FALSE)</f>
        <v>Electronics</v>
      </c>
      <c r="M1328" t="str">
        <f>VLOOKUP(C1328, Customers!A:E, 5, FALSE)</f>
        <v>SMB</v>
      </c>
      <c r="N1328">
        <f>VLOOKUP(C1328, Customers!A:E, 3, FALSE)</f>
        <v>30</v>
      </c>
      <c r="O1328" s="93" t="str">
        <f>VLOOKUP(E1328, Sales_Reps!A:C, 3, FALSE)</f>
        <v>North</v>
      </c>
      <c r="P1328">
        <f>VLOOKUP(D1328, Products!A:E, 4, FALSE)</f>
        <v>517</v>
      </c>
      <c r="Q1328">
        <f>IF(COUNTIF($A$2:A1328, A1328)=2, 1, 0)</f>
        <v>0</v>
      </c>
      <c r="R1328">
        <f>IF(ISNA(MATCH(C1328, Customers!$A:$A, 0)), 1, 0)</f>
        <v>0</v>
      </c>
      <c r="S1328" s="94" t="b">
        <f>VLOOKUP(D1328, Products!A:F, 6, FALSE)</f>
        <v>1</v>
      </c>
    </row>
    <row r="1329" spans="1:19">
      <c r="A1329" s="102" t="s">
        <v>1815</v>
      </c>
      <c r="B1329" s="2">
        <v>45536</v>
      </c>
      <c r="C1329" s="1" t="s">
        <v>1816</v>
      </c>
      <c r="D1329" s="1" t="s">
        <v>292</v>
      </c>
      <c r="E1329" s="1" t="s">
        <v>86</v>
      </c>
      <c r="F1329" s="83">
        <v>1</v>
      </c>
      <c r="G1329" s="92">
        <v>620</v>
      </c>
      <c r="H1329" s="3">
        <v>22.3</v>
      </c>
      <c r="I1329" s="3">
        <v>481.74</v>
      </c>
      <c r="J1329" s="1" t="s">
        <v>93</v>
      </c>
      <c r="K1329" s="1" t="s">
        <v>99</v>
      </c>
      <c r="L1329" t="str">
        <f>VLOOKUP(D1329, Products!A:C, 3, FALSE)</f>
        <v>Apparel</v>
      </c>
      <c r="M1329" t="str">
        <f>VLOOKUP(C1329, Customers!A:E, 5, FALSE)</f>
        <v>Retail</v>
      </c>
      <c r="N1329">
        <f>VLOOKUP(C1329, Customers!A:E, 3, FALSE)</f>
        <v>62</v>
      </c>
      <c r="O1329" s="93" t="str">
        <f>VLOOKUP(E1329, Sales_Reps!A:C, 3, FALSE)</f>
        <v>North</v>
      </c>
      <c r="P1329">
        <f>VLOOKUP(D1329, Products!A:E, 4, FALSE)</f>
        <v>396</v>
      </c>
      <c r="Q1329">
        <f>IF(COUNTIF($A$2:A1329, A1329)=2, 1, 0)</f>
        <v>0</v>
      </c>
      <c r="R1329">
        <f>IF(ISNA(MATCH(C1329, Customers!$A:$A, 0)), 1, 0)</f>
        <v>0</v>
      </c>
      <c r="S1329" s="94" t="b">
        <f>VLOOKUP(D1329, Products!A:F, 6, FALSE)</f>
        <v>1</v>
      </c>
    </row>
    <row r="1330" spans="1:19">
      <c r="A1330" s="102" t="s">
        <v>1817</v>
      </c>
      <c r="B1330" s="2">
        <v>45348</v>
      </c>
      <c r="C1330" s="1" t="s">
        <v>231</v>
      </c>
      <c r="D1330" s="1" t="s">
        <v>282</v>
      </c>
      <c r="E1330" s="1" t="s">
        <v>154</v>
      </c>
      <c r="F1330" s="83">
        <v>1</v>
      </c>
      <c r="G1330" s="92">
        <v>300</v>
      </c>
      <c r="H1330" s="3">
        <v>12.5</v>
      </c>
      <c r="I1330" s="3">
        <v>262.5</v>
      </c>
      <c r="J1330" s="1" t="s">
        <v>87</v>
      </c>
      <c r="K1330" s="1" t="s">
        <v>117</v>
      </c>
      <c r="L1330" t="str">
        <f>VLOOKUP(D1330, Products!A:C, 3, FALSE)</f>
        <v>Electronics</v>
      </c>
      <c r="M1330" t="str">
        <f>VLOOKUP(C1330, Customers!A:E, 5, FALSE)</f>
        <v>SMB</v>
      </c>
      <c r="N1330">
        <f>VLOOKUP(C1330, Customers!A:E, 3, FALSE)</f>
        <v>64</v>
      </c>
      <c r="O1330" s="93" t="str">
        <f>VLOOKUP(E1330, Sales_Reps!A:C, 3, FALSE)</f>
        <v>East</v>
      </c>
      <c r="P1330">
        <f>VLOOKUP(D1330, Products!A:E, 4, FALSE)</f>
        <v>128</v>
      </c>
      <c r="Q1330">
        <f>IF(COUNTIF($A$2:A1330, A1330)=2, 1, 0)</f>
        <v>0</v>
      </c>
      <c r="R1330">
        <f>IF(ISNA(MATCH(C1330, Customers!$A:$A, 0)), 1, 0)</f>
        <v>0</v>
      </c>
      <c r="S1330" s="94" t="b">
        <f>VLOOKUP(D1330, Products!A:F, 6, FALSE)</f>
        <v>1</v>
      </c>
    </row>
    <row r="1331" spans="1:19">
      <c r="A1331" s="102" t="s">
        <v>1818</v>
      </c>
      <c r="B1331" s="2">
        <v>45502</v>
      </c>
      <c r="C1331" s="1" t="s">
        <v>900</v>
      </c>
      <c r="D1331" s="1" t="s">
        <v>182</v>
      </c>
      <c r="E1331" s="1" t="s">
        <v>192</v>
      </c>
      <c r="F1331" s="83">
        <v>3</v>
      </c>
      <c r="G1331" s="92">
        <v>1010</v>
      </c>
      <c r="H1331" s="3">
        <v>14.1</v>
      </c>
      <c r="I1331" s="3">
        <v>2602.77</v>
      </c>
      <c r="J1331" s="1" t="s">
        <v>87</v>
      </c>
      <c r="K1331" s="1" t="s">
        <v>117</v>
      </c>
      <c r="L1331" t="str">
        <f>VLOOKUP(D1331, Products!A:C, 3, FALSE)</f>
        <v>Sports</v>
      </c>
      <c r="M1331" t="str">
        <f>VLOOKUP(C1331, Customers!A:E, 5, FALSE)</f>
        <v>Retail</v>
      </c>
      <c r="N1331">
        <f>VLOOKUP(C1331, Customers!A:E, 3, FALSE)</f>
        <v>35</v>
      </c>
      <c r="O1331" s="93" t="str">
        <f>VLOOKUP(E1331, Sales_Reps!A:C, 3, FALSE)</f>
        <v>East</v>
      </c>
      <c r="P1331">
        <f>VLOOKUP(D1331, Products!A:E, 4, FALSE)</f>
        <v>516</v>
      </c>
      <c r="Q1331">
        <f>IF(COUNTIF($A$2:A1331, A1331)=2, 1, 0)</f>
        <v>0</v>
      </c>
      <c r="R1331">
        <f>IF(ISNA(MATCH(C1331, Customers!$A:$A, 0)), 1, 0)</f>
        <v>0</v>
      </c>
      <c r="S1331" s="94" t="b">
        <f>VLOOKUP(D1331, Products!A:F, 6, FALSE)</f>
        <v>1</v>
      </c>
    </row>
    <row r="1332" spans="1:19">
      <c r="A1332" s="102" t="s">
        <v>1819</v>
      </c>
      <c r="B1332" s="2">
        <v>45600</v>
      </c>
      <c r="C1332" s="1" t="s">
        <v>797</v>
      </c>
      <c r="D1332" s="1" t="s">
        <v>443</v>
      </c>
      <c r="E1332" s="1" t="s">
        <v>343</v>
      </c>
      <c r="F1332" s="83">
        <v>2</v>
      </c>
      <c r="G1332" s="92">
        <v>5080</v>
      </c>
      <c r="H1332" s="3">
        <v>16.8</v>
      </c>
      <c r="I1332" s="3">
        <v>8453.1200000000008</v>
      </c>
      <c r="J1332" s="1" t="s">
        <v>87</v>
      </c>
      <c r="K1332" s="1" t="s">
        <v>99</v>
      </c>
      <c r="L1332" t="str">
        <f>VLOOKUP(D1332, Products!A:C, 3, FALSE)</f>
        <v>Home</v>
      </c>
      <c r="M1332" t="str">
        <f>VLOOKUP(C1332, Customers!A:E, 5, FALSE)</f>
        <v>Retail</v>
      </c>
      <c r="N1332">
        <f>VLOOKUP(C1332, Customers!A:E, 3, FALSE)</f>
        <v>63</v>
      </c>
      <c r="O1332" s="93" t="str">
        <f>VLOOKUP(E1332, Sales_Reps!A:C, 3, FALSE)</f>
        <v>West</v>
      </c>
      <c r="P1332">
        <f>VLOOKUP(D1332, Products!A:E, 4, FALSE)</f>
        <v>2459</v>
      </c>
      <c r="Q1332">
        <f>IF(COUNTIF($A$2:A1332, A1332)=2, 1, 0)</f>
        <v>0</v>
      </c>
      <c r="R1332">
        <f>IF(ISNA(MATCH(C1332, Customers!$A:$A, 0)), 1, 0)</f>
        <v>0</v>
      </c>
      <c r="S1332" s="94" t="b">
        <f>VLOOKUP(D1332, Products!A:F, 6, FALSE)</f>
        <v>1</v>
      </c>
    </row>
    <row r="1333" spans="1:19">
      <c r="A1333" s="102" t="s">
        <v>1820</v>
      </c>
      <c r="B1333" s="2">
        <v>45416</v>
      </c>
      <c r="C1333" s="1" t="s">
        <v>175</v>
      </c>
      <c r="D1333" s="1" t="s">
        <v>106</v>
      </c>
      <c r="E1333" s="1" t="s">
        <v>343</v>
      </c>
      <c r="F1333" s="83">
        <v>2</v>
      </c>
      <c r="G1333" s="92">
        <v>3160</v>
      </c>
      <c r="H1333" s="3">
        <v>21.4</v>
      </c>
      <c r="I1333" s="3">
        <v>4967.5200000000004</v>
      </c>
      <c r="J1333" s="1" t="s">
        <v>87</v>
      </c>
      <c r="K1333" s="1" t="s">
        <v>1821</v>
      </c>
      <c r="L1333" t="str">
        <f>VLOOKUP(D1333, Products!A:C, 3, FALSE)</f>
        <v>Apparel</v>
      </c>
      <c r="M1333" t="str">
        <f>VLOOKUP(C1333, Customers!A:E, 5, FALSE)</f>
        <v>SMB</v>
      </c>
      <c r="N1333">
        <f>VLOOKUP(C1333, Customers!A:E, 3, FALSE)</f>
        <v>40</v>
      </c>
      <c r="O1333" s="93" t="str">
        <f>VLOOKUP(E1333, Sales_Reps!A:C, 3, FALSE)</f>
        <v>West</v>
      </c>
      <c r="P1333">
        <f>VLOOKUP(D1333, Products!A:E, 4, FALSE)</f>
        <v>1886</v>
      </c>
      <c r="Q1333">
        <f>IF(COUNTIF($A$2:A1333, A1333)=2, 1, 0)</f>
        <v>0</v>
      </c>
      <c r="R1333">
        <f>IF(ISNA(MATCH(C1333, Customers!$A:$A, 0)), 1, 0)</f>
        <v>0</v>
      </c>
      <c r="S1333" s="94" t="b">
        <f>VLOOKUP(D1333, Products!A:F, 6, FALSE)</f>
        <v>1</v>
      </c>
    </row>
    <row r="1334" spans="1:19">
      <c r="A1334" s="102" t="s">
        <v>1822</v>
      </c>
      <c r="B1334" s="2">
        <v>45535</v>
      </c>
      <c r="C1334" s="1" t="s">
        <v>1016</v>
      </c>
      <c r="D1334" s="1" t="s">
        <v>157</v>
      </c>
      <c r="E1334" s="1" t="s">
        <v>346</v>
      </c>
      <c r="F1334" s="83">
        <v>7</v>
      </c>
      <c r="G1334" s="92">
        <v>3450</v>
      </c>
      <c r="H1334" s="3">
        <v>21.3</v>
      </c>
      <c r="I1334" s="3">
        <v>19006.05</v>
      </c>
      <c r="J1334" s="1" t="s">
        <v>87</v>
      </c>
      <c r="K1334" s="1" t="s">
        <v>117</v>
      </c>
      <c r="L1334" t="str">
        <f>VLOOKUP(D1334, Products!A:C, 3, FALSE)</f>
        <v>Beauty</v>
      </c>
      <c r="M1334" t="str">
        <f>VLOOKUP(C1334, Customers!A:E, 5, FALSE)</f>
        <v>SMB</v>
      </c>
      <c r="N1334">
        <f>VLOOKUP(C1334, Customers!A:E, 3, FALSE)</f>
        <v>49</v>
      </c>
      <c r="O1334" s="93" t="str">
        <f>VLOOKUP(E1334, Sales_Reps!A:C, 3, FALSE)</f>
        <v>South</v>
      </c>
      <c r="P1334">
        <f>VLOOKUP(D1334, Products!A:E, 4, FALSE)</f>
        <v>2420</v>
      </c>
      <c r="Q1334">
        <f>IF(COUNTIF($A$2:A1334, A1334)=2, 1, 0)</f>
        <v>0</v>
      </c>
      <c r="R1334">
        <f>IF(ISNA(MATCH(C1334, Customers!$A:$A, 0)), 1, 0)</f>
        <v>0</v>
      </c>
      <c r="S1334" s="94" t="b">
        <f>VLOOKUP(D1334, Products!A:F, 6, FALSE)</f>
        <v>1</v>
      </c>
    </row>
    <row r="1335" spans="1:19">
      <c r="A1335" s="102" t="s">
        <v>1823</v>
      </c>
      <c r="B1335" s="2">
        <v>45322</v>
      </c>
      <c r="C1335" s="1" t="s">
        <v>570</v>
      </c>
      <c r="D1335" s="1" t="s">
        <v>364</v>
      </c>
      <c r="E1335" s="1" t="s">
        <v>103</v>
      </c>
      <c r="F1335" s="83">
        <v>2</v>
      </c>
      <c r="G1335" s="92">
        <v>5330</v>
      </c>
      <c r="H1335" s="3">
        <v>4.3</v>
      </c>
      <c r="I1335" s="3">
        <v>10201.620000000001</v>
      </c>
      <c r="J1335" s="1" t="s">
        <v>87</v>
      </c>
      <c r="K1335" s="1" t="s">
        <v>99</v>
      </c>
      <c r="L1335" t="str">
        <f>VLOOKUP(D1335, Products!A:C, 3, FALSE)</f>
        <v>Electronics</v>
      </c>
      <c r="M1335" t="str">
        <f>VLOOKUP(C1335, Customers!A:E, 5, FALSE)</f>
        <v>Corporate</v>
      </c>
      <c r="N1335">
        <f>VLOOKUP(C1335, Customers!A:E, 3, FALSE)</f>
        <v>47</v>
      </c>
      <c r="O1335" s="93" t="str">
        <f>VLOOKUP(E1335, Sales_Reps!A:C, 3, FALSE)</f>
        <v>North</v>
      </c>
      <c r="P1335">
        <f>VLOOKUP(D1335, Products!A:E, 4, FALSE)</f>
        <v>2405</v>
      </c>
      <c r="Q1335">
        <f>IF(COUNTIF($A$2:A1335, A1335)=2, 1, 0)</f>
        <v>0</v>
      </c>
      <c r="R1335">
        <f>IF(ISNA(MATCH(C1335, Customers!$A:$A, 0)), 1, 0)</f>
        <v>0</v>
      </c>
      <c r="S1335" s="94" t="b">
        <f>VLOOKUP(D1335, Products!A:F, 6, FALSE)</f>
        <v>1</v>
      </c>
    </row>
    <row r="1336" spans="1:19">
      <c r="A1336" s="102" t="s">
        <v>1824</v>
      </c>
      <c r="B1336" s="2">
        <v>45626</v>
      </c>
      <c r="C1336" s="1" t="s">
        <v>613</v>
      </c>
      <c r="D1336" s="1" t="s">
        <v>515</v>
      </c>
      <c r="E1336" s="1" t="s">
        <v>98</v>
      </c>
      <c r="F1336" s="83">
        <v>5</v>
      </c>
      <c r="G1336" s="92">
        <v>6940</v>
      </c>
      <c r="H1336" s="3">
        <v>2.9</v>
      </c>
      <c r="I1336" s="3">
        <v>33693.699999999997</v>
      </c>
      <c r="J1336" s="1" t="s">
        <v>87</v>
      </c>
      <c r="K1336" s="1" t="s">
        <v>112</v>
      </c>
      <c r="L1336" t="str">
        <f>VLOOKUP(D1336, Products!A:C, 3, FALSE)</f>
        <v>Sports</v>
      </c>
      <c r="M1336" t="str">
        <f>VLOOKUP(C1336, Customers!A:E, 5, FALSE)</f>
        <v>Retail</v>
      </c>
      <c r="N1336">
        <f>VLOOKUP(C1336, Customers!A:E, 3, FALSE)</f>
        <v>44</v>
      </c>
      <c r="O1336" s="93" t="str">
        <f>VLOOKUP(E1336, Sales_Reps!A:C, 3, FALSE)</f>
        <v>South</v>
      </c>
      <c r="P1336">
        <f>VLOOKUP(D1336, Products!A:E, 4, FALSE)</f>
        <v>2827</v>
      </c>
      <c r="Q1336">
        <f>IF(COUNTIF($A$2:A1336, A1336)=2, 1, 0)</f>
        <v>0</v>
      </c>
      <c r="R1336">
        <f>IF(ISNA(MATCH(C1336, Customers!$A:$A, 0)), 1, 0)</f>
        <v>0</v>
      </c>
      <c r="S1336" s="94" t="b">
        <f>VLOOKUP(D1336, Products!A:F, 6, FALSE)</f>
        <v>1</v>
      </c>
    </row>
    <row r="1337" spans="1:19">
      <c r="A1337" s="102" t="s">
        <v>1825</v>
      </c>
      <c r="B1337" s="2">
        <v>45534</v>
      </c>
      <c r="C1337" s="1" t="s">
        <v>604</v>
      </c>
      <c r="D1337" s="1" t="s">
        <v>203</v>
      </c>
      <c r="E1337" s="1" t="s">
        <v>128</v>
      </c>
      <c r="F1337" s="83">
        <v>5</v>
      </c>
      <c r="G1337" s="92">
        <v>660</v>
      </c>
      <c r="H1337" s="3">
        <v>15.8</v>
      </c>
      <c r="I1337" s="3">
        <v>2778.6</v>
      </c>
      <c r="J1337" s="1" t="s">
        <v>87</v>
      </c>
      <c r="K1337" s="1" t="s">
        <v>117</v>
      </c>
      <c r="L1337" t="str">
        <f>VLOOKUP(D1337, Products!A:C, 3, FALSE)</f>
        <v>Home</v>
      </c>
      <c r="M1337" t="str">
        <f>VLOOKUP(C1337, Customers!A:E, 5, FALSE)</f>
        <v>Retail</v>
      </c>
      <c r="N1337">
        <f>VLOOKUP(C1337, Customers!A:E, 3, FALSE)</f>
        <v>34</v>
      </c>
      <c r="O1337" s="93" t="str">
        <f>VLOOKUP(E1337, Sales_Reps!A:C, 3, FALSE)</f>
        <v>West</v>
      </c>
      <c r="P1337">
        <f>VLOOKUP(D1337, Products!A:E, 4, FALSE)</f>
        <v>329</v>
      </c>
      <c r="Q1337">
        <f>IF(COUNTIF($A$2:A1337, A1337)=2, 1, 0)</f>
        <v>0</v>
      </c>
      <c r="R1337">
        <f>IF(ISNA(MATCH(C1337, Customers!$A:$A, 0)), 1, 0)</f>
        <v>0</v>
      </c>
      <c r="S1337" s="94" t="b">
        <f>VLOOKUP(D1337, Products!A:F, 6, FALSE)</f>
        <v>1</v>
      </c>
    </row>
    <row r="1338" spans="1:19">
      <c r="A1338" s="102" t="s">
        <v>1826</v>
      </c>
      <c r="B1338" s="2">
        <v>45519</v>
      </c>
      <c r="C1338" s="1" t="s">
        <v>986</v>
      </c>
      <c r="D1338" s="1" t="s">
        <v>191</v>
      </c>
      <c r="E1338" s="1" t="s">
        <v>252</v>
      </c>
      <c r="F1338" s="83">
        <v>9</v>
      </c>
      <c r="G1338" s="92">
        <v>5100</v>
      </c>
      <c r="H1338" s="3">
        <v>0.4</v>
      </c>
      <c r="I1338" s="3">
        <v>45716.4</v>
      </c>
      <c r="J1338" s="1" t="s">
        <v>87</v>
      </c>
      <c r="K1338" s="1" t="s">
        <v>94</v>
      </c>
      <c r="L1338" t="str">
        <f>VLOOKUP(D1338, Products!A:C, 3, FALSE)</f>
        <v>Beauty</v>
      </c>
      <c r="M1338" t="str">
        <f>VLOOKUP(C1338, Customers!A:E, 5, FALSE)</f>
        <v>Corporate</v>
      </c>
      <c r="N1338">
        <f>VLOOKUP(C1338, Customers!A:E, 3, FALSE)</f>
        <v>52</v>
      </c>
      <c r="O1338" s="93" t="str">
        <f>VLOOKUP(E1338, Sales_Reps!A:C, 3, FALSE)</f>
        <v>South</v>
      </c>
      <c r="P1338">
        <f>VLOOKUP(D1338, Products!A:E, 4, FALSE)</f>
        <v>2237</v>
      </c>
      <c r="Q1338">
        <f>IF(COUNTIF($A$2:A1338, A1338)=2, 1, 0)</f>
        <v>0</v>
      </c>
      <c r="R1338">
        <f>IF(ISNA(MATCH(C1338, Customers!$A:$A, 0)), 1, 0)</f>
        <v>0</v>
      </c>
      <c r="S1338" s="94" t="b">
        <f>VLOOKUP(D1338, Products!A:F, 6, FALSE)</f>
        <v>1</v>
      </c>
    </row>
    <row r="1339" spans="1:19">
      <c r="A1339" s="102" t="s">
        <v>1827</v>
      </c>
      <c r="B1339" s="2">
        <v>45315</v>
      </c>
      <c r="C1339" s="1" t="s">
        <v>1828</v>
      </c>
      <c r="D1339" s="1" t="s">
        <v>176</v>
      </c>
      <c r="E1339" s="1" t="s">
        <v>98</v>
      </c>
      <c r="F1339" s="83">
        <v>5</v>
      </c>
      <c r="G1339" s="92">
        <v>1650</v>
      </c>
      <c r="H1339" s="3">
        <v>0.8</v>
      </c>
      <c r="I1339" s="3">
        <v>8184</v>
      </c>
      <c r="J1339" s="1" t="s">
        <v>93</v>
      </c>
      <c r="K1339" s="1" t="s">
        <v>94</v>
      </c>
      <c r="L1339" t="str">
        <f>VLOOKUP(D1339, Products!A:C, 3, FALSE)</f>
        <v>Beauty</v>
      </c>
      <c r="M1339" t="e">
        <f>VLOOKUP(C1339, Customers!A:E, 5, FALSE)</f>
        <v>#N/A</v>
      </c>
      <c r="N1339" t="e">
        <f>VLOOKUP(C1339, Customers!A:E, 3, FALSE)</f>
        <v>#N/A</v>
      </c>
      <c r="O1339" s="93" t="str">
        <f>VLOOKUP(E1339, Sales_Reps!A:C, 3, FALSE)</f>
        <v>South</v>
      </c>
      <c r="P1339">
        <f>VLOOKUP(D1339, Products!A:E, 4, FALSE)</f>
        <v>1222</v>
      </c>
      <c r="Q1339">
        <f>IF(COUNTIF($A$2:A1339, A1339)=2, 1, 0)</f>
        <v>0</v>
      </c>
      <c r="R1339">
        <f>IF(ISNA(MATCH(C1339, Customers!$A:$A, 0)), 1, 0)</f>
        <v>1</v>
      </c>
      <c r="S1339" s="94" t="b">
        <f>VLOOKUP(D1339, Products!A:F, 6, FALSE)</f>
        <v>1</v>
      </c>
    </row>
    <row r="1340" spans="1:19">
      <c r="A1340" s="102" t="s">
        <v>1829</v>
      </c>
      <c r="B1340" s="2">
        <v>45566</v>
      </c>
      <c r="C1340" s="1" t="s">
        <v>717</v>
      </c>
      <c r="D1340" s="1" t="s">
        <v>237</v>
      </c>
      <c r="E1340" s="1" t="s">
        <v>303</v>
      </c>
      <c r="F1340" s="83">
        <v>7</v>
      </c>
      <c r="G1340" s="92">
        <v>3640</v>
      </c>
      <c r="H1340" s="3">
        <v>25.5</v>
      </c>
      <c r="I1340" s="3">
        <v>18982.599999999999</v>
      </c>
      <c r="J1340" s="1" t="s">
        <v>87</v>
      </c>
      <c r="K1340" s="1" t="s">
        <v>94</v>
      </c>
      <c r="L1340" t="str">
        <f>VLOOKUP(D1340, Products!A:C, 3, FALSE)</f>
        <v>Apparel</v>
      </c>
      <c r="M1340" t="str">
        <f>VLOOKUP(C1340, Customers!A:E, 5, FALSE)</f>
        <v>Retail</v>
      </c>
      <c r="N1340">
        <f>VLOOKUP(C1340, Customers!A:E, 3, FALSE)</f>
        <v>24</v>
      </c>
      <c r="O1340" s="93" t="str">
        <f>VLOOKUP(E1340, Sales_Reps!A:C, 3, FALSE)</f>
        <v>East</v>
      </c>
      <c r="P1340">
        <f>VLOOKUP(D1340, Products!A:E, 4, FALSE)</f>
        <v>2611</v>
      </c>
      <c r="Q1340">
        <f>IF(COUNTIF($A$2:A1340, A1340)=2, 1, 0)</f>
        <v>0</v>
      </c>
      <c r="R1340">
        <f>IF(ISNA(MATCH(C1340, Customers!$A:$A, 0)), 1, 0)</f>
        <v>0</v>
      </c>
      <c r="S1340" s="94" t="b">
        <f>VLOOKUP(D1340, Products!A:F, 6, FALSE)</f>
        <v>1</v>
      </c>
    </row>
    <row r="1341" spans="1:19">
      <c r="A1341" s="102" t="s">
        <v>1830</v>
      </c>
      <c r="B1341" s="2">
        <v>45643</v>
      </c>
      <c r="C1341" s="1" t="s">
        <v>236</v>
      </c>
      <c r="D1341" s="1" t="s">
        <v>184</v>
      </c>
      <c r="E1341" s="1" t="s">
        <v>229</v>
      </c>
      <c r="F1341" s="83">
        <v>6</v>
      </c>
      <c r="G1341" s="92">
        <v>4880</v>
      </c>
      <c r="H1341" s="3">
        <v>12.6</v>
      </c>
      <c r="I1341" s="3">
        <v>25590.720000000001</v>
      </c>
      <c r="J1341" s="1" t="s">
        <v>140</v>
      </c>
      <c r="K1341" s="1" t="s">
        <v>133</v>
      </c>
      <c r="L1341" t="str">
        <f>VLOOKUP(D1341, Products!A:C, 3, FALSE)</f>
        <v>Beauty</v>
      </c>
      <c r="M1341" t="str">
        <f>VLOOKUP(C1341, Customers!A:E, 5, FALSE)</f>
        <v>Retail</v>
      </c>
      <c r="N1341">
        <f>VLOOKUP(C1341, Customers!A:E, 3, FALSE)</f>
        <v>64</v>
      </c>
      <c r="O1341" s="93" t="str">
        <f>VLOOKUP(E1341, Sales_Reps!A:C, 3, FALSE)</f>
        <v>West</v>
      </c>
      <c r="P1341">
        <f>VLOOKUP(D1341, Products!A:E, 4, FALSE)</f>
        <v>2768</v>
      </c>
      <c r="Q1341">
        <f>IF(COUNTIF($A$2:A1341, A1341)=2, 1, 0)</f>
        <v>0</v>
      </c>
      <c r="R1341">
        <f>IF(ISNA(MATCH(C1341, Customers!$A:$A, 0)), 1, 0)</f>
        <v>0</v>
      </c>
      <c r="S1341" s="94" t="b">
        <f>VLOOKUP(D1341, Products!A:F, 6, FALSE)</f>
        <v>1</v>
      </c>
    </row>
    <row r="1342" spans="1:19">
      <c r="A1342" s="102" t="s">
        <v>1831</v>
      </c>
      <c r="B1342" s="2">
        <v>45422</v>
      </c>
      <c r="C1342" s="1" t="s">
        <v>900</v>
      </c>
      <c r="D1342" s="1" t="s">
        <v>364</v>
      </c>
      <c r="E1342" s="1" t="s">
        <v>128</v>
      </c>
      <c r="F1342" s="83">
        <v>4</v>
      </c>
      <c r="G1342" s="92">
        <v>5330</v>
      </c>
      <c r="H1342" s="3">
        <v>16.2</v>
      </c>
      <c r="I1342" s="3">
        <v>17866.16</v>
      </c>
      <c r="J1342" s="1" t="s">
        <v>87</v>
      </c>
      <c r="K1342" s="1" t="s">
        <v>117</v>
      </c>
      <c r="L1342" t="str">
        <f>VLOOKUP(D1342, Products!A:C, 3, FALSE)</f>
        <v>Electronics</v>
      </c>
      <c r="M1342" t="str">
        <f>VLOOKUP(C1342, Customers!A:E, 5, FALSE)</f>
        <v>Retail</v>
      </c>
      <c r="N1342">
        <f>VLOOKUP(C1342, Customers!A:E, 3, FALSE)</f>
        <v>35</v>
      </c>
      <c r="O1342" s="93" t="str">
        <f>VLOOKUP(E1342, Sales_Reps!A:C, 3, FALSE)</f>
        <v>West</v>
      </c>
      <c r="P1342">
        <f>VLOOKUP(D1342, Products!A:E, 4, FALSE)</f>
        <v>2405</v>
      </c>
      <c r="Q1342">
        <f>IF(COUNTIF($A$2:A1342, A1342)=2, 1, 0)</f>
        <v>0</v>
      </c>
      <c r="R1342">
        <f>IF(ISNA(MATCH(C1342, Customers!$A:$A, 0)), 1, 0)</f>
        <v>0</v>
      </c>
      <c r="S1342" s="94" t="b">
        <f>VLOOKUP(D1342, Products!A:F, 6, FALSE)</f>
        <v>1</v>
      </c>
    </row>
    <row r="1343" spans="1:19">
      <c r="A1343" s="102" t="s">
        <v>1832</v>
      </c>
      <c r="B1343" s="2">
        <v>45400</v>
      </c>
      <c r="C1343" s="1" t="s">
        <v>479</v>
      </c>
      <c r="D1343" s="1" t="s">
        <v>124</v>
      </c>
      <c r="E1343" s="1" t="s">
        <v>154</v>
      </c>
      <c r="F1343" s="83">
        <v>3</v>
      </c>
      <c r="G1343" s="92">
        <v>5490</v>
      </c>
      <c r="H1343" s="3">
        <v>26.7</v>
      </c>
      <c r="I1343" s="3">
        <v>12072.51</v>
      </c>
      <c r="J1343" s="1" t="s">
        <v>87</v>
      </c>
      <c r="K1343" s="1" t="s">
        <v>88</v>
      </c>
      <c r="L1343" t="str">
        <f>VLOOKUP(D1343, Products!A:C, 3, FALSE)</f>
        <v>Home</v>
      </c>
      <c r="M1343" t="str">
        <f>VLOOKUP(C1343, Customers!A:E, 5, FALSE)</f>
        <v>SMB</v>
      </c>
      <c r="N1343">
        <f>VLOOKUP(C1343, Customers!A:E, 3, FALSE)</f>
        <v>49</v>
      </c>
      <c r="O1343" s="93" t="str">
        <f>VLOOKUP(E1343, Sales_Reps!A:C, 3, FALSE)</f>
        <v>East</v>
      </c>
      <c r="P1343">
        <f>VLOOKUP(D1343, Products!A:E, 4, FALSE)</f>
        <v>2549</v>
      </c>
      <c r="Q1343">
        <f>IF(COUNTIF($A$2:A1343, A1343)=2, 1, 0)</f>
        <v>0</v>
      </c>
      <c r="R1343">
        <f>IF(ISNA(MATCH(C1343, Customers!$A:$A, 0)), 1, 0)</f>
        <v>0</v>
      </c>
      <c r="S1343" s="94" t="b">
        <f>VLOOKUP(D1343, Products!A:F, 6, FALSE)</f>
        <v>1</v>
      </c>
    </row>
    <row r="1344" spans="1:19">
      <c r="A1344" s="102" t="s">
        <v>1833</v>
      </c>
      <c r="B1344" s="2">
        <v>45564</v>
      </c>
      <c r="C1344" s="1" t="s">
        <v>178</v>
      </c>
      <c r="D1344" s="1" t="s">
        <v>147</v>
      </c>
      <c r="E1344" s="1" t="s">
        <v>297</v>
      </c>
      <c r="F1344" s="83">
        <v>7</v>
      </c>
      <c r="G1344" s="92">
        <v>190</v>
      </c>
      <c r="H1344" s="3">
        <v>11.6</v>
      </c>
      <c r="I1344" s="3">
        <v>1175.72</v>
      </c>
      <c r="J1344" s="1" t="s">
        <v>87</v>
      </c>
      <c r="K1344" s="1" t="s">
        <v>94</v>
      </c>
      <c r="L1344" t="str">
        <f>VLOOKUP(D1344, Products!A:C, 3, FALSE)</f>
        <v>Sports</v>
      </c>
      <c r="M1344" t="str">
        <f>VLOOKUP(C1344, Customers!A:E, 5, FALSE)</f>
        <v>Corporate</v>
      </c>
      <c r="N1344">
        <f>VLOOKUP(C1344, Customers!A:E, 3, FALSE)</f>
        <v>55</v>
      </c>
      <c r="O1344" s="93" t="str">
        <f>VLOOKUP(E1344, Sales_Reps!A:C, 3, FALSE)</f>
        <v>North</v>
      </c>
      <c r="P1344">
        <f>VLOOKUP(D1344, Products!A:E, 4, FALSE)</f>
        <v>147</v>
      </c>
      <c r="Q1344">
        <f>IF(COUNTIF($A$2:A1344, A1344)=2, 1, 0)</f>
        <v>0</v>
      </c>
      <c r="R1344">
        <f>IF(ISNA(MATCH(C1344, Customers!$A:$A, 0)), 1, 0)</f>
        <v>0</v>
      </c>
      <c r="S1344" s="94" t="b">
        <f>VLOOKUP(D1344, Products!A:F, 6, FALSE)</f>
        <v>1</v>
      </c>
    </row>
    <row r="1345" spans="1:19">
      <c r="A1345" s="102" t="s">
        <v>1834</v>
      </c>
      <c r="B1345" s="2">
        <v>45437</v>
      </c>
      <c r="C1345" s="1" t="s">
        <v>114</v>
      </c>
      <c r="D1345" s="1" t="s">
        <v>106</v>
      </c>
      <c r="E1345" s="1" t="s">
        <v>346</v>
      </c>
      <c r="F1345" s="83">
        <v>5</v>
      </c>
      <c r="G1345" s="92">
        <v>3160</v>
      </c>
      <c r="H1345" s="3">
        <v>24.1</v>
      </c>
      <c r="I1345" s="3">
        <v>11992.2</v>
      </c>
      <c r="J1345" s="1" t="s">
        <v>87</v>
      </c>
      <c r="K1345" s="1" t="s">
        <v>117</v>
      </c>
      <c r="L1345" t="str">
        <f>VLOOKUP(D1345, Products!A:C, 3, FALSE)</f>
        <v>Apparel</v>
      </c>
      <c r="M1345" t="str">
        <f>VLOOKUP(C1345, Customers!A:E, 5, FALSE)</f>
        <v>Retail</v>
      </c>
      <c r="N1345">
        <f>VLOOKUP(C1345, Customers!A:E, 3, FALSE)</f>
        <v>27</v>
      </c>
      <c r="O1345" s="93" t="str">
        <f>VLOOKUP(E1345, Sales_Reps!A:C, 3, FALSE)</f>
        <v>South</v>
      </c>
      <c r="P1345">
        <f>VLOOKUP(D1345, Products!A:E, 4, FALSE)</f>
        <v>1886</v>
      </c>
      <c r="Q1345">
        <f>IF(COUNTIF($A$2:A1345, A1345)=2, 1, 0)</f>
        <v>0</v>
      </c>
      <c r="R1345">
        <f>IF(ISNA(MATCH(C1345, Customers!$A:$A, 0)), 1, 0)</f>
        <v>0</v>
      </c>
      <c r="S1345" s="94" t="b">
        <f>VLOOKUP(D1345, Products!A:F, 6, FALSE)</f>
        <v>1</v>
      </c>
    </row>
    <row r="1346" spans="1:19">
      <c r="A1346" s="102" t="s">
        <v>1835</v>
      </c>
      <c r="B1346" s="2">
        <v>45395</v>
      </c>
      <c r="C1346" s="1" t="s">
        <v>385</v>
      </c>
      <c r="D1346" s="1" t="s">
        <v>502</v>
      </c>
      <c r="E1346" s="1" t="s">
        <v>154</v>
      </c>
      <c r="F1346" s="83">
        <v>1</v>
      </c>
      <c r="G1346" s="92">
        <v>1090</v>
      </c>
      <c r="H1346" s="3">
        <v>9.6</v>
      </c>
      <c r="I1346" s="3">
        <v>985.36</v>
      </c>
      <c r="J1346" s="1" t="s">
        <v>144</v>
      </c>
      <c r="K1346" s="1" t="s">
        <v>117</v>
      </c>
      <c r="L1346" t="str">
        <f>VLOOKUP(D1346, Products!A:C, 3, FALSE)</f>
        <v>Home</v>
      </c>
      <c r="M1346" t="str">
        <f>VLOOKUP(C1346, Customers!A:E, 5, FALSE)</f>
        <v>Retail</v>
      </c>
      <c r="N1346">
        <f>VLOOKUP(C1346, Customers!A:E, 3, FALSE)</f>
        <v>23</v>
      </c>
      <c r="O1346" s="93" t="str">
        <f>VLOOKUP(E1346, Sales_Reps!A:C, 3, FALSE)</f>
        <v>East</v>
      </c>
      <c r="P1346">
        <f>VLOOKUP(D1346, Products!A:E, 4, FALSE)</f>
        <v>464</v>
      </c>
      <c r="Q1346">
        <f>IF(COUNTIF($A$2:A1346, A1346)=2, 1, 0)</f>
        <v>0</v>
      </c>
      <c r="R1346">
        <f>IF(ISNA(MATCH(C1346, Customers!$A:$A, 0)), 1, 0)</f>
        <v>0</v>
      </c>
      <c r="S1346" s="94" t="b">
        <f>VLOOKUP(D1346, Products!A:F, 6, FALSE)</f>
        <v>1</v>
      </c>
    </row>
    <row r="1347" spans="1:19">
      <c r="A1347" s="102" t="s">
        <v>1836</v>
      </c>
      <c r="B1347" s="2">
        <v>45447</v>
      </c>
      <c r="C1347" s="1" t="s">
        <v>382</v>
      </c>
      <c r="D1347" s="1" t="s">
        <v>110</v>
      </c>
      <c r="E1347" s="1" t="s">
        <v>139</v>
      </c>
      <c r="F1347" s="83">
        <v>9</v>
      </c>
      <c r="G1347" s="92">
        <v>370</v>
      </c>
      <c r="H1347" s="3">
        <v>4</v>
      </c>
      <c r="I1347" s="3">
        <v>3196.8</v>
      </c>
      <c r="J1347" s="1" t="s">
        <v>87</v>
      </c>
      <c r="K1347" s="1" t="s">
        <v>99</v>
      </c>
      <c r="L1347" t="str">
        <f>VLOOKUP(D1347, Products!A:C, 3, FALSE)</f>
        <v>Home</v>
      </c>
      <c r="M1347" t="str">
        <f>VLOOKUP(C1347, Customers!A:E, 5, FALSE)</f>
        <v>Corporate</v>
      </c>
      <c r="N1347">
        <f>VLOOKUP(C1347, Customers!A:E, 3, FALSE)</f>
        <v>27</v>
      </c>
      <c r="O1347" s="93" t="str">
        <f>VLOOKUP(E1347, Sales_Reps!A:C, 3, FALSE)</f>
        <v>North</v>
      </c>
      <c r="P1347">
        <f>VLOOKUP(D1347, Products!A:E, 4, FALSE)</f>
        <v>288</v>
      </c>
      <c r="Q1347">
        <f>IF(COUNTIF($A$2:A1347, A1347)=2, 1, 0)</f>
        <v>0</v>
      </c>
      <c r="R1347">
        <f>IF(ISNA(MATCH(C1347, Customers!$A:$A, 0)), 1, 0)</f>
        <v>0</v>
      </c>
      <c r="S1347" s="94" t="b">
        <f>VLOOKUP(D1347, Products!A:F, 6, FALSE)</f>
        <v>1</v>
      </c>
    </row>
    <row r="1348" spans="1:19">
      <c r="A1348" s="102" t="s">
        <v>1837</v>
      </c>
      <c r="B1348" s="2">
        <v>45300</v>
      </c>
      <c r="C1348" s="1" t="s">
        <v>217</v>
      </c>
      <c r="D1348" s="1" t="s">
        <v>279</v>
      </c>
      <c r="E1348" s="1" t="s">
        <v>297</v>
      </c>
      <c r="F1348" s="83">
        <v>5</v>
      </c>
      <c r="G1348" s="92">
        <v>2660</v>
      </c>
      <c r="H1348" s="3">
        <v>24.6</v>
      </c>
      <c r="I1348" s="3">
        <v>10028.200000000001</v>
      </c>
      <c r="J1348" s="1" t="s">
        <v>140</v>
      </c>
      <c r="K1348" s="1" t="s">
        <v>94</v>
      </c>
      <c r="L1348" t="str">
        <f>VLOOKUP(D1348, Products!A:C, 3, FALSE)</f>
        <v>Electronics</v>
      </c>
      <c r="M1348" t="str">
        <f>VLOOKUP(C1348, Customers!A:E, 5, FALSE)</f>
        <v>Retail</v>
      </c>
      <c r="N1348">
        <f>VLOOKUP(C1348, Customers!A:E, 3, FALSE)</f>
        <v>51</v>
      </c>
      <c r="O1348" s="93" t="str">
        <f>VLOOKUP(E1348, Sales_Reps!A:C, 3, FALSE)</f>
        <v>North</v>
      </c>
      <c r="P1348">
        <f>VLOOKUP(D1348, Products!A:E, 4, FALSE)</f>
        <v>1259</v>
      </c>
      <c r="Q1348">
        <f>IF(COUNTIF($A$2:A1348, A1348)=2, 1, 0)</f>
        <v>0</v>
      </c>
      <c r="R1348">
        <f>IF(ISNA(MATCH(C1348, Customers!$A:$A, 0)), 1, 0)</f>
        <v>0</v>
      </c>
      <c r="S1348" s="94" t="b">
        <f>VLOOKUP(D1348, Products!A:F, 6, FALSE)</f>
        <v>0</v>
      </c>
    </row>
    <row r="1349" spans="1:19">
      <c r="A1349" s="102" t="s">
        <v>1838</v>
      </c>
      <c r="B1349" s="2">
        <v>45327</v>
      </c>
      <c r="C1349" s="1" t="s">
        <v>1361</v>
      </c>
      <c r="D1349" s="1" t="s">
        <v>659</v>
      </c>
      <c r="E1349" s="1" t="s">
        <v>303</v>
      </c>
      <c r="F1349" s="83">
        <v>4</v>
      </c>
      <c r="G1349" s="92">
        <v>3560</v>
      </c>
      <c r="H1349" s="3">
        <v>25.7</v>
      </c>
      <c r="I1349" s="3">
        <v>10580.32</v>
      </c>
      <c r="J1349" s="1" t="s">
        <v>87</v>
      </c>
      <c r="K1349" s="1" t="s">
        <v>94</v>
      </c>
      <c r="L1349" t="str">
        <f>VLOOKUP(D1349, Products!A:C, 3, FALSE)</f>
        <v>Apparel</v>
      </c>
      <c r="M1349" t="str">
        <f>VLOOKUP(C1349, Customers!A:E, 5, FALSE)</f>
        <v>Retail</v>
      </c>
      <c r="N1349">
        <f>VLOOKUP(C1349, Customers!A:E, 3, FALSE)</f>
        <v>34</v>
      </c>
      <c r="O1349" s="93" t="str">
        <f>VLOOKUP(E1349, Sales_Reps!A:C, 3, FALSE)</f>
        <v>East</v>
      </c>
      <c r="P1349">
        <f>VLOOKUP(D1349, Products!A:E, 4, FALSE)</f>
        <v>2629</v>
      </c>
      <c r="Q1349">
        <f>IF(COUNTIF($A$2:A1349, A1349)=2, 1, 0)</f>
        <v>0</v>
      </c>
      <c r="R1349">
        <f>IF(ISNA(MATCH(C1349, Customers!$A:$A, 0)), 1, 0)</f>
        <v>0</v>
      </c>
      <c r="S1349" s="94" t="b">
        <f>VLOOKUP(D1349, Products!A:F, 6, FALSE)</f>
        <v>1</v>
      </c>
    </row>
    <row r="1350" spans="1:19">
      <c r="A1350" s="102" t="s">
        <v>1839</v>
      </c>
      <c r="B1350" s="2">
        <v>45410</v>
      </c>
      <c r="C1350" s="1" t="s">
        <v>986</v>
      </c>
      <c r="D1350" s="1" t="s">
        <v>380</v>
      </c>
      <c r="E1350" s="1" t="s">
        <v>92</v>
      </c>
      <c r="F1350" s="83">
        <v>8</v>
      </c>
      <c r="G1350" s="92">
        <v>960</v>
      </c>
      <c r="H1350" s="3">
        <v>0.1</v>
      </c>
      <c r="I1350" s="3">
        <v>7672.32</v>
      </c>
      <c r="J1350" s="1" t="s">
        <v>87</v>
      </c>
      <c r="K1350" s="1" t="s">
        <v>94</v>
      </c>
      <c r="L1350" t="str">
        <f>VLOOKUP(D1350, Products!A:C, 3, FALSE)</f>
        <v>Beauty</v>
      </c>
      <c r="M1350" t="str">
        <f>VLOOKUP(C1350, Customers!A:E, 5, FALSE)</f>
        <v>Corporate</v>
      </c>
      <c r="N1350">
        <f>VLOOKUP(C1350, Customers!A:E, 3, FALSE)</f>
        <v>52</v>
      </c>
      <c r="O1350" s="93" t="str">
        <f>VLOOKUP(E1350, Sales_Reps!A:C, 3, FALSE)</f>
        <v>North</v>
      </c>
      <c r="P1350">
        <f>VLOOKUP(D1350, Products!A:E, 4, FALSE)</f>
        <v>675</v>
      </c>
      <c r="Q1350">
        <f>IF(COUNTIF($A$2:A1350, A1350)=2, 1, 0)</f>
        <v>0</v>
      </c>
      <c r="R1350">
        <f>IF(ISNA(MATCH(C1350, Customers!$A:$A, 0)), 1, 0)</f>
        <v>0</v>
      </c>
      <c r="S1350" s="94" t="b">
        <f>VLOOKUP(D1350, Products!A:F, 6, FALSE)</f>
        <v>1</v>
      </c>
    </row>
    <row r="1351" spans="1:19">
      <c r="A1351" s="102" t="s">
        <v>1840</v>
      </c>
      <c r="B1351" s="2">
        <v>45644</v>
      </c>
      <c r="C1351" s="1" t="s">
        <v>225</v>
      </c>
      <c r="D1351" s="1" t="s">
        <v>110</v>
      </c>
      <c r="E1351" s="1" t="s">
        <v>116</v>
      </c>
      <c r="F1351" s="83">
        <v>10</v>
      </c>
      <c r="G1351" s="92">
        <v>370</v>
      </c>
      <c r="H1351" s="3">
        <v>16.399999999999999</v>
      </c>
      <c r="I1351" s="3">
        <v>3093.2</v>
      </c>
      <c r="J1351" s="1" t="s">
        <v>140</v>
      </c>
      <c r="K1351" s="1" t="s">
        <v>94</v>
      </c>
      <c r="L1351" t="str">
        <f>VLOOKUP(D1351, Products!A:C, 3, FALSE)</f>
        <v>Home</v>
      </c>
      <c r="M1351" t="str">
        <f>VLOOKUP(C1351, Customers!A:E, 5, FALSE)</f>
        <v>Retail</v>
      </c>
      <c r="N1351">
        <f>VLOOKUP(C1351, Customers!A:E, 3, FALSE)</f>
        <v>37</v>
      </c>
      <c r="O1351" s="93" t="str">
        <f>VLOOKUP(E1351, Sales_Reps!A:C, 3, FALSE)</f>
        <v>West</v>
      </c>
      <c r="P1351">
        <f>VLOOKUP(D1351, Products!A:E, 4, FALSE)</f>
        <v>288</v>
      </c>
      <c r="Q1351">
        <f>IF(COUNTIF($A$2:A1351, A1351)=2, 1, 0)</f>
        <v>0</v>
      </c>
      <c r="R1351">
        <f>IF(ISNA(MATCH(C1351, Customers!$A:$A, 0)), 1, 0)</f>
        <v>0</v>
      </c>
      <c r="S1351" s="94" t="b">
        <f>VLOOKUP(D1351, Products!A:F, 6, FALSE)</f>
        <v>1</v>
      </c>
    </row>
    <row r="1352" spans="1:19">
      <c r="A1352" s="102" t="s">
        <v>1841</v>
      </c>
      <c r="B1352" s="2">
        <v>45399</v>
      </c>
      <c r="C1352" s="1" t="s">
        <v>837</v>
      </c>
      <c r="D1352" s="1" t="s">
        <v>173</v>
      </c>
      <c r="E1352" s="1" t="s">
        <v>229</v>
      </c>
      <c r="F1352" s="83">
        <v>4</v>
      </c>
      <c r="G1352" s="92">
        <v>2720</v>
      </c>
      <c r="H1352" s="3">
        <v>3.1</v>
      </c>
      <c r="I1352" s="3">
        <v>10542.72</v>
      </c>
      <c r="J1352" s="1" t="s">
        <v>87</v>
      </c>
      <c r="K1352" s="1" t="s">
        <v>117</v>
      </c>
      <c r="L1352" t="str">
        <f>VLOOKUP(D1352, Products!A:C, 3, FALSE)</f>
        <v>Apparel</v>
      </c>
      <c r="M1352" t="str">
        <f>VLOOKUP(C1352, Customers!A:E, 5, FALSE)</f>
        <v>Retail</v>
      </c>
      <c r="N1352">
        <f>VLOOKUP(C1352, Customers!A:E, 3, FALSE)</f>
        <v>37</v>
      </c>
      <c r="O1352" s="93" t="str">
        <f>VLOOKUP(E1352, Sales_Reps!A:C, 3, FALSE)</f>
        <v>West</v>
      </c>
      <c r="P1352">
        <f>VLOOKUP(D1352, Products!A:E, 4, FALSE)</f>
        <v>1962</v>
      </c>
      <c r="Q1352">
        <f>IF(COUNTIF($A$2:A1352, A1352)=2, 1, 0)</f>
        <v>0</v>
      </c>
      <c r="R1352">
        <f>IF(ISNA(MATCH(C1352, Customers!$A:$A, 0)), 1, 0)</f>
        <v>0</v>
      </c>
      <c r="S1352" s="94" t="b">
        <f>VLOOKUP(D1352, Products!A:F, 6, FALSE)</f>
        <v>1</v>
      </c>
    </row>
    <row r="1353" spans="1:19">
      <c r="A1353" s="102" t="s">
        <v>1842</v>
      </c>
      <c r="B1353" s="2">
        <v>45441</v>
      </c>
      <c r="C1353" s="1" t="s">
        <v>405</v>
      </c>
      <c r="D1353" s="1" t="s">
        <v>443</v>
      </c>
      <c r="E1353" s="1" t="s">
        <v>92</v>
      </c>
      <c r="F1353" s="83">
        <v>10</v>
      </c>
      <c r="G1353" s="92">
        <v>5080</v>
      </c>
      <c r="H1353" s="3">
        <v>6.8</v>
      </c>
      <c r="I1353" s="3">
        <v>47345.599999999999</v>
      </c>
      <c r="J1353" s="1" t="s">
        <v>87</v>
      </c>
      <c r="K1353" s="1" t="s">
        <v>94</v>
      </c>
      <c r="L1353" t="str">
        <f>VLOOKUP(D1353, Products!A:C, 3, FALSE)</f>
        <v>Home</v>
      </c>
      <c r="M1353" t="str">
        <f>VLOOKUP(C1353, Customers!A:E, 5, FALSE)</f>
        <v>Corporate</v>
      </c>
      <c r="N1353">
        <f>VLOOKUP(C1353, Customers!A:E, 3, FALSE)</f>
        <v>24</v>
      </c>
      <c r="O1353" s="93" t="str">
        <f>VLOOKUP(E1353, Sales_Reps!A:C, 3, FALSE)</f>
        <v>North</v>
      </c>
      <c r="P1353">
        <f>VLOOKUP(D1353, Products!A:E, 4, FALSE)</f>
        <v>2459</v>
      </c>
      <c r="Q1353">
        <f>IF(COUNTIF($A$2:A1353, A1353)=2, 1, 0)</f>
        <v>0</v>
      </c>
      <c r="R1353">
        <f>IF(ISNA(MATCH(C1353, Customers!$A:$A, 0)), 1, 0)</f>
        <v>0</v>
      </c>
      <c r="S1353" s="94" t="b">
        <f>VLOOKUP(D1353, Products!A:F, 6, FALSE)</f>
        <v>1</v>
      </c>
    </row>
    <row r="1354" spans="1:19">
      <c r="A1354" s="102" t="s">
        <v>1843</v>
      </c>
      <c r="B1354" s="2">
        <v>45379</v>
      </c>
      <c r="C1354" s="1" t="s">
        <v>1534</v>
      </c>
      <c r="D1354" s="1" t="s">
        <v>386</v>
      </c>
      <c r="E1354" s="1" t="s">
        <v>107</v>
      </c>
      <c r="F1354" s="83">
        <v>6</v>
      </c>
      <c r="G1354" s="92">
        <v>2290</v>
      </c>
      <c r="H1354" s="3">
        <v>22.6</v>
      </c>
      <c r="I1354" s="3">
        <v>10634.76</v>
      </c>
      <c r="J1354" s="1" t="s">
        <v>87</v>
      </c>
      <c r="K1354" s="1" t="s">
        <v>133</v>
      </c>
      <c r="L1354" t="str">
        <f>VLOOKUP(D1354, Products!A:C, 3, FALSE)</f>
        <v>Beauty</v>
      </c>
      <c r="M1354" t="str">
        <f>VLOOKUP(C1354, Customers!A:E, 5, FALSE)</f>
        <v>Corporate</v>
      </c>
      <c r="N1354">
        <f>VLOOKUP(C1354, Customers!A:E, 3, FALSE)</f>
        <v>25</v>
      </c>
      <c r="O1354" s="93" t="str">
        <f>VLOOKUP(E1354, Sales_Reps!A:C, 3, FALSE)</f>
        <v>North</v>
      </c>
      <c r="P1354">
        <f>VLOOKUP(D1354, Products!A:E, 4, FALSE)</f>
        <v>1219</v>
      </c>
      <c r="Q1354">
        <f>IF(COUNTIF($A$2:A1354, A1354)=2, 1, 0)</f>
        <v>0</v>
      </c>
      <c r="R1354">
        <f>IF(ISNA(MATCH(C1354, Customers!$A:$A, 0)), 1, 0)</f>
        <v>0</v>
      </c>
      <c r="S1354" s="94" t="b">
        <f>VLOOKUP(D1354, Products!A:F, 6, FALSE)</f>
        <v>1</v>
      </c>
    </row>
    <row r="1355" spans="1:19">
      <c r="A1355" s="102" t="s">
        <v>1844</v>
      </c>
      <c r="B1355" s="2">
        <v>45502</v>
      </c>
      <c r="C1355" s="1" t="s">
        <v>768</v>
      </c>
      <c r="D1355" s="1" t="s">
        <v>200</v>
      </c>
      <c r="E1355" s="1" t="s">
        <v>103</v>
      </c>
      <c r="F1355" s="83">
        <v>4</v>
      </c>
      <c r="G1355" s="92">
        <v>2760</v>
      </c>
      <c r="H1355" s="3">
        <v>27.2</v>
      </c>
      <c r="I1355" s="3">
        <v>8037.12</v>
      </c>
      <c r="J1355" s="1" t="s">
        <v>144</v>
      </c>
      <c r="K1355" s="1" t="s">
        <v>88</v>
      </c>
      <c r="L1355" t="str">
        <f>VLOOKUP(D1355, Products!A:C, 3, FALSE)</f>
        <v>Grocery</v>
      </c>
      <c r="M1355" t="str">
        <f>VLOOKUP(C1355, Customers!A:E, 5, FALSE)</f>
        <v>Corporate</v>
      </c>
      <c r="N1355">
        <f>VLOOKUP(C1355, Customers!A:E, 3, FALSE)</f>
        <v>42</v>
      </c>
      <c r="O1355" s="93" t="str">
        <f>VLOOKUP(E1355, Sales_Reps!A:C, 3, FALSE)</f>
        <v>North</v>
      </c>
      <c r="P1355">
        <f>VLOOKUP(D1355, Products!A:E, 4, FALSE)</f>
        <v>1435</v>
      </c>
      <c r="Q1355">
        <f>IF(COUNTIF($A$2:A1355, A1355)=2, 1, 0)</f>
        <v>0</v>
      </c>
      <c r="R1355">
        <f>IF(ISNA(MATCH(C1355, Customers!$A:$A, 0)), 1, 0)</f>
        <v>0</v>
      </c>
      <c r="S1355" s="94" t="b">
        <f>VLOOKUP(D1355, Products!A:F, 6, FALSE)</f>
        <v>1</v>
      </c>
    </row>
    <row r="1356" spans="1:19">
      <c r="A1356" s="102" t="s">
        <v>1845</v>
      </c>
      <c r="B1356" s="2">
        <v>45466</v>
      </c>
      <c r="C1356" s="1" t="s">
        <v>442</v>
      </c>
      <c r="D1356" s="1" t="s">
        <v>131</v>
      </c>
      <c r="E1356" s="1" t="s">
        <v>343</v>
      </c>
      <c r="F1356" s="83">
        <v>9</v>
      </c>
      <c r="G1356" s="92">
        <v>2270</v>
      </c>
      <c r="H1356" s="3">
        <v>5.2</v>
      </c>
      <c r="I1356" s="3">
        <v>19367.64</v>
      </c>
      <c r="J1356" s="1" t="s">
        <v>87</v>
      </c>
      <c r="K1356" s="1" t="s">
        <v>88</v>
      </c>
      <c r="L1356" t="str">
        <f>VLOOKUP(D1356, Products!A:C, 3, FALSE)</f>
        <v>Grocery</v>
      </c>
      <c r="M1356" t="str">
        <f>VLOOKUP(C1356, Customers!A:E, 5, FALSE)</f>
        <v>Retail</v>
      </c>
      <c r="N1356">
        <f>VLOOKUP(C1356, Customers!A:E, 3, FALSE)</f>
        <v>65</v>
      </c>
      <c r="O1356" s="93" t="str">
        <f>VLOOKUP(E1356, Sales_Reps!A:C, 3, FALSE)</f>
        <v>West</v>
      </c>
      <c r="P1356">
        <f>VLOOKUP(D1356, Products!A:E, 4, FALSE)</f>
        <v>1203</v>
      </c>
      <c r="Q1356">
        <f>IF(COUNTIF($A$2:A1356, A1356)=2, 1, 0)</f>
        <v>0</v>
      </c>
      <c r="R1356">
        <f>IF(ISNA(MATCH(C1356, Customers!$A:$A, 0)), 1, 0)</f>
        <v>0</v>
      </c>
      <c r="S1356" s="94" t="b">
        <f>VLOOKUP(D1356, Products!A:F, 6, FALSE)</f>
        <v>1</v>
      </c>
    </row>
    <row r="1357" spans="1:19">
      <c r="A1357" s="102" t="s">
        <v>1846</v>
      </c>
      <c r="B1357" s="2">
        <v>45500</v>
      </c>
      <c r="C1357" s="1" t="s">
        <v>378</v>
      </c>
      <c r="D1357" s="1" t="s">
        <v>355</v>
      </c>
      <c r="E1357" s="1" t="s">
        <v>107</v>
      </c>
      <c r="F1357" s="83">
        <v>3</v>
      </c>
      <c r="G1357" s="92">
        <v>2510</v>
      </c>
      <c r="H1357" s="3">
        <v>16.399999999999999</v>
      </c>
      <c r="I1357" s="3">
        <v>6295.08</v>
      </c>
      <c r="J1357" s="1" t="s">
        <v>87</v>
      </c>
      <c r="K1357" s="1" t="s">
        <v>94</v>
      </c>
      <c r="L1357" t="str">
        <f>VLOOKUP(D1357, Products!A:C, 3, FALSE)</f>
        <v>Apparel</v>
      </c>
      <c r="M1357" t="str">
        <f>VLOOKUP(C1357, Customers!A:E, 5, FALSE)</f>
        <v>SMB</v>
      </c>
      <c r="N1357">
        <f>VLOOKUP(C1357, Customers!A:E, 3, FALSE)</f>
        <v>53</v>
      </c>
      <c r="O1357" s="93" t="str">
        <f>VLOOKUP(E1357, Sales_Reps!A:C, 3, FALSE)</f>
        <v>North</v>
      </c>
      <c r="P1357">
        <f>VLOOKUP(D1357, Products!A:E, 4, FALSE)</f>
        <v>1075</v>
      </c>
      <c r="Q1357">
        <f>IF(COUNTIF($A$2:A1357, A1357)=2, 1, 0)</f>
        <v>0</v>
      </c>
      <c r="R1357">
        <f>IF(ISNA(MATCH(C1357, Customers!$A:$A, 0)), 1, 0)</f>
        <v>0</v>
      </c>
      <c r="S1357" s="94" t="b">
        <f>VLOOKUP(D1357, Products!A:F, 6, FALSE)</f>
        <v>0</v>
      </c>
    </row>
    <row r="1358" spans="1:19">
      <c r="A1358" s="102" t="s">
        <v>1847</v>
      </c>
      <c r="B1358" s="2">
        <v>45337</v>
      </c>
      <c r="C1358" s="1" t="s">
        <v>312</v>
      </c>
      <c r="D1358" s="1" t="s">
        <v>367</v>
      </c>
      <c r="E1358" s="1" t="s">
        <v>325</v>
      </c>
      <c r="F1358" s="83">
        <v>1</v>
      </c>
      <c r="G1358" s="92">
        <v>2380</v>
      </c>
      <c r="H1358" s="3">
        <v>23.5</v>
      </c>
      <c r="I1358" s="3">
        <v>1820.7</v>
      </c>
      <c r="J1358" s="1" t="s">
        <v>87</v>
      </c>
      <c r="K1358" s="1" t="s">
        <v>133</v>
      </c>
      <c r="L1358" t="str">
        <f>VLOOKUP(D1358, Products!A:C, 3, FALSE)</f>
        <v>Grocery</v>
      </c>
      <c r="M1358" t="str">
        <f>VLOOKUP(C1358, Customers!A:E, 5, FALSE)</f>
        <v>Retail</v>
      </c>
      <c r="N1358">
        <f>VLOOKUP(C1358, Customers!A:E, 3, FALSE)</f>
        <v>46</v>
      </c>
      <c r="O1358" s="93" t="str">
        <f>VLOOKUP(E1358, Sales_Reps!A:C, 3, FALSE)</f>
        <v>South</v>
      </c>
      <c r="P1358">
        <f>VLOOKUP(D1358, Products!A:E, 4, FALSE)</f>
        <v>1182</v>
      </c>
      <c r="Q1358">
        <f>IF(COUNTIF($A$2:A1358, A1358)=2, 1, 0)</f>
        <v>0</v>
      </c>
      <c r="R1358">
        <f>IF(ISNA(MATCH(C1358, Customers!$A:$A, 0)), 1, 0)</f>
        <v>0</v>
      </c>
      <c r="S1358" s="94" t="b">
        <f>VLOOKUP(D1358, Products!A:F, 6, FALSE)</f>
        <v>1</v>
      </c>
    </row>
    <row r="1359" spans="1:19">
      <c r="A1359" s="102" t="s">
        <v>1848</v>
      </c>
      <c r="B1359" s="2">
        <v>45447</v>
      </c>
      <c r="C1359" s="1" t="s">
        <v>837</v>
      </c>
      <c r="D1359" s="1" t="s">
        <v>461</v>
      </c>
      <c r="E1359" s="1" t="s">
        <v>121</v>
      </c>
      <c r="F1359" s="83">
        <v>2</v>
      </c>
      <c r="G1359" s="92">
        <v>3780</v>
      </c>
      <c r="H1359" s="3">
        <v>29.1</v>
      </c>
      <c r="I1359" s="3">
        <v>5360.04</v>
      </c>
      <c r="J1359" s="1" t="s">
        <v>87</v>
      </c>
      <c r="K1359" s="1" t="s">
        <v>117</v>
      </c>
      <c r="L1359" t="str">
        <f>VLOOKUP(D1359, Products!A:C, 3, FALSE)</f>
        <v>Sports</v>
      </c>
      <c r="M1359" t="str">
        <f>VLOOKUP(C1359, Customers!A:E, 5, FALSE)</f>
        <v>Retail</v>
      </c>
      <c r="N1359">
        <f>VLOOKUP(C1359, Customers!A:E, 3, FALSE)</f>
        <v>37</v>
      </c>
      <c r="O1359" s="93" t="str">
        <f>VLOOKUP(E1359, Sales_Reps!A:C, 3, FALSE)</f>
        <v>East</v>
      </c>
      <c r="P1359">
        <f>VLOOKUP(D1359, Products!A:E, 4, FALSE)</f>
        <v>1860</v>
      </c>
      <c r="Q1359">
        <f>IF(COUNTIF($A$2:A1359, A1359)=2, 1, 0)</f>
        <v>0</v>
      </c>
      <c r="R1359">
        <f>IF(ISNA(MATCH(C1359, Customers!$A:$A, 0)), 1, 0)</f>
        <v>0</v>
      </c>
      <c r="S1359" s="94" t="b">
        <f>VLOOKUP(D1359, Products!A:F, 6, FALSE)</f>
        <v>1</v>
      </c>
    </row>
    <row r="1360" spans="1:19">
      <c r="A1360" s="102" t="s">
        <v>1849</v>
      </c>
      <c r="B1360" s="2">
        <v>45546</v>
      </c>
      <c r="C1360" s="1" t="s">
        <v>952</v>
      </c>
      <c r="D1360" s="1" t="s">
        <v>452</v>
      </c>
      <c r="E1360" s="1" t="s">
        <v>201</v>
      </c>
      <c r="F1360" s="83">
        <v>1</v>
      </c>
      <c r="G1360" s="92">
        <v>3450</v>
      </c>
      <c r="H1360" s="3">
        <v>17.8</v>
      </c>
      <c r="I1360" s="3">
        <v>2835.9</v>
      </c>
      <c r="J1360" s="1" t="s">
        <v>87</v>
      </c>
      <c r="K1360" s="1" t="s">
        <v>133</v>
      </c>
      <c r="L1360" t="str">
        <f>VLOOKUP(D1360, Products!A:C, 3, FALSE)</f>
        <v>Apparel</v>
      </c>
      <c r="M1360" t="str">
        <f>VLOOKUP(C1360, Customers!A:E, 5, FALSE)</f>
        <v>Retail</v>
      </c>
      <c r="N1360">
        <f>VLOOKUP(C1360, Customers!A:E, 3, FALSE)</f>
        <v>35</v>
      </c>
      <c r="O1360" s="93" t="str">
        <f>VLOOKUP(E1360, Sales_Reps!A:C, 3, FALSE)</f>
        <v>West</v>
      </c>
      <c r="P1360">
        <f>VLOOKUP(D1360, Products!A:E, 4, FALSE)</f>
        <v>1748</v>
      </c>
      <c r="Q1360">
        <f>IF(COUNTIF($A$2:A1360, A1360)=2, 1, 0)</f>
        <v>0</v>
      </c>
      <c r="R1360">
        <f>IF(ISNA(MATCH(C1360, Customers!$A:$A, 0)), 1, 0)</f>
        <v>0</v>
      </c>
      <c r="S1360" s="94" t="b">
        <f>VLOOKUP(D1360, Products!A:F, 6, FALSE)</f>
        <v>1</v>
      </c>
    </row>
    <row r="1361" spans="1:19">
      <c r="A1361" s="102" t="s">
        <v>1850</v>
      </c>
      <c r="B1361" s="2">
        <v>45451</v>
      </c>
      <c r="C1361" s="1" t="s">
        <v>388</v>
      </c>
      <c r="D1361" s="1" t="s">
        <v>184</v>
      </c>
      <c r="E1361" s="1" t="s">
        <v>103</v>
      </c>
      <c r="F1361" s="83">
        <v>6</v>
      </c>
      <c r="G1361" s="92">
        <v>4880</v>
      </c>
      <c r="H1361" s="3">
        <v>15.6</v>
      </c>
      <c r="I1361" s="3">
        <v>24712.32</v>
      </c>
      <c r="J1361" s="1" t="s">
        <v>93</v>
      </c>
      <c r="K1361" s="1" t="s">
        <v>133</v>
      </c>
      <c r="L1361" t="str">
        <f>VLOOKUP(D1361, Products!A:C, 3, FALSE)</f>
        <v>Beauty</v>
      </c>
      <c r="M1361" t="str">
        <f>VLOOKUP(C1361, Customers!A:E, 5, FALSE)</f>
        <v>Retail</v>
      </c>
      <c r="N1361">
        <f>VLOOKUP(C1361, Customers!A:E, 3, FALSE)</f>
        <v>44</v>
      </c>
      <c r="O1361" s="93" t="str">
        <f>VLOOKUP(E1361, Sales_Reps!A:C, 3, FALSE)</f>
        <v>North</v>
      </c>
      <c r="P1361">
        <f>VLOOKUP(D1361, Products!A:E, 4, FALSE)</f>
        <v>2768</v>
      </c>
      <c r="Q1361">
        <f>IF(COUNTIF($A$2:A1361, A1361)=2, 1, 0)</f>
        <v>0</v>
      </c>
      <c r="R1361">
        <f>IF(ISNA(MATCH(C1361, Customers!$A:$A, 0)), 1, 0)</f>
        <v>0</v>
      </c>
      <c r="S1361" s="94" t="b">
        <f>VLOOKUP(D1361, Products!A:F, 6, FALSE)</f>
        <v>1</v>
      </c>
    </row>
    <row r="1362" spans="1:19">
      <c r="A1362" s="102" t="s">
        <v>1851</v>
      </c>
      <c r="B1362" s="2">
        <v>45427</v>
      </c>
      <c r="C1362" s="1" t="s">
        <v>175</v>
      </c>
      <c r="D1362" s="1" t="s">
        <v>380</v>
      </c>
      <c r="E1362" s="1" t="s">
        <v>346</v>
      </c>
      <c r="F1362" s="83">
        <v>6</v>
      </c>
      <c r="G1362" s="92">
        <v>960</v>
      </c>
      <c r="H1362" s="3">
        <v>7.5</v>
      </c>
      <c r="I1362" s="3">
        <v>5328</v>
      </c>
      <c r="J1362" s="1" t="s">
        <v>93</v>
      </c>
      <c r="K1362" s="1" t="s">
        <v>133</v>
      </c>
      <c r="L1362" t="str">
        <f>VLOOKUP(D1362, Products!A:C, 3, FALSE)</f>
        <v>Beauty</v>
      </c>
      <c r="M1362" t="str">
        <f>VLOOKUP(C1362, Customers!A:E, 5, FALSE)</f>
        <v>SMB</v>
      </c>
      <c r="N1362">
        <f>VLOOKUP(C1362, Customers!A:E, 3, FALSE)</f>
        <v>40</v>
      </c>
      <c r="O1362" s="93" t="str">
        <f>VLOOKUP(E1362, Sales_Reps!A:C, 3, FALSE)</f>
        <v>South</v>
      </c>
      <c r="P1362">
        <f>VLOOKUP(D1362, Products!A:E, 4, FALSE)</f>
        <v>675</v>
      </c>
      <c r="Q1362">
        <f>IF(COUNTIF($A$2:A1362, A1362)=2, 1, 0)</f>
        <v>0</v>
      </c>
      <c r="R1362">
        <f>IF(ISNA(MATCH(C1362, Customers!$A:$A, 0)), 1, 0)</f>
        <v>0</v>
      </c>
      <c r="S1362" s="94" t="b">
        <f>VLOOKUP(D1362, Products!A:F, 6, FALSE)</f>
        <v>1</v>
      </c>
    </row>
    <row r="1363" spans="1:19">
      <c r="A1363" s="102" t="s">
        <v>1852</v>
      </c>
      <c r="B1363" s="2">
        <v>45532</v>
      </c>
      <c r="C1363" s="1" t="s">
        <v>413</v>
      </c>
      <c r="D1363" s="1" t="s">
        <v>659</v>
      </c>
      <c r="E1363" s="1" t="s">
        <v>154</v>
      </c>
      <c r="F1363" s="83">
        <v>1</v>
      </c>
      <c r="G1363" s="92">
        <v>3560</v>
      </c>
      <c r="H1363" s="3">
        <v>12.9</v>
      </c>
      <c r="I1363" s="3">
        <v>3100.76</v>
      </c>
      <c r="J1363" s="1" t="s">
        <v>87</v>
      </c>
      <c r="K1363" s="1" t="s">
        <v>88</v>
      </c>
      <c r="L1363" t="str">
        <f>VLOOKUP(D1363, Products!A:C, 3, FALSE)</f>
        <v>Apparel</v>
      </c>
      <c r="M1363" t="str">
        <f>VLOOKUP(C1363, Customers!A:E, 5, FALSE)</f>
        <v>Retail</v>
      </c>
      <c r="N1363">
        <f>VLOOKUP(C1363, Customers!A:E, 3, FALSE)</f>
        <v>22</v>
      </c>
      <c r="O1363" s="93" t="str">
        <f>VLOOKUP(E1363, Sales_Reps!A:C, 3, FALSE)</f>
        <v>East</v>
      </c>
      <c r="P1363">
        <f>VLOOKUP(D1363, Products!A:E, 4, FALSE)</f>
        <v>2629</v>
      </c>
      <c r="Q1363">
        <f>IF(COUNTIF($A$2:A1363, A1363)=2, 1, 0)</f>
        <v>0</v>
      </c>
      <c r="R1363">
        <f>IF(ISNA(MATCH(C1363, Customers!$A:$A, 0)), 1, 0)</f>
        <v>0</v>
      </c>
      <c r="S1363" s="94" t="b">
        <f>VLOOKUP(D1363, Products!A:F, 6, FALSE)</f>
        <v>1</v>
      </c>
    </row>
    <row r="1364" spans="1:19">
      <c r="A1364" s="102" t="s">
        <v>1853</v>
      </c>
      <c r="B1364" s="2">
        <v>45466</v>
      </c>
      <c r="C1364" s="1" t="s">
        <v>585</v>
      </c>
      <c r="D1364" s="1" t="s">
        <v>351</v>
      </c>
      <c r="E1364" s="1" t="s">
        <v>92</v>
      </c>
      <c r="F1364" s="83">
        <v>5</v>
      </c>
      <c r="G1364" s="92">
        <v>4060</v>
      </c>
      <c r="H1364" s="3">
        <v>18.100000000000001</v>
      </c>
      <c r="I1364" s="3">
        <v>16625.7</v>
      </c>
      <c r="J1364" s="1" t="s">
        <v>93</v>
      </c>
      <c r="K1364" s="1" t="s">
        <v>94</v>
      </c>
      <c r="L1364" t="str">
        <f>VLOOKUP(D1364, Products!A:C, 3, FALSE)</f>
        <v>Grocery</v>
      </c>
      <c r="M1364" t="str">
        <f>VLOOKUP(C1364, Customers!A:E, 5, FALSE)</f>
        <v>Retail</v>
      </c>
      <c r="N1364">
        <f>VLOOKUP(C1364, Customers!A:E, 3, FALSE)</f>
        <v>26</v>
      </c>
      <c r="O1364" s="93" t="str">
        <f>VLOOKUP(E1364, Sales_Reps!A:C, 3, FALSE)</f>
        <v>North</v>
      </c>
      <c r="P1364">
        <f>VLOOKUP(D1364, Products!A:E, 4, FALSE)</f>
        <v>2911</v>
      </c>
      <c r="Q1364">
        <f>IF(COUNTIF($A$2:A1364, A1364)=2, 1, 0)</f>
        <v>0</v>
      </c>
      <c r="R1364">
        <f>IF(ISNA(MATCH(C1364, Customers!$A:$A, 0)), 1, 0)</f>
        <v>0</v>
      </c>
      <c r="S1364" s="94" t="b">
        <f>VLOOKUP(D1364, Products!A:F, 6, FALSE)</f>
        <v>1</v>
      </c>
    </row>
    <row r="1365" spans="1:19">
      <c r="A1365" s="102" t="s">
        <v>1854</v>
      </c>
      <c r="B1365" s="2">
        <v>45545</v>
      </c>
      <c r="C1365" s="1" t="s">
        <v>101</v>
      </c>
      <c r="D1365" s="1" t="s">
        <v>173</v>
      </c>
      <c r="E1365" s="1" t="s">
        <v>192</v>
      </c>
      <c r="F1365" s="83">
        <v>10</v>
      </c>
      <c r="G1365" s="92">
        <v>2720</v>
      </c>
      <c r="H1365" s="3">
        <v>23.2</v>
      </c>
      <c r="I1365" s="3">
        <v>20889.599999999999</v>
      </c>
      <c r="J1365" s="1" t="s">
        <v>87</v>
      </c>
      <c r="K1365" s="1" t="s">
        <v>99</v>
      </c>
      <c r="L1365" t="str">
        <f>VLOOKUP(D1365, Products!A:C, 3, FALSE)</f>
        <v>Apparel</v>
      </c>
      <c r="M1365" t="str">
        <f>VLOOKUP(C1365, Customers!A:E, 5, FALSE)</f>
        <v>Corporate</v>
      </c>
      <c r="N1365">
        <f>VLOOKUP(C1365, Customers!A:E, 3, FALSE)</f>
        <v>46</v>
      </c>
      <c r="O1365" s="93" t="str">
        <f>VLOOKUP(E1365, Sales_Reps!A:C, 3, FALSE)</f>
        <v>East</v>
      </c>
      <c r="P1365">
        <f>VLOOKUP(D1365, Products!A:E, 4, FALSE)</f>
        <v>1962</v>
      </c>
      <c r="Q1365">
        <f>IF(COUNTIF($A$2:A1365, A1365)=2, 1, 0)</f>
        <v>0</v>
      </c>
      <c r="R1365">
        <f>IF(ISNA(MATCH(C1365, Customers!$A:$A, 0)), 1, 0)</f>
        <v>0</v>
      </c>
      <c r="S1365" s="94" t="b">
        <f>VLOOKUP(D1365, Products!A:F, 6, FALSE)</f>
        <v>1</v>
      </c>
    </row>
    <row r="1366" spans="1:19">
      <c r="A1366" s="102" t="s">
        <v>1728</v>
      </c>
      <c r="B1366" s="2">
        <v>45547</v>
      </c>
      <c r="C1366" s="1" t="s">
        <v>561</v>
      </c>
      <c r="D1366" s="1" t="s">
        <v>338</v>
      </c>
      <c r="E1366" s="1" t="s">
        <v>285</v>
      </c>
      <c r="F1366" s="83">
        <v>1</v>
      </c>
      <c r="G1366" s="92">
        <v>2210</v>
      </c>
      <c r="H1366" s="3">
        <v>5.8</v>
      </c>
      <c r="I1366" s="3">
        <v>2081.8200000000002</v>
      </c>
      <c r="J1366" s="1" t="s">
        <v>93</v>
      </c>
      <c r="K1366" s="1" t="s">
        <v>133</v>
      </c>
      <c r="L1366" t="str">
        <f>VLOOKUP(D1366, Products!A:C, 3, FALSE)</f>
        <v>Grocery</v>
      </c>
      <c r="M1366" t="str">
        <f>VLOOKUP(C1366, Customers!A:E, 5, FALSE)</f>
        <v>SMB</v>
      </c>
      <c r="N1366">
        <f>VLOOKUP(C1366, Customers!A:E, 3, FALSE)</f>
        <v>43</v>
      </c>
      <c r="O1366" s="93" t="str">
        <f>VLOOKUP(E1366, Sales_Reps!A:C, 3, FALSE)</f>
        <v>East</v>
      </c>
      <c r="P1366">
        <f>VLOOKUP(D1366, Products!A:E, 4, FALSE)</f>
        <v>1010</v>
      </c>
      <c r="Q1366">
        <f>IF(COUNTIF($A$2:A1366, A1366)=2, 1, 0)</f>
        <v>1</v>
      </c>
      <c r="R1366">
        <f>IF(ISNA(MATCH(C1366, Customers!$A:$A, 0)), 1, 0)</f>
        <v>0</v>
      </c>
      <c r="S1366" s="94" t="b">
        <f>VLOOKUP(D1366, Products!A:F, 6, FALSE)</f>
        <v>1</v>
      </c>
    </row>
    <row r="1367" spans="1:19">
      <c r="A1367" s="102" t="s">
        <v>1855</v>
      </c>
      <c r="B1367" s="2">
        <v>45547</v>
      </c>
      <c r="C1367" s="1" t="s">
        <v>160</v>
      </c>
      <c r="D1367" s="1" t="s">
        <v>157</v>
      </c>
      <c r="E1367" s="1" t="s">
        <v>252</v>
      </c>
      <c r="F1367" s="83">
        <v>5</v>
      </c>
      <c r="G1367" s="92">
        <v>3450</v>
      </c>
      <c r="H1367" s="3">
        <v>27.9</v>
      </c>
      <c r="I1367" s="3">
        <v>12437.25</v>
      </c>
      <c r="J1367" s="1" t="s">
        <v>93</v>
      </c>
      <c r="K1367" s="1" t="s">
        <v>112</v>
      </c>
      <c r="L1367" t="str">
        <f>VLOOKUP(D1367, Products!A:C, 3, FALSE)</f>
        <v>Beauty</v>
      </c>
      <c r="M1367" t="str">
        <f>VLOOKUP(C1367, Customers!A:E, 5, FALSE)</f>
        <v>Retail</v>
      </c>
      <c r="N1367">
        <f>VLOOKUP(C1367, Customers!A:E, 3, FALSE)</f>
        <v>54</v>
      </c>
      <c r="O1367" s="93" t="str">
        <f>VLOOKUP(E1367, Sales_Reps!A:C, 3, FALSE)</f>
        <v>South</v>
      </c>
      <c r="P1367">
        <f>VLOOKUP(D1367, Products!A:E, 4, FALSE)</f>
        <v>2420</v>
      </c>
      <c r="Q1367">
        <f>IF(COUNTIF($A$2:A1367, A1367)=2, 1, 0)</f>
        <v>0</v>
      </c>
      <c r="R1367">
        <f>IF(ISNA(MATCH(C1367, Customers!$A:$A, 0)), 1, 0)</f>
        <v>0</v>
      </c>
      <c r="S1367" s="94" t="b">
        <f>VLOOKUP(D1367, Products!A:F, 6, FALSE)</f>
        <v>1</v>
      </c>
    </row>
    <row r="1368" spans="1:19">
      <c r="A1368" s="102" t="s">
        <v>1856</v>
      </c>
      <c r="B1368" s="2">
        <v>45550</v>
      </c>
      <c r="C1368" s="1" t="s">
        <v>212</v>
      </c>
      <c r="D1368" s="1" t="s">
        <v>367</v>
      </c>
      <c r="E1368" s="1" t="s">
        <v>154</v>
      </c>
      <c r="F1368" s="83">
        <v>9</v>
      </c>
      <c r="G1368" s="92">
        <v>2380</v>
      </c>
      <c r="H1368" s="3">
        <v>15.2</v>
      </c>
      <c r="I1368" s="3">
        <v>18164.16</v>
      </c>
      <c r="J1368" s="1" t="s">
        <v>144</v>
      </c>
      <c r="K1368" s="1" t="s">
        <v>112</v>
      </c>
      <c r="L1368" t="str">
        <f>VLOOKUP(D1368, Products!A:C, 3, FALSE)</f>
        <v>Grocery</v>
      </c>
      <c r="M1368" t="str">
        <f>VLOOKUP(C1368, Customers!A:E, 5, FALSE)</f>
        <v>SMB</v>
      </c>
      <c r="N1368">
        <f>VLOOKUP(C1368, Customers!A:E, 3, FALSE)</f>
        <v>36</v>
      </c>
      <c r="O1368" s="93" t="str">
        <f>VLOOKUP(E1368, Sales_Reps!A:C, 3, FALSE)</f>
        <v>East</v>
      </c>
      <c r="P1368">
        <f>VLOOKUP(D1368, Products!A:E, 4, FALSE)</f>
        <v>1182</v>
      </c>
      <c r="Q1368">
        <f>IF(COUNTIF($A$2:A1368, A1368)=2, 1, 0)</f>
        <v>0</v>
      </c>
      <c r="R1368">
        <f>IF(ISNA(MATCH(C1368, Customers!$A:$A, 0)), 1, 0)</f>
        <v>0</v>
      </c>
      <c r="S1368" s="94" t="b">
        <f>VLOOKUP(D1368, Products!A:F, 6, FALSE)</f>
        <v>1</v>
      </c>
    </row>
    <row r="1369" spans="1:19">
      <c r="A1369" s="102" t="s">
        <v>1857</v>
      </c>
      <c r="B1369" s="2">
        <v>45551</v>
      </c>
      <c r="C1369" s="1" t="s">
        <v>399</v>
      </c>
      <c r="D1369" s="1" t="s">
        <v>367</v>
      </c>
      <c r="E1369" s="1" t="s">
        <v>297</v>
      </c>
      <c r="F1369" s="83">
        <v>2</v>
      </c>
      <c r="G1369" s="92">
        <v>2380</v>
      </c>
      <c r="H1369" s="3">
        <v>24.3</v>
      </c>
      <c r="I1369" s="3">
        <v>3603.32</v>
      </c>
      <c r="J1369" s="1" t="s">
        <v>87</v>
      </c>
      <c r="K1369" s="1" t="s">
        <v>99</v>
      </c>
      <c r="L1369" t="str">
        <f>VLOOKUP(D1369, Products!A:C, 3, FALSE)</f>
        <v>Grocery</v>
      </c>
      <c r="M1369" t="str">
        <f>VLOOKUP(C1369, Customers!A:E, 5, FALSE)</f>
        <v>SMB</v>
      </c>
      <c r="N1369">
        <f>VLOOKUP(C1369, Customers!A:E, 3, FALSE)</f>
        <v>53</v>
      </c>
      <c r="O1369" s="93" t="str">
        <f>VLOOKUP(E1369, Sales_Reps!A:C, 3, FALSE)</f>
        <v>North</v>
      </c>
      <c r="P1369">
        <f>VLOOKUP(D1369, Products!A:E, 4, FALSE)</f>
        <v>1182</v>
      </c>
      <c r="Q1369">
        <f>IF(COUNTIF($A$2:A1369, A1369)=2, 1, 0)</f>
        <v>0</v>
      </c>
      <c r="R1369">
        <f>IF(ISNA(MATCH(C1369, Customers!$A:$A, 0)), 1, 0)</f>
        <v>0</v>
      </c>
      <c r="S1369" s="94" t="b">
        <f>VLOOKUP(D1369, Products!A:F, 6, FALSE)</f>
        <v>1</v>
      </c>
    </row>
    <row r="1370" spans="1:19">
      <c r="A1370" s="102" t="s">
        <v>1858</v>
      </c>
      <c r="B1370" s="2">
        <v>45560</v>
      </c>
      <c r="C1370" s="1" t="s">
        <v>101</v>
      </c>
      <c r="D1370" s="1" t="s">
        <v>659</v>
      </c>
      <c r="E1370" s="1" t="s">
        <v>325</v>
      </c>
      <c r="F1370" s="83">
        <v>9</v>
      </c>
      <c r="G1370" s="92">
        <v>3560</v>
      </c>
      <c r="H1370" s="3">
        <v>6.6</v>
      </c>
      <c r="I1370" s="3">
        <v>29925.360000000001</v>
      </c>
      <c r="J1370" s="1" t="s">
        <v>144</v>
      </c>
      <c r="K1370" s="1" t="s">
        <v>99</v>
      </c>
      <c r="L1370" t="str">
        <f>VLOOKUP(D1370, Products!A:C, 3, FALSE)</f>
        <v>Apparel</v>
      </c>
      <c r="M1370" t="str">
        <f>VLOOKUP(C1370, Customers!A:E, 5, FALSE)</f>
        <v>Corporate</v>
      </c>
      <c r="N1370">
        <f>VLOOKUP(C1370, Customers!A:E, 3, FALSE)</f>
        <v>46</v>
      </c>
      <c r="O1370" s="93" t="str">
        <f>VLOOKUP(E1370, Sales_Reps!A:C, 3, FALSE)</f>
        <v>South</v>
      </c>
      <c r="P1370">
        <f>VLOOKUP(D1370, Products!A:E, 4, FALSE)</f>
        <v>2629</v>
      </c>
      <c r="Q1370">
        <f>IF(COUNTIF($A$2:A1370, A1370)=2, 1, 0)</f>
        <v>0</v>
      </c>
      <c r="R1370">
        <f>IF(ISNA(MATCH(C1370, Customers!$A:$A, 0)), 1, 0)</f>
        <v>0</v>
      </c>
      <c r="S1370" s="94" t="b">
        <f>VLOOKUP(D1370, Products!A:F, 6, FALSE)</f>
        <v>1</v>
      </c>
    </row>
    <row r="1371" spans="1:19">
      <c r="A1371" s="102" t="s">
        <v>1859</v>
      </c>
      <c r="B1371" s="2">
        <v>45330</v>
      </c>
      <c r="C1371" s="1" t="s">
        <v>472</v>
      </c>
      <c r="D1371" s="1" t="s">
        <v>267</v>
      </c>
      <c r="E1371" s="1" t="s">
        <v>303</v>
      </c>
      <c r="F1371" s="83">
        <v>7</v>
      </c>
      <c r="G1371" s="92">
        <v>1220</v>
      </c>
      <c r="H1371" s="3">
        <v>29.4</v>
      </c>
      <c r="I1371" s="3">
        <v>6029.24</v>
      </c>
      <c r="J1371" s="1" t="s">
        <v>87</v>
      </c>
      <c r="K1371" s="1" t="s">
        <v>94</v>
      </c>
      <c r="L1371" t="str">
        <f>VLOOKUP(D1371, Products!A:C, 3, FALSE)</f>
        <v>Electronics</v>
      </c>
      <c r="M1371" t="str">
        <f>VLOOKUP(C1371, Customers!A:E, 5, FALSE)</f>
        <v>Corporate</v>
      </c>
      <c r="N1371">
        <f>VLOOKUP(C1371, Customers!A:E, 3, FALSE)</f>
        <v>35</v>
      </c>
      <c r="O1371" s="93" t="str">
        <f>VLOOKUP(E1371, Sales_Reps!A:C, 3, FALSE)</f>
        <v>East</v>
      </c>
      <c r="P1371">
        <f>VLOOKUP(D1371, Products!A:E, 4, FALSE)</f>
        <v>517</v>
      </c>
      <c r="Q1371">
        <f>IF(COUNTIF($A$2:A1371, A1371)=2, 1, 0)</f>
        <v>0</v>
      </c>
      <c r="R1371">
        <f>IF(ISNA(MATCH(C1371, Customers!$A:$A, 0)), 1, 0)</f>
        <v>0</v>
      </c>
      <c r="S1371" s="94" t="b">
        <f>VLOOKUP(D1371, Products!A:F, 6, FALSE)</f>
        <v>1</v>
      </c>
    </row>
    <row r="1372" spans="1:19">
      <c r="A1372" s="102" t="s">
        <v>1860</v>
      </c>
      <c r="B1372" s="2">
        <v>45560</v>
      </c>
      <c r="C1372" s="1" t="s">
        <v>555</v>
      </c>
      <c r="D1372" s="1" t="s">
        <v>515</v>
      </c>
      <c r="E1372" s="1" t="s">
        <v>238</v>
      </c>
      <c r="F1372" s="83">
        <v>7</v>
      </c>
      <c r="G1372" s="92">
        <v>6940</v>
      </c>
      <c r="H1372" s="3">
        <v>9.6</v>
      </c>
      <c r="I1372" s="3">
        <v>43916.32</v>
      </c>
      <c r="J1372" s="1" t="s">
        <v>87</v>
      </c>
      <c r="K1372" s="1" t="s">
        <v>112</v>
      </c>
      <c r="L1372" t="str">
        <f>VLOOKUP(D1372, Products!A:C, 3, FALSE)</f>
        <v>Sports</v>
      </c>
      <c r="M1372" t="str">
        <f>VLOOKUP(C1372, Customers!A:E, 5, FALSE)</f>
        <v>Retail</v>
      </c>
      <c r="N1372">
        <f>VLOOKUP(C1372, Customers!A:E, 3, FALSE)</f>
        <v>37</v>
      </c>
      <c r="O1372" s="93" t="str">
        <f>VLOOKUP(E1372, Sales_Reps!A:C, 3, FALSE)</f>
        <v>East</v>
      </c>
      <c r="P1372">
        <f>VLOOKUP(D1372, Products!A:E, 4, FALSE)</f>
        <v>2827</v>
      </c>
      <c r="Q1372">
        <f>IF(COUNTIF($A$2:A1372, A1372)=2, 1, 0)</f>
        <v>0</v>
      </c>
      <c r="R1372">
        <f>IF(ISNA(MATCH(C1372, Customers!$A:$A, 0)), 1, 0)</f>
        <v>0</v>
      </c>
      <c r="S1372" s="94" t="b">
        <f>VLOOKUP(D1372, Products!A:F, 6, FALSE)</f>
        <v>1</v>
      </c>
    </row>
    <row r="1373" spans="1:19">
      <c r="A1373" s="102" t="s">
        <v>1861</v>
      </c>
      <c r="B1373" s="2">
        <v>45395</v>
      </c>
      <c r="C1373" s="1" t="s">
        <v>905</v>
      </c>
      <c r="D1373" s="1" t="s">
        <v>502</v>
      </c>
      <c r="E1373" s="1" t="s">
        <v>285</v>
      </c>
      <c r="F1373" s="83">
        <v>2</v>
      </c>
      <c r="G1373" s="92">
        <v>1090</v>
      </c>
      <c r="H1373" s="3">
        <v>17</v>
      </c>
      <c r="I1373" s="3">
        <v>1809.4</v>
      </c>
      <c r="J1373" s="1" t="s">
        <v>87</v>
      </c>
      <c r="K1373" s="1" t="s">
        <v>112</v>
      </c>
      <c r="L1373" t="str">
        <f>VLOOKUP(D1373, Products!A:C, 3, FALSE)</f>
        <v>Home</v>
      </c>
      <c r="M1373" t="str">
        <f>VLOOKUP(C1373, Customers!A:E, 5, FALSE)</f>
        <v>SMB</v>
      </c>
      <c r="N1373">
        <f>VLOOKUP(C1373, Customers!A:E, 3, FALSE)</f>
        <v>43</v>
      </c>
      <c r="O1373" s="93" t="str">
        <f>VLOOKUP(E1373, Sales_Reps!A:C, 3, FALSE)</f>
        <v>East</v>
      </c>
      <c r="P1373">
        <f>VLOOKUP(D1373, Products!A:E, 4, FALSE)</f>
        <v>464</v>
      </c>
      <c r="Q1373">
        <f>IF(COUNTIF($A$2:A1373, A1373)=2, 1, 0)</f>
        <v>0</v>
      </c>
      <c r="R1373">
        <f>IF(ISNA(MATCH(C1373, Customers!$A:$A, 0)), 1, 0)</f>
        <v>0</v>
      </c>
      <c r="S1373" s="94" t="b">
        <f>VLOOKUP(D1373, Products!A:F, 6, FALSE)</f>
        <v>1</v>
      </c>
    </row>
    <row r="1374" spans="1:19">
      <c r="A1374" s="102" t="s">
        <v>1862</v>
      </c>
      <c r="B1374" s="2">
        <v>45486</v>
      </c>
      <c r="C1374" s="1" t="s">
        <v>785</v>
      </c>
      <c r="D1374" s="1" t="s">
        <v>367</v>
      </c>
      <c r="E1374" s="1" t="s">
        <v>128</v>
      </c>
      <c r="F1374" s="83">
        <v>4</v>
      </c>
      <c r="G1374" s="92">
        <v>2380</v>
      </c>
      <c r="H1374" s="3">
        <v>18.899999999999999</v>
      </c>
      <c r="I1374" s="3">
        <v>7720.72</v>
      </c>
      <c r="J1374" s="1" t="s">
        <v>93</v>
      </c>
      <c r="K1374" s="1" t="s">
        <v>88</v>
      </c>
      <c r="L1374" t="str">
        <f>VLOOKUP(D1374, Products!A:C, 3, FALSE)</f>
        <v>Grocery</v>
      </c>
      <c r="M1374" t="str">
        <f>VLOOKUP(C1374, Customers!A:E, 5, FALSE)</f>
        <v>Retail</v>
      </c>
      <c r="N1374">
        <f>VLOOKUP(C1374, Customers!A:E, 3, FALSE)</f>
        <v>31</v>
      </c>
      <c r="O1374" s="93" t="str">
        <f>VLOOKUP(E1374, Sales_Reps!A:C, 3, FALSE)</f>
        <v>West</v>
      </c>
      <c r="P1374">
        <f>VLOOKUP(D1374, Products!A:E, 4, FALSE)</f>
        <v>1182</v>
      </c>
      <c r="Q1374">
        <f>IF(COUNTIF($A$2:A1374, A1374)=2, 1, 0)</f>
        <v>0</v>
      </c>
      <c r="R1374">
        <f>IF(ISNA(MATCH(C1374, Customers!$A:$A, 0)), 1, 0)</f>
        <v>0</v>
      </c>
      <c r="S1374" s="94" t="b">
        <f>VLOOKUP(D1374, Products!A:F, 6, FALSE)</f>
        <v>1</v>
      </c>
    </row>
    <row r="1375" spans="1:19">
      <c r="A1375" s="102" t="s">
        <v>1863</v>
      </c>
      <c r="B1375" s="2">
        <v>45578</v>
      </c>
      <c r="C1375" s="1" t="s">
        <v>905</v>
      </c>
      <c r="D1375" s="1" t="s">
        <v>131</v>
      </c>
      <c r="E1375" s="1" t="s">
        <v>139</v>
      </c>
      <c r="F1375" s="83">
        <v>6</v>
      </c>
      <c r="G1375" s="92">
        <v>2270</v>
      </c>
      <c r="H1375" s="3">
        <v>20.9</v>
      </c>
      <c r="I1375" s="3">
        <v>10773.42</v>
      </c>
      <c r="J1375" s="1" t="s">
        <v>93</v>
      </c>
      <c r="K1375" s="1" t="s">
        <v>112</v>
      </c>
      <c r="L1375" t="str">
        <f>VLOOKUP(D1375, Products!A:C, 3, FALSE)</f>
        <v>Grocery</v>
      </c>
      <c r="M1375" t="str">
        <f>VLOOKUP(C1375, Customers!A:E, 5, FALSE)</f>
        <v>SMB</v>
      </c>
      <c r="N1375">
        <f>VLOOKUP(C1375, Customers!A:E, 3, FALSE)</f>
        <v>43</v>
      </c>
      <c r="O1375" s="93" t="str">
        <f>VLOOKUP(E1375, Sales_Reps!A:C, 3, FALSE)</f>
        <v>North</v>
      </c>
      <c r="P1375">
        <f>VLOOKUP(D1375, Products!A:E, 4, FALSE)</f>
        <v>1203</v>
      </c>
      <c r="Q1375">
        <f>IF(COUNTIF($A$2:A1375, A1375)=2, 1, 0)</f>
        <v>0</v>
      </c>
      <c r="R1375">
        <f>IF(ISNA(MATCH(C1375, Customers!$A:$A, 0)), 1, 0)</f>
        <v>0</v>
      </c>
      <c r="S1375" s="94" t="b">
        <f>VLOOKUP(D1375, Products!A:F, 6, FALSE)</f>
        <v>1</v>
      </c>
    </row>
    <row r="1376" spans="1:19">
      <c r="A1376" s="102" t="s">
        <v>1864</v>
      </c>
      <c r="B1376" s="2">
        <v>45581</v>
      </c>
      <c r="C1376" s="1" t="s">
        <v>816</v>
      </c>
      <c r="D1376" s="1" t="s">
        <v>295</v>
      </c>
      <c r="E1376" s="1" t="s">
        <v>121</v>
      </c>
      <c r="F1376" s="83">
        <v>10</v>
      </c>
      <c r="G1376" s="92">
        <v>2030</v>
      </c>
      <c r="H1376" s="3">
        <v>25</v>
      </c>
      <c r="I1376" s="3">
        <v>15225</v>
      </c>
      <c r="J1376" s="1" t="s">
        <v>87</v>
      </c>
      <c r="K1376" s="1" t="s">
        <v>88</v>
      </c>
      <c r="L1376" t="str">
        <f>VLOOKUP(D1376, Products!A:C, 3, FALSE)</f>
        <v>Home</v>
      </c>
      <c r="M1376" t="str">
        <f>VLOOKUP(C1376, Customers!A:E, 5, FALSE)</f>
        <v>Retail</v>
      </c>
      <c r="N1376">
        <f>VLOOKUP(C1376, Customers!A:E, 3, FALSE)</f>
        <v>36</v>
      </c>
      <c r="O1376" s="93" t="str">
        <f>VLOOKUP(E1376, Sales_Reps!A:C, 3, FALSE)</f>
        <v>East</v>
      </c>
      <c r="P1376">
        <f>VLOOKUP(D1376, Products!A:E, 4, FALSE)</f>
        <v>1143</v>
      </c>
      <c r="Q1376">
        <f>IF(COUNTIF($A$2:A1376, A1376)=2, 1, 0)</f>
        <v>0</v>
      </c>
      <c r="R1376">
        <f>IF(ISNA(MATCH(C1376, Customers!$A:$A, 0)), 1, 0)</f>
        <v>0</v>
      </c>
      <c r="S1376" s="94" t="b">
        <f>VLOOKUP(D1376, Products!A:F, 6, FALSE)</f>
        <v>1</v>
      </c>
    </row>
    <row r="1377" spans="1:19">
      <c r="A1377" s="102" t="s">
        <v>1865</v>
      </c>
      <c r="B1377" s="2">
        <v>45508</v>
      </c>
      <c r="C1377" s="1" t="s">
        <v>390</v>
      </c>
      <c r="D1377" s="1" t="s">
        <v>502</v>
      </c>
      <c r="E1377" s="1" t="s">
        <v>343</v>
      </c>
      <c r="F1377" s="83">
        <v>3</v>
      </c>
      <c r="G1377" s="92">
        <v>1090</v>
      </c>
      <c r="H1377" s="3">
        <v>12.1</v>
      </c>
      <c r="I1377" s="3">
        <v>2874.33</v>
      </c>
      <c r="J1377" s="1" t="s">
        <v>87</v>
      </c>
      <c r="K1377" s="1" t="s">
        <v>88</v>
      </c>
      <c r="L1377" t="str">
        <f>VLOOKUP(D1377, Products!A:C, 3, FALSE)</f>
        <v>Home</v>
      </c>
      <c r="M1377" t="str">
        <f>VLOOKUP(C1377, Customers!A:E, 5, FALSE)</f>
        <v>SMB</v>
      </c>
      <c r="N1377">
        <f>VLOOKUP(C1377, Customers!A:E, 3, FALSE)</f>
        <v>54</v>
      </c>
      <c r="O1377" s="93" t="str">
        <f>VLOOKUP(E1377, Sales_Reps!A:C, 3, FALSE)</f>
        <v>West</v>
      </c>
      <c r="P1377">
        <f>VLOOKUP(D1377, Products!A:E, 4, FALSE)</f>
        <v>464</v>
      </c>
      <c r="Q1377">
        <f>IF(COUNTIF($A$2:A1377, A1377)=2, 1, 0)</f>
        <v>0</v>
      </c>
      <c r="R1377">
        <f>IF(ISNA(MATCH(C1377, Customers!$A:$A, 0)), 1, 0)</f>
        <v>0</v>
      </c>
      <c r="S1377" s="94" t="b">
        <f>VLOOKUP(D1377, Products!A:F, 6, FALSE)</f>
        <v>1</v>
      </c>
    </row>
    <row r="1378" spans="1:19">
      <c r="A1378" s="102" t="s">
        <v>1866</v>
      </c>
      <c r="B1378" s="2">
        <v>45303</v>
      </c>
      <c r="C1378" s="1" t="s">
        <v>905</v>
      </c>
      <c r="D1378" s="1" t="s">
        <v>355</v>
      </c>
      <c r="E1378" s="1" t="s">
        <v>238</v>
      </c>
      <c r="F1378" s="83">
        <v>3</v>
      </c>
      <c r="G1378" s="92">
        <v>2510</v>
      </c>
      <c r="H1378" s="3">
        <v>28.7</v>
      </c>
      <c r="I1378" s="3">
        <v>5368.89</v>
      </c>
      <c r="J1378" s="1" t="s">
        <v>87</v>
      </c>
      <c r="K1378" s="1" t="s">
        <v>112</v>
      </c>
      <c r="L1378" t="str">
        <f>VLOOKUP(D1378, Products!A:C, 3, FALSE)</f>
        <v>Apparel</v>
      </c>
      <c r="M1378" t="str">
        <f>VLOOKUP(C1378, Customers!A:E, 5, FALSE)</f>
        <v>SMB</v>
      </c>
      <c r="N1378">
        <f>VLOOKUP(C1378, Customers!A:E, 3, FALSE)</f>
        <v>43</v>
      </c>
      <c r="O1378" s="93" t="str">
        <f>VLOOKUP(E1378, Sales_Reps!A:C, 3, FALSE)</f>
        <v>East</v>
      </c>
      <c r="P1378">
        <f>VLOOKUP(D1378, Products!A:E, 4, FALSE)</f>
        <v>1075</v>
      </c>
      <c r="Q1378">
        <f>IF(COUNTIF($A$2:A1378, A1378)=2, 1, 0)</f>
        <v>0</v>
      </c>
      <c r="R1378">
        <f>IF(ISNA(MATCH(C1378, Customers!$A:$A, 0)), 1, 0)</f>
        <v>0</v>
      </c>
      <c r="S1378" s="94" t="b">
        <f>VLOOKUP(D1378, Products!A:F, 6, FALSE)</f>
        <v>0</v>
      </c>
    </row>
    <row r="1379" spans="1:19">
      <c r="A1379" s="102" t="s">
        <v>1867</v>
      </c>
      <c r="B1379" s="2">
        <v>45412</v>
      </c>
      <c r="C1379" s="1" t="s">
        <v>1623</v>
      </c>
      <c r="D1379" s="1" t="s">
        <v>131</v>
      </c>
      <c r="E1379" s="1" t="s">
        <v>201</v>
      </c>
      <c r="F1379" s="83">
        <v>9</v>
      </c>
      <c r="G1379" s="92">
        <v>2270</v>
      </c>
      <c r="H1379" s="3">
        <v>25.4</v>
      </c>
      <c r="I1379" s="3">
        <v>15240.78</v>
      </c>
      <c r="J1379" s="1" t="s">
        <v>93</v>
      </c>
      <c r="K1379" s="1" t="s">
        <v>117</v>
      </c>
      <c r="L1379" t="str">
        <f>VLOOKUP(D1379, Products!A:C, 3, FALSE)</f>
        <v>Grocery</v>
      </c>
      <c r="M1379" t="str">
        <f>VLOOKUP(C1379, Customers!A:E, 5, FALSE)</f>
        <v>Retail</v>
      </c>
      <c r="N1379">
        <f>VLOOKUP(C1379, Customers!A:E, 3, FALSE)</f>
        <v>53</v>
      </c>
      <c r="O1379" s="93" t="str">
        <f>VLOOKUP(E1379, Sales_Reps!A:C, 3, FALSE)</f>
        <v>West</v>
      </c>
      <c r="P1379">
        <f>VLOOKUP(D1379, Products!A:E, 4, FALSE)</f>
        <v>1203</v>
      </c>
      <c r="Q1379">
        <f>IF(COUNTIF($A$2:A1379, A1379)=2, 1, 0)</f>
        <v>0</v>
      </c>
      <c r="R1379">
        <f>IF(ISNA(MATCH(C1379, Customers!$A:$A, 0)), 1, 0)</f>
        <v>0</v>
      </c>
      <c r="S1379" s="94" t="b">
        <f>VLOOKUP(D1379, Products!A:F, 6, FALSE)</f>
        <v>1</v>
      </c>
    </row>
    <row r="1380" spans="1:19">
      <c r="A1380" s="102" t="s">
        <v>1868</v>
      </c>
      <c r="B1380" s="2">
        <v>45400</v>
      </c>
      <c r="C1380" s="1" t="s">
        <v>101</v>
      </c>
      <c r="D1380" s="1" t="s">
        <v>408</v>
      </c>
      <c r="E1380" s="1" t="s">
        <v>229</v>
      </c>
      <c r="F1380" s="83">
        <v>9</v>
      </c>
      <c r="G1380" s="92">
        <v>3970</v>
      </c>
      <c r="H1380" s="3">
        <v>10.1</v>
      </c>
      <c r="I1380" s="3">
        <v>32121.27</v>
      </c>
      <c r="J1380" s="1" t="s">
        <v>140</v>
      </c>
      <c r="K1380" s="1" t="s">
        <v>99</v>
      </c>
      <c r="L1380" t="str">
        <f>VLOOKUP(D1380, Products!A:C, 3, FALSE)</f>
        <v>Electronics</v>
      </c>
      <c r="M1380" t="str">
        <f>VLOOKUP(C1380, Customers!A:E, 5, FALSE)</f>
        <v>Corporate</v>
      </c>
      <c r="N1380">
        <f>VLOOKUP(C1380, Customers!A:E, 3, FALSE)</f>
        <v>46</v>
      </c>
      <c r="O1380" s="93" t="str">
        <f>VLOOKUP(E1380, Sales_Reps!A:C, 3, FALSE)</f>
        <v>West</v>
      </c>
      <c r="P1380">
        <f>VLOOKUP(D1380, Products!A:E, 4, FALSE)</f>
        <v>2865</v>
      </c>
      <c r="Q1380">
        <f>IF(COUNTIF($A$2:A1380, A1380)=2, 1, 0)</f>
        <v>0</v>
      </c>
      <c r="R1380">
        <f>IF(ISNA(MATCH(C1380, Customers!$A:$A, 0)), 1, 0)</f>
        <v>0</v>
      </c>
      <c r="S1380" s="94" t="b">
        <f>VLOOKUP(D1380, Products!A:F, 6, FALSE)</f>
        <v>1</v>
      </c>
    </row>
    <row r="1381" spans="1:19">
      <c r="A1381" s="102" t="s">
        <v>1869</v>
      </c>
      <c r="B1381" s="2">
        <v>45570</v>
      </c>
      <c r="C1381" s="1" t="s">
        <v>617</v>
      </c>
      <c r="D1381" s="1" t="s">
        <v>338</v>
      </c>
      <c r="E1381" s="1" t="s">
        <v>98</v>
      </c>
      <c r="F1381" s="83">
        <v>6</v>
      </c>
      <c r="G1381" s="92">
        <v>2210</v>
      </c>
      <c r="H1381" s="3">
        <v>7.4</v>
      </c>
      <c r="I1381" s="3">
        <v>12278.76</v>
      </c>
      <c r="J1381" s="1" t="s">
        <v>87</v>
      </c>
      <c r="K1381" s="1" t="s">
        <v>112</v>
      </c>
      <c r="L1381" t="str">
        <f>VLOOKUP(D1381, Products!A:C, 3, FALSE)</f>
        <v>Grocery</v>
      </c>
      <c r="M1381" t="str">
        <f>VLOOKUP(C1381, Customers!A:E, 5, FALSE)</f>
        <v>SMB</v>
      </c>
      <c r="N1381">
        <f>VLOOKUP(C1381, Customers!A:E, 3, FALSE)</f>
        <v>65</v>
      </c>
      <c r="O1381" s="93" t="str">
        <f>VLOOKUP(E1381, Sales_Reps!A:C, 3, FALSE)</f>
        <v>South</v>
      </c>
      <c r="P1381">
        <f>VLOOKUP(D1381, Products!A:E, 4, FALSE)</f>
        <v>1010</v>
      </c>
      <c r="Q1381">
        <f>IF(COUNTIF($A$2:A1381, A1381)=2, 1, 0)</f>
        <v>0</v>
      </c>
      <c r="R1381">
        <f>IF(ISNA(MATCH(C1381, Customers!$A:$A, 0)), 1, 0)</f>
        <v>0</v>
      </c>
      <c r="S1381" s="94" t="b">
        <f>VLOOKUP(D1381, Products!A:F, 6, FALSE)</f>
        <v>1</v>
      </c>
    </row>
    <row r="1382" spans="1:19">
      <c r="A1382" s="102" t="s">
        <v>1870</v>
      </c>
      <c r="B1382" s="2">
        <v>45360</v>
      </c>
      <c r="C1382" s="1" t="s">
        <v>275</v>
      </c>
      <c r="D1382" s="1" t="s">
        <v>259</v>
      </c>
      <c r="E1382" s="1" t="s">
        <v>238</v>
      </c>
      <c r="F1382" s="83">
        <v>7</v>
      </c>
      <c r="G1382" s="92">
        <v>1540</v>
      </c>
      <c r="H1382" s="3">
        <v>20.6</v>
      </c>
      <c r="I1382" s="3">
        <v>8559.32</v>
      </c>
      <c r="J1382" s="1" t="s">
        <v>87</v>
      </c>
      <c r="K1382" s="1" t="s">
        <v>88</v>
      </c>
      <c r="L1382" t="str">
        <f>VLOOKUP(D1382, Products!A:C, 3, FALSE)</f>
        <v>Beauty</v>
      </c>
      <c r="M1382" t="str">
        <f>VLOOKUP(C1382, Customers!A:E, 5, FALSE)</f>
        <v>Retail</v>
      </c>
      <c r="N1382">
        <f>VLOOKUP(C1382, Customers!A:E, 3, FALSE)</f>
        <v>44</v>
      </c>
      <c r="O1382" s="93" t="str">
        <f>VLOOKUP(E1382, Sales_Reps!A:C, 3, FALSE)</f>
        <v>East</v>
      </c>
      <c r="P1382">
        <f>VLOOKUP(D1382, Products!A:E, 4, FALSE)</f>
        <v>647</v>
      </c>
      <c r="Q1382">
        <f>IF(COUNTIF($A$2:A1382, A1382)=2, 1, 0)</f>
        <v>0</v>
      </c>
      <c r="R1382">
        <f>IF(ISNA(MATCH(C1382, Customers!$A:$A, 0)), 1, 0)</f>
        <v>0</v>
      </c>
      <c r="S1382" s="94" t="b">
        <f>VLOOKUP(D1382, Products!A:F, 6, FALSE)</f>
        <v>0</v>
      </c>
    </row>
    <row r="1383" spans="1:19">
      <c r="A1383" s="102" t="s">
        <v>1871</v>
      </c>
      <c r="B1383" s="2">
        <v>45334</v>
      </c>
      <c r="C1383" s="1" t="s">
        <v>797</v>
      </c>
      <c r="D1383" s="1" t="s">
        <v>270</v>
      </c>
      <c r="E1383" s="1" t="s">
        <v>343</v>
      </c>
      <c r="F1383" s="83">
        <v>9</v>
      </c>
      <c r="G1383" s="92">
        <v>4610</v>
      </c>
      <c r="H1383" s="3">
        <v>2.1</v>
      </c>
      <c r="I1383" s="3">
        <v>40618.71</v>
      </c>
      <c r="J1383" s="1" t="s">
        <v>87</v>
      </c>
      <c r="K1383" s="1" t="s">
        <v>99</v>
      </c>
      <c r="L1383" t="str">
        <f>VLOOKUP(D1383, Products!A:C, 3, FALSE)</f>
        <v>Home</v>
      </c>
      <c r="M1383" t="str">
        <f>VLOOKUP(C1383, Customers!A:E, 5, FALSE)</f>
        <v>Retail</v>
      </c>
      <c r="N1383">
        <f>VLOOKUP(C1383, Customers!A:E, 3, FALSE)</f>
        <v>63</v>
      </c>
      <c r="O1383" s="93" t="str">
        <f>VLOOKUP(E1383, Sales_Reps!A:C, 3, FALSE)</f>
        <v>West</v>
      </c>
      <c r="P1383">
        <f>VLOOKUP(D1383, Products!A:E, 4, FALSE)</f>
        <v>1850</v>
      </c>
      <c r="Q1383">
        <f>IF(COUNTIF($A$2:A1383, A1383)=2, 1, 0)</f>
        <v>0</v>
      </c>
      <c r="R1383">
        <f>IF(ISNA(MATCH(C1383, Customers!$A:$A, 0)), 1, 0)</f>
        <v>0</v>
      </c>
      <c r="S1383" s="94" t="b">
        <f>VLOOKUP(D1383, Products!A:F, 6, FALSE)</f>
        <v>1</v>
      </c>
    </row>
    <row r="1384" spans="1:19">
      <c r="A1384" s="102" t="s">
        <v>1872</v>
      </c>
      <c r="B1384" s="2">
        <v>45527</v>
      </c>
      <c r="C1384" s="1" t="s">
        <v>729</v>
      </c>
      <c r="D1384" s="1" t="s">
        <v>408</v>
      </c>
      <c r="E1384" s="1" t="s">
        <v>297</v>
      </c>
      <c r="F1384" s="83">
        <v>10</v>
      </c>
      <c r="G1384" s="92">
        <v>3970</v>
      </c>
      <c r="H1384" s="3">
        <v>13.3</v>
      </c>
      <c r="I1384" s="3">
        <v>34419.9</v>
      </c>
      <c r="J1384" s="1" t="s">
        <v>93</v>
      </c>
      <c r="K1384" s="1" t="s">
        <v>112</v>
      </c>
      <c r="L1384" t="str">
        <f>VLOOKUP(D1384, Products!A:C, 3, FALSE)</f>
        <v>Electronics</v>
      </c>
      <c r="M1384" t="str">
        <f>VLOOKUP(C1384, Customers!A:E, 5, FALSE)</f>
        <v>Retail</v>
      </c>
      <c r="N1384">
        <f>VLOOKUP(C1384, Customers!A:E, 3, FALSE)</f>
        <v>56</v>
      </c>
      <c r="O1384" s="93" t="str">
        <f>VLOOKUP(E1384, Sales_Reps!A:C, 3, FALSE)</f>
        <v>North</v>
      </c>
      <c r="P1384">
        <f>VLOOKUP(D1384, Products!A:E, 4, FALSE)</f>
        <v>2865</v>
      </c>
      <c r="Q1384">
        <f>IF(COUNTIF($A$2:A1384, A1384)=2, 1, 0)</f>
        <v>0</v>
      </c>
      <c r="R1384">
        <f>IF(ISNA(MATCH(C1384, Customers!$A:$A, 0)), 1, 0)</f>
        <v>0</v>
      </c>
      <c r="S1384" s="94" t="b">
        <f>VLOOKUP(D1384, Products!A:F, 6, FALSE)</f>
        <v>1</v>
      </c>
    </row>
    <row r="1385" spans="1:19">
      <c r="A1385" s="102" t="s">
        <v>1873</v>
      </c>
      <c r="B1385" s="2">
        <v>45534</v>
      </c>
      <c r="C1385" s="1" t="s">
        <v>684</v>
      </c>
      <c r="D1385" s="1" t="s">
        <v>279</v>
      </c>
      <c r="E1385" s="1" t="s">
        <v>107</v>
      </c>
      <c r="F1385" s="83">
        <v>8</v>
      </c>
      <c r="G1385" s="92">
        <v>2660</v>
      </c>
      <c r="H1385" s="3">
        <v>16.8</v>
      </c>
      <c r="I1385" s="3">
        <v>17704.96</v>
      </c>
      <c r="J1385" s="1" t="s">
        <v>87</v>
      </c>
      <c r="K1385" s="1" t="s">
        <v>99</v>
      </c>
      <c r="L1385" t="str">
        <f>VLOOKUP(D1385, Products!A:C, 3, FALSE)</f>
        <v>Electronics</v>
      </c>
      <c r="M1385" t="str">
        <f>VLOOKUP(C1385, Customers!A:E, 5, FALSE)</f>
        <v>Retail</v>
      </c>
      <c r="N1385">
        <f>VLOOKUP(C1385, Customers!A:E, 3, FALSE)</f>
        <v>41</v>
      </c>
      <c r="O1385" s="93" t="str">
        <f>VLOOKUP(E1385, Sales_Reps!A:C, 3, FALSE)</f>
        <v>North</v>
      </c>
      <c r="P1385">
        <f>VLOOKUP(D1385, Products!A:E, 4, FALSE)</f>
        <v>1259</v>
      </c>
      <c r="Q1385">
        <f>IF(COUNTIF($A$2:A1385, A1385)=2, 1, 0)</f>
        <v>0</v>
      </c>
      <c r="R1385">
        <f>IF(ISNA(MATCH(C1385, Customers!$A:$A, 0)), 1, 0)</f>
        <v>0</v>
      </c>
      <c r="S1385" s="94" t="b">
        <f>VLOOKUP(D1385, Products!A:F, 6, FALSE)</f>
        <v>0</v>
      </c>
    </row>
    <row r="1386" spans="1:19">
      <c r="A1386" s="102" t="s">
        <v>1874</v>
      </c>
      <c r="B1386" s="2">
        <v>45329</v>
      </c>
      <c r="C1386" s="1" t="s">
        <v>1875</v>
      </c>
      <c r="D1386" s="1" t="s">
        <v>157</v>
      </c>
      <c r="E1386" s="1" t="s">
        <v>158</v>
      </c>
      <c r="F1386" s="83">
        <v>6</v>
      </c>
      <c r="G1386" s="92">
        <v>3450</v>
      </c>
      <c r="H1386" s="3">
        <v>23.4</v>
      </c>
      <c r="I1386" s="3">
        <v>15856.2</v>
      </c>
      <c r="J1386" s="1" t="s">
        <v>87</v>
      </c>
      <c r="K1386" s="1" t="s">
        <v>94</v>
      </c>
      <c r="L1386" t="str">
        <f>VLOOKUP(D1386, Products!A:C, 3, FALSE)</f>
        <v>Beauty</v>
      </c>
      <c r="M1386" t="str">
        <f>VLOOKUP(C1386, Customers!A:E, 5, FALSE)</f>
        <v>Corporate</v>
      </c>
      <c r="N1386">
        <f>VLOOKUP(C1386, Customers!A:E, 3, FALSE)</f>
        <v>54</v>
      </c>
      <c r="O1386" s="93" t="str">
        <f>VLOOKUP(E1386, Sales_Reps!A:C, 3, FALSE)</f>
        <v>East</v>
      </c>
      <c r="P1386">
        <f>VLOOKUP(D1386, Products!A:E, 4, FALSE)</f>
        <v>2420</v>
      </c>
      <c r="Q1386">
        <f>IF(COUNTIF($A$2:A1386, A1386)=2, 1, 0)</f>
        <v>0</v>
      </c>
      <c r="R1386">
        <f>IF(ISNA(MATCH(C1386, Customers!$A:$A, 0)), 1, 0)</f>
        <v>0</v>
      </c>
      <c r="S1386" s="94" t="b">
        <f>VLOOKUP(D1386, Products!A:F, 6, FALSE)</f>
        <v>1</v>
      </c>
    </row>
    <row r="1387" spans="1:19">
      <c r="A1387" s="102" t="s">
        <v>1876</v>
      </c>
      <c r="B1387" s="2">
        <v>45621</v>
      </c>
      <c r="C1387" s="1" t="s">
        <v>595</v>
      </c>
      <c r="D1387" s="1" t="s">
        <v>97</v>
      </c>
      <c r="E1387" s="1" t="s">
        <v>86</v>
      </c>
      <c r="F1387" s="83">
        <v>10</v>
      </c>
      <c r="G1387" s="92">
        <v>470</v>
      </c>
      <c r="H1387" s="3">
        <v>21.2</v>
      </c>
      <c r="I1387" s="3">
        <v>3703.6</v>
      </c>
      <c r="J1387" s="1" t="s">
        <v>87</v>
      </c>
      <c r="K1387" s="1" t="s">
        <v>99</v>
      </c>
      <c r="L1387" t="str">
        <f>VLOOKUP(D1387, Products!A:C, 3, FALSE)</f>
        <v>Sports</v>
      </c>
      <c r="M1387" t="str">
        <f>VLOOKUP(C1387, Customers!A:E, 5, FALSE)</f>
        <v>SMB</v>
      </c>
      <c r="N1387">
        <f>VLOOKUP(C1387, Customers!A:E, 3, FALSE)</f>
        <v>48</v>
      </c>
      <c r="O1387" s="93" t="str">
        <f>VLOOKUP(E1387, Sales_Reps!A:C, 3, FALSE)</f>
        <v>North</v>
      </c>
      <c r="P1387">
        <f>VLOOKUP(D1387, Products!A:E, 4, FALSE)</f>
        <v>302</v>
      </c>
      <c r="Q1387">
        <f>IF(COUNTIF($A$2:A1387, A1387)=2, 1, 0)</f>
        <v>0</v>
      </c>
      <c r="R1387">
        <f>IF(ISNA(MATCH(C1387, Customers!$A:$A, 0)), 1, 0)</f>
        <v>0</v>
      </c>
      <c r="S1387" s="94" t="b">
        <f>VLOOKUP(D1387, Products!A:F, 6, FALSE)</f>
        <v>0</v>
      </c>
    </row>
    <row r="1388" spans="1:19">
      <c r="A1388" s="102" t="s">
        <v>476</v>
      </c>
      <c r="B1388" s="2">
        <v>45334</v>
      </c>
      <c r="C1388" s="1" t="s">
        <v>413</v>
      </c>
      <c r="D1388" s="1" t="s">
        <v>461</v>
      </c>
      <c r="E1388" s="1" t="s">
        <v>285</v>
      </c>
      <c r="F1388" s="83">
        <v>7</v>
      </c>
      <c r="G1388" s="92">
        <v>3780</v>
      </c>
      <c r="H1388" s="3">
        <v>10.1</v>
      </c>
      <c r="I1388" s="3">
        <v>23787.54</v>
      </c>
      <c r="J1388" s="1" t="s">
        <v>87</v>
      </c>
      <c r="K1388" s="1" t="s">
        <v>88</v>
      </c>
      <c r="L1388" t="str">
        <f>VLOOKUP(D1388, Products!A:C, 3, FALSE)</f>
        <v>Sports</v>
      </c>
      <c r="M1388" t="str">
        <f>VLOOKUP(C1388, Customers!A:E, 5, FALSE)</f>
        <v>Retail</v>
      </c>
      <c r="N1388">
        <f>VLOOKUP(C1388, Customers!A:E, 3, FALSE)</f>
        <v>22</v>
      </c>
      <c r="O1388" s="93" t="str">
        <f>VLOOKUP(E1388, Sales_Reps!A:C, 3, FALSE)</f>
        <v>East</v>
      </c>
      <c r="P1388">
        <f>VLOOKUP(D1388, Products!A:E, 4, FALSE)</f>
        <v>1860</v>
      </c>
      <c r="Q1388">
        <f>IF(COUNTIF($A$2:A1388, A1388)=2, 1, 0)</f>
        <v>1</v>
      </c>
      <c r="R1388">
        <f>IF(ISNA(MATCH(C1388, Customers!$A:$A, 0)), 1, 0)</f>
        <v>0</v>
      </c>
      <c r="S1388" s="94" t="b">
        <f>VLOOKUP(D1388, Products!A:F, 6, FALSE)</f>
        <v>1</v>
      </c>
    </row>
    <row r="1389" spans="1:19">
      <c r="A1389" s="102" t="s">
        <v>1877</v>
      </c>
      <c r="B1389" s="2">
        <v>45324</v>
      </c>
      <c r="C1389" s="1" t="s">
        <v>983</v>
      </c>
      <c r="D1389" s="1" t="s">
        <v>85</v>
      </c>
      <c r="E1389" s="1" t="s">
        <v>343</v>
      </c>
      <c r="F1389" s="83">
        <v>3</v>
      </c>
      <c r="G1389" s="92">
        <v>3620</v>
      </c>
      <c r="H1389" s="3">
        <v>4.2</v>
      </c>
      <c r="I1389" s="3">
        <v>10403.879999999999</v>
      </c>
      <c r="J1389" s="1" t="s">
        <v>87</v>
      </c>
      <c r="K1389" s="1" t="s">
        <v>117</v>
      </c>
      <c r="L1389" t="str">
        <f>VLOOKUP(D1389, Products!A:C, 3, FALSE)</f>
        <v>Apparel</v>
      </c>
      <c r="M1389" t="str">
        <f>VLOOKUP(C1389, Customers!A:E, 5, FALSE)</f>
        <v>SMB</v>
      </c>
      <c r="N1389">
        <f>VLOOKUP(C1389, Customers!A:E, 3, FALSE)</f>
        <v>36</v>
      </c>
      <c r="O1389" s="93" t="str">
        <f>VLOOKUP(E1389, Sales_Reps!A:C, 3, FALSE)</f>
        <v>West</v>
      </c>
      <c r="P1389">
        <f>VLOOKUP(D1389, Products!A:E, 4, FALSE)</f>
        <v>2509</v>
      </c>
      <c r="Q1389">
        <f>IF(COUNTIF($A$2:A1389, A1389)=2, 1, 0)</f>
        <v>0</v>
      </c>
      <c r="R1389">
        <f>IF(ISNA(MATCH(C1389, Customers!$A:$A, 0)), 1, 0)</f>
        <v>0</v>
      </c>
      <c r="S1389" s="94" t="b">
        <f>VLOOKUP(D1389, Products!A:F, 6, FALSE)</f>
        <v>1</v>
      </c>
    </row>
    <row r="1390" spans="1:19">
      <c r="A1390" s="102" t="s">
        <v>1878</v>
      </c>
      <c r="B1390" s="2">
        <v>45541</v>
      </c>
      <c r="C1390" s="1" t="s">
        <v>263</v>
      </c>
      <c r="D1390" s="1" t="s">
        <v>380</v>
      </c>
      <c r="E1390" s="1" t="s">
        <v>128</v>
      </c>
      <c r="F1390" s="83">
        <v>7</v>
      </c>
      <c r="G1390" s="92">
        <v>960</v>
      </c>
      <c r="H1390" s="3">
        <v>9</v>
      </c>
      <c r="I1390" s="3">
        <v>6115.2</v>
      </c>
      <c r="J1390" s="1" t="s">
        <v>87</v>
      </c>
      <c r="K1390" s="1" t="s">
        <v>133</v>
      </c>
      <c r="L1390" t="str">
        <f>VLOOKUP(D1390, Products!A:C, 3, FALSE)</f>
        <v>Beauty</v>
      </c>
      <c r="M1390" t="str">
        <f>VLOOKUP(C1390, Customers!A:E, 5, FALSE)</f>
        <v>Retail</v>
      </c>
      <c r="N1390">
        <f>VLOOKUP(C1390, Customers!A:E, 3, FALSE)</f>
        <v>53</v>
      </c>
      <c r="O1390" s="93" t="str">
        <f>VLOOKUP(E1390, Sales_Reps!A:C, 3, FALSE)</f>
        <v>West</v>
      </c>
      <c r="P1390">
        <f>VLOOKUP(D1390, Products!A:E, 4, FALSE)</f>
        <v>675</v>
      </c>
      <c r="Q1390">
        <f>IF(COUNTIF($A$2:A1390, A1390)=2, 1, 0)</f>
        <v>0</v>
      </c>
      <c r="R1390">
        <f>IF(ISNA(MATCH(C1390, Customers!$A:$A, 0)), 1, 0)</f>
        <v>0</v>
      </c>
      <c r="S1390" s="94" t="b">
        <f>VLOOKUP(D1390, Products!A:F, 6, FALSE)</f>
        <v>1</v>
      </c>
    </row>
    <row r="1391" spans="1:19">
      <c r="A1391" s="102" t="s">
        <v>1879</v>
      </c>
      <c r="B1391" s="2">
        <v>45344</v>
      </c>
      <c r="C1391" s="1" t="s">
        <v>689</v>
      </c>
      <c r="D1391" s="1" t="s">
        <v>179</v>
      </c>
      <c r="E1391" s="1" t="s">
        <v>86</v>
      </c>
      <c r="F1391" s="83">
        <v>10</v>
      </c>
      <c r="G1391" s="92">
        <v>3350</v>
      </c>
      <c r="H1391" s="3">
        <v>1.2</v>
      </c>
      <c r="I1391" s="3">
        <v>33098</v>
      </c>
      <c r="J1391" s="1" t="s">
        <v>140</v>
      </c>
      <c r="K1391" s="1" t="s">
        <v>133</v>
      </c>
      <c r="L1391" t="str">
        <f>VLOOKUP(D1391, Products!A:C, 3, FALSE)</f>
        <v>Beauty</v>
      </c>
      <c r="M1391" t="str">
        <f>VLOOKUP(C1391, Customers!A:E, 5, FALSE)</f>
        <v>Retail</v>
      </c>
      <c r="N1391">
        <f>VLOOKUP(C1391, Customers!A:E, 3, FALSE)</f>
        <v>28</v>
      </c>
      <c r="O1391" s="93" t="str">
        <f>VLOOKUP(E1391, Sales_Reps!A:C, 3, FALSE)</f>
        <v>North</v>
      </c>
      <c r="P1391">
        <f>VLOOKUP(D1391, Products!A:E, 4, FALSE)</f>
        <v>1728</v>
      </c>
      <c r="Q1391">
        <f>IF(COUNTIF($A$2:A1391, A1391)=2, 1, 0)</f>
        <v>0</v>
      </c>
      <c r="R1391">
        <f>IF(ISNA(MATCH(C1391, Customers!$A:$A, 0)), 1, 0)</f>
        <v>0</v>
      </c>
      <c r="S1391" s="94" t="b">
        <f>VLOOKUP(D1391, Products!A:F, 6, FALSE)</f>
        <v>1</v>
      </c>
    </row>
    <row r="1392" spans="1:19">
      <c r="A1392" s="102" t="s">
        <v>1880</v>
      </c>
      <c r="B1392" s="2">
        <v>45388</v>
      </c>
      <c r="C1392" s="1" t="s">
        <v>359</v>
      </c>
      <c r="D1392" s="1" t="s">
        <v>151</v>
      </c>
      <c r="E1392" s="1" t="s">
        <v>170</v>
      </c>
      <c r="F1392" s="83">
        <v>3</v>
      </c>
      <c r="G1392" s="92">
        <v>2400</v>
      </c>
      <c r="H1392" s="3">
        <v>15.4</v>
      </c>
      <c r="I1392" s="3">
        <v>6091.2</v>
      </c>
      <c r="J1392" s="1" t="s">
        <v>87</v>
      </c>
      <c r="K1392" s="1" t="s">
        <v>99</v>
      </c>
      <c r="L1392" t="str">
        <f>VLOOKUP(D1392, Products!A:C, 3, FALSE)</f>
        <v>Sports</v>
      </c>
      <c r="M1392" t="str">
        <f>VLOOKUP(C1392, Customers!A:E, 5, FALSE)</f>
        <v>SMB</v>
      </c>
      <c r="N1392">
        <f>VLOOKUP(C1392, Customers!A:E, 3, FALSE)</f>
        <v>28</v>
      </c>
      <c r="O1392" s="93" t="str">
        <f>VLOOKUP(E1392, Sales_Reps!A:C, 3, FALSE)</f>
        <v>West</v>
      </c>
      <c r="P1392">
        <f>VLOOKUP(D1392, Products!A:E, 4, FALSE)</f>
        <v>974</v>
      </c>
      <c r="Q1392">
        <f>IF(COUNTIF($A$2:A1392, A1392)=2, 1, 0)</f>
        <v>0</v>
      </c>
      <c r="R1392">
        <f>IF(ISNA(MATCH(C1392, Customers!$A:$A, 0)), 1, 0)</f>
        <v>0</v>
      </c>
      <c r="S1392" s="94" t="b">
        <f>VLOOKUP(D1392, Products!A:F, 6, FALSE)</f>
        <v>1</v>
      </c>
    </row>
    <row r="1393" spans="1:19">
      <c r="A1393" s="102" t="s">
        <v>1881</v>
      </c>
      <c r="B1393" s="2">
        <v>45407</v>
      </c>
      <c r="C1393" s="1" t="s">
        <v>759</v>
      </c>
      <c r="D1393" s="1" t="s">
        <v>195</v>
      </c>
      <c r="E1393" s="1" t="s">
        <v>297</v>
      </c>
      <c r="F1393" s="83">
        <v>2</v>
      </c>
      <c r="G1393" s="92">
        <v>2860</v>
      </c>
      <c r="H1393" s="3">
        <v>10.5</v>
      </c>
      <c r="I1393" s="3">
        <v>5119.3999999999996</v>
      </c>
      <c r="J1393" s="1" t="s">
        <v>87</v>
      </c>
      <c r="K1393" s="1" t="s">
        <v>117</v>
      </c>
      <c r="L1393" t="str">
        <f>VLOOKUP(D1393, Products!A:C, 3, FALSE)</f>
        <v>Sports</v>
      </c>
      <c r="M1393" t="str">
        <f>VLOOKUP(C1393, Customers!A:E, 5, FALSE)</f>
        <v>Retail</v>
      </c>
      <c r="N1393">
        <f>VLOOKUP(C1393, Customers!A:E, 3, FALSE)</f>
        <v>29</v>
      </c>
      <c r="O1393" s="93" t="str">
        <f>VLOOKUP(E1393, Sales_Reps!A:C, 3, FALSE)</f>
        <v>North</v>
      </c>
      <c r="P1393">
        <f>VLOOKUP(D1393, Products!A:E, 4, FALSE)</f>
        <v>2028</v>
      </c>
      <c r="Q1393">
        <f>IF(COUNTIF($A$2:A1393, A1393)=2, 1, 0)</f>
        <v>0</v>
      </c>
      <c r="R1393">
        <f>IF(ISNA(MATCH(C1393, Customers!$A:$A, 0)), 1, 0)</f>
        <v>0</v>
      </c>
      <c r="S1393" s="94" t="b">
        <f>VLOOKUP(D1393, Products!A:F, 6, FALSE)</f>
        <v>1</v>
      </c>
    </row>
    <row r="1394" spans="1:19">
      <c r="A1394" s="102" t="s">
        <v>1882</v>
      </c>
      <c r="B1394" s="2">
        <v>45620</v>
      </c>
      <c r="C1394" s="1" t="s">
        <v>700</v>
      </c>
      <c r="D1394" s="1" t="s">
        <v>386</v>
      </c>
      <c r="E1394" s="1" t="s">
        <v>107</v>
      </c>
      <c r="F1394" s="83">
        <v>4</v>
      </c>
      <c r="G1394" s="92">
        <v>2290</v>
      </c>
      <c r="H1394" s="3">
        <v>5.9</v>
      </c>
      <c r="I1394" s="3">
        <v>8619.56</v>
      </c>
      <c r="J1394" s="1" t="s">
        <v>87</v>
      </c>
      <c r="K1394" s="1" t="s">
        <v>94</v>
      </c>
      <c r="L1394" t="str">
        <f>VLOOKUP(D1394, Products!A:C, 3, FALSE)</f>
        <v>Beauty</v>
      </c>
      <c r="M1394" t="str">
        <f>VLOOKUP(C1394, Customers!A:E, 5, FALSE)</f>
        <v>SMB</v>
      </c>
      <c r="N1394">
        <f>VLOOKUP(C1394, Customers!A:E, 3, FALSE)</f>
        <v>46</v>
      </c>
      <c r="O1394" s="93" t="str">
        <f>VLOOKUP(E1394, Sales_Reps!A:C, 3, FALSE)</f>
        <v>North</v>
      </c>
      <c r="P1394">
        <f>VLOOKUP(D1394, Products!A:E, 4, FALSE)</f>
        <v>1219</v>
      </c>
      <c r="Q1394">
        <f>IF(COUNTIF($A$2:A1394, A1394)=2, 1, 0)</f>
        <v>0</v>
      </c>
      <c r="R1394">
        <f>IF(ISNA(MATCH(C1394, Customers!$A:$A, 0)), 1, 0)</f>
        <v>0</v>
      </c>
      <c r="S1394" s="94" t="b">
        <f>VLOOKUP(D1394, Products!A:F, 6, FALSE)</f>
        <v>1</v>
      </c>
    </row>
    <row r="1395" spans="1:19">
      <c r="A1395" s="102" t="s">
        <v>1883</v>
      </c>
      <c r="B1395" s="2">
        <v>45499</v>
      </c>
      <c r="C1395" s="1" t="s">
        <v>392</v>
      </c>
      <c r="D1395" s="1" t="s">
        <v>364</v>
      </c>
      <c r="E1395" s="1" t="s">
        <v>154</v>
      </c>
      <c r="F1395" s="83">
        <v>7</v>
      </c>
      <c r="G1395" s="92">
        <v>5330</v>
      </c>
      <c r="H1395" s="3">
        <v>3.5</v>
      </c>
      <c r="I1395" s="3">
        <v>36004.15</v>
      </c>
      <c r="J1395" s="1" t="s">
        <v>140</v>
      </c>
      <c r="K1395" s="1" t="s">
        <v>112</v>
      </c>
      <c r="L1395" t="str">
        <f>VLOOKUP(D1395, Products!A:C, 3, FALSE)</f>
        <v>Electronics</v>
      </c>
      <c r="M1395" t="str">
        <f>VLOOKUP(C1395, Customers!A:E, 5, FALSE)</f>
        <v>Retail</v>
      </c>
      <c r="N1395">
        <f>VLOOKUP(C1395, Customers!A:E, 3, FALSE)</f>
        <v>50</v>
      </c>
      <c r="O1395" s="93" t="str">
        <f>VLOOKUP(E1395, Sales_Reps!A:C, 3, FALSE)</f>
        <v>East</v>
      </c>
      <c r="P1395">
        <f>VLOOKUP(D1395, Products!A:E, 4, FALSE)</f>
        <v>2405</v>
      </c>
      <c r="Q1395">
        <f>IF(COUNTIF($A$2:A1395, A1395)=2, 1, 0)</f>
        <v>0</v>
      </c>
      <c r="R1395">
        <f>IF(ISNA(MATCH(C1395, Customers!$A:$A, 0)), 1, 0)</f>
        <v>0</v>
      </c>
      <c r="S1395" s="94" t="b">
        <f>VLOOKUP(D1395, Products!A:F, 6, FALSE)</f>
        <v>1</v>
      </c>
    </row>
    <row r="1396" spans="1:19">
      <c r="A1396" s="102" t="s">
        <v>1884</v>
      </c>
      <c r="B1396" s="2">
        <v>45585</v>
      </c>
      <c r="C1396" s="1" t="s">
        <v>301</v>
      </c>
      <c r="D1396" s="1" t="s">
        <v>237</v>
      </c>
      <c r="E1396" s="1" t="s">
        <v>303</v>
      </c>
      <c r="F1396" s="83">
        <v>10</v>
      </c>
      <c r="G1396" s="92">
        <v>3640</v>
      </c>
      <c r="H1396" s="3">
        <v>20.100000000000001</v>
      </c>
      <c r="I1396" s="3">
        <v>29083.599999999999</v>
      </c>
      <c r="J1396" s="1" t="s">
        <v>87</v>
      </c>
      <c r="K1396" s="1" t="s">
        <v>94</v>
      </c>
      <c r="L1396" t="str">
        <f>VLOOKUP(D1396, Products!A:C, 3, FALSE)</f>
        <v>Apparel</v>
      </c>
      <c r="M1396" t="str">
        <f>VLOOKUP(C1396, Customers!A:E, 5, FALSE)</f>
        <v>Retail</v>
      </c>
      <c r="N1396">
        <f>VLOOKUP(C1396, Customers!A:E, 3, FALSE)</f>
        <v>41</v>
      </c>
      <c r="O1396" s="93" t="str">
        <f>VLOOKUP(E1396, Sales_Reps!A:C, 3, FALSE)</f>
        <v>East</v>
      </c>
      <c r="P1396">
        <f>VLOOKUP(D1396, Products!A:E, 4, FALSE)</f>
        <v>2611</v>
      </c>
      <c r="Q1396">
        <f>IF(COUNTIF($A$2:A1396, A1396)=2, 1, 0)</f>
        <v>0</v>
      </c>
      <c r="R1396">
        <f>IF(ISNA(MATCH(C1396, Customers!$A:$A, 0)), 1, 0)</f>
        <v>0</v>
      </c>
      <c r="S1396" s="94" t="b">
        <f>VLOOKUP(D1396, Products!A:F, 6, FALSE)</f>
        <v>1</v>
      </c>
    </row>
    <row r="1397" spans="1:19">
      <c r="A1397" s="102" t="s">
        <v>1885</v>
      </c>
      <c r="B1397" s="2">
        <v>45633</v>
      </c>
      <c r="C1397" s="1" t="s">
        <v>206</v>
      </c>
      <c r="D1397" s="1" t="s">
        <v>443</v>
      </c>
      <c r="E1397" s="1" t="s">
        <v>116</v>
      </c>
      <c r="F1397" s="83">
        <v>10</v>
      </c>
      <c r="G1397" s="92">
        <v>5080</v>
      </c>
      <c r="H1397" s="3">
        <v>2.1</v>
      </c>
      <c r="I1397" s="3">
        <v>49733.2</v>
      </c>
      <c r="J1397" s="1" t="s">
        <v>87</v>
      </c>
      <c r="K1397" s="1" t="s">
        <v>133</v>
      </c>
      <c r="L1397" t="str">
        <f>VLOOKUP(D1397, Products!A:C, 3, FALSE)</f>
        <v>Home</v>
      </c>
      <c r="M1397" t="str">
        <f>VLOOKUP(C1397, Customers!A:E, 5, FALSE)</f>
        <v>SMB</v>
      </c>
      <c r="N1397">
        <f>VLOOKUP(C1397, Customers!A:E, 3, FALSE)</f>
        <v>40</v>
      </c>
      <c r="O1397" s="93" t="str">
        <f>VLOOKUP(E1397, Sales_Reps!A:C, 3, FALSE)</f>
        <v>West</v>
      </c>
      <c r="P1397">
        <f>VLOOKUP(D1397, Products!A:E, 4, FALSE)</f>
        <v>2459</v>
      </c>
      <c r="Q1397">
        <f>IF(COUNTIF($A$2:A1397, A1397)=2, 1, 0)</f>
        <v>0</v>
      </c>
      <c r="R1397">
        <f>IF(ISNA(MATCH(C1397, Customers!$A:$A, 0)), 1, 0)</f>
        <v>0</v>
      </c>
      <c r="S1397" s="94" t="b">
        <f>VLOOKUP(D1397, Products!A:F, 6, FALSE)</f>
        <v>1</v>
      </c>
    </row>
    <row r="1398" spans="1:19">
      <c r="A1398" s="102" t="s">
        <v>1886</v>
      </c>
      <c r="B1398" s="2">
        <v>45517</v>
      </c>
      <c r="C1398" s="1" t="s">
        <v>725</v>
      </c>
      <c r="D1398" s="1" t="s">
        <v>502</v>
      </c>
      <c r="E1398" s="1" t="s">
        <v>303</v>
      </c>
      <c r="F1398" s="83">
        <v>4</v>
      </c>
      <c r="G1398" s="92">
        <v>1090</v>
      </c>
      <c r="H1398" s="3">
        <v>18.5</v>
      </c>
      <c r="I1398" s="3">
        <v>3553.4</v>
      </c>
      <c r="J1398" s="1" t="s">
        <v>144</v>
      </c>
      <c r="K1398" s="1" t="s">
        <v>99</v>
      </c>
      <c r="L1398" t="str">
        <f>VLOOKUP(D1398, Products!A:C, 3, FALSE)</f>
        <v>Home</v>
      </c>
      <c r="M1398" t="str">
        <f>VLOOKUP(C1398, Customers!A:E, 5, FALSE)</f>
        <v>SMB</v>
      </c>
      <c r="N1398">
        <f>VLOOKUP(C1398, Customers!A:E, 3, FALSE)</f>
        <v>26</v>
      </c>
      <c r="O1398" s="93" t="str">
        <f>VLOOKUP(E1398, Sales_Reps!A:C, 3, FALSE)</f>
        <v>East</v>
      </c>
      <c r="P1398">
        <f>VLOOKUP(D1398, Products!A:E, 4, FALSE)</f>
        <v>464</v>
      </c>
      <c r="Q1398">
        <f>IF(COUNTIF($A$2:A1398, A1398)=2, 1, 0)</f>
        <v>0</v>
      </c>
      <c r="R1398">
        <f>IF(ISNA(MATCH(C1398, Customers!$A:$A, 0)), 1, 0)</f>
        <v>0</v>
      </c>
      <c r="S1398" s="94" t="b">
        <f>VLOOKUP(D1398, Products!A:F, 6, FALSE)</f>
        <v>1</v>
      </c>
    </row>
    <row r="1399" spans="1:19">
      <c r="A1399" s="102" t="s">
        <v>1887</v>
      </c>
      <c r="B1399" s="2">
        <v>45645</v>
      </c>
      <c r="C1399" s="1" t="s">
        <v>570</v>
      </c>
      <c r="D1399" s="1" t="s">
        <v>157</v>
      </c>
      <c r="E1399" s="1" t="s">
        <v>170</v>
      </c>
      <c r="F1399" s="83">
        <v>10</v>
      </c>
      <c r="G1399" s="92">
        <v>3450</v>
      </c>
      <c r="H1399" s="3">
        <v>26.5</v>
      </c>
      <c r="I1399" s="3">
        <v>25357.5</v>
      </c>
      <c r="J1399" s="1" t="s">
        <v>144</v>
      </c>
      <c r="K1399" s="1" t="s">
        <v>99</v>
      </c>
      <c r="L1399" t="str">
        <f>VLOOKUP(D1399, Products!A:C, 3, FALSE)</f>
        <v>Beauty</v>
      </c>
      <c r="M1399" t="str">
        <f>VLOOKUP(C1399, Customers!A:E, 5, FALSE)</f>
        <v>Corporate</v>
      </c>
      <c r="N1399">
        <f>VLOOKUP(C1399, Customers!A:E, 3, FALSE)</f>
        <v>47</v>
      </c>
      <c r="O1399" s="93" t="str">
        <f>VLOOKUP(E1399, Sales_Reps!A:C, 3, FALSE)</f>
        <v>West</v>
      </c>
      <c r="P1399">
        <f>VLOOKUP(D1399, Products!A:E, 4, FALSE)</f>
        <v>2420</v>
      </c>
      <c r="Q1399">
        <f>IF(COUNTIF($A$2:A1399, A1399)=2, 1, 0)</f>
        <v>0</v>
      </c>
      <c r="R1399">
        <f>IF(ISNA(MATCH(C1399, Customers!$A:$A, 0)), 1, 0)</f>
        <v>0</v>
      </c>
      <c r="S1399" s="94" t="b">
        <f>VLOOKUP(D1399, Products!A:F, 6, FALSE)</f>
        <v>1</v>
      </c>
    </row>
    <row r="1400" spans="1:19">
      <c r="A1400" s="102" t="s">
        <v>1888</v>
      </c>
      <c r="B1400" s="2">
        <v>45483</v>
      </c>
      <c r="C1400" s="1" t="s">
        <v>263</v>
      </c>
      <c r="D1400" s="1" t="s">
        <v>360</v>
      </c>
      <c r="E1400" s="1" t="s">
        <v>204</v>
      </c>
      <c r="F1400" s="83">
        <v>9</v>
      </c>
      <c r="G1400" s="92">
        <v>5410</v>
      </c>
      <c r="H1400" s="3">
        <v>11.5</v>
      </c>
      <c r="I1400" s="3">
        <v>43090.65</v>
      </c>
      <c r="J1400" s="1" t="s">
        <v>87</v>
      </c>
      <c r="K1400" s="1" t="s">
        <v>133</v>
      </c>
      <c r="L1400" t="str">
        <f>VLOOKUP(D1400, Products!A:C, 3, FALSE)</f>
        <v>Sports</v>
      </c>
      <c r="M1400" t="str">
        <f>VLOOKUP(C1400, Customers!A:E, 5, FALSE)</f>
        <v>Retail</v>
      </c>
      <c r="N1400">
        <f>VLOOKUP(C1400, Customers!A:E, 3, FALSE)</f>
        <v>53</v>
      </c>
      <c r="O1400" s="93" t="str">
        <f>VLOOKUP(E1400, Sales_Reps!A:C, 3, FALSE)</f>
        <v>South</v>
      </c>
      <c r="P1400">
        <f>VLOOKUP(D1400, Products!A:E, 4, FALSE)</f>
        <v>2265</v>
      </c>
      <c r="Q1400">
        <f>IF(COUNTIF($A$2:A1400, A1400)=2, 1, 0)</f>
        <v>0</v>
      </c>
      <c r="R1400">
        <f>IF(ISNA(MATCH(C1400, Customers!$A:$A, 0)), 1, 0)</f>
        <v>0</v>
      </c>
      <c r="S1400" s="94" t="b">
        <f>VLOOKUP(D1400, Products!A:F, 6, FALSE)</f>
        <v>1</v>
      </c>
    </row>
    <row r="1401" spans="1:19">
      <c r="A1401" s="102" t="s">
        <v>1889</v>
      </c>
      <c r="B1401" s="2">
        <v>45445</v>
      </c>
      <c r="C1401" s="1" t="s">
        <v>1890</v>
      </c>
      <c r="D1401" s="1" t="s">
        <v>452</v>
      </c>
      <c r="E1401" s="1" t="s">
        <v>170</v>
      </c>
      <c r="F1401" s="83">
        <v>9</v>
      </c>
      <c r="G1401" s="92">
        <v>3450</v>
      </c>
      <c r="H1401" s="3">
        <v>0.3</v>
      </c>
      <c r="I1401" s="3">
        <v>30956.85</v>
      </c>
      <c r="J1401" s="1" t="s">
        <v>144</v>
      </c>
      <c r="K1401" s="1" t="s">
        <v>133</v>
      </c>
      <c r="L1401" t="str">
        <f>VLOOKUP(D1401, Products!A:C, 3, FALSE)</f>
        <v>Apparel</v>
      </c>
      <c r="M1401" t="str">
        <f>VLOOKUP(C1401, Customers!A:E, 5, FALSE)</f>
        <v>SMB</v>
      </c>
      <c r="N1401">
        <f>VLOOKUP(C1401, Customers!A:E, 3, FALSE)</f>
        <v>34</v>
      </c>
      <c r="O1401" s="93" t="str">
        <f>VLOOKUP(E1401, Sales_Reps!A:C, 3, FALSE)</f>
        <v>West</v>
      </c>
      <c r="P1401">
        <f>VLOOKUP(D1401, Products!A:E, 4, FALSE)</f>
        <v>1748</v>
      </c>
      <c r="Q1401">
        <f>IF(COUNTIF($A$2:A1401, A1401)=2, 1, 0)</f>
        <v>0</v>
      </c>
      <c r="R1401">
        <f>IF(ISNA(MATCH(C1401, Customers!$A:$A, 0)), 1, 0)</f>
        <v>0</v>
      </c>
      <c r="S1401" s="94" t="b">
        <f>VLOOKUP(D1401, Products!A:F, 6, FALSE)</f>
        <v>1</v>
      </c>
    </row>
    <row r="1402" spans="1:19">
      <c r="A1402" s="102" t="s">
        <v>1891</v>
      </c>
      <c r="B1402" s="2">
        <v>45614</v>
      </c>
      <c r="C1402" s="1" t="s">
        <v>457</v>
      </c>
      <c r="D1402" s="1" t="s">
        <v>106</v>
      </c>
      <c r="E1402" s="1" t="s">
        <v>111</v>
      </c>
      <c r="F1402" s="83">
        <v>10</v>
      </c>
      <c r="G1402" s="92">
        <v>3160</v>
      </c>
      <c r="H1402" s="3">
        <v>13.6</v>
      </c>
      <c r="I1402" s="3">
        <v>27302.400000000001</v>
      </c>
      <c r="J1402" s="1" t="s">
        <v>87</v>
      </c>
      <c r="K1402" s="1" t="s">
        <v>88</v>
      </c>
      <c r="L1402" t="str">
        <f>VLOOKUP(D1402, Products!A:C, 3, FALSE)</f>
        <v>Apparel</v>
      </c>
      <c r="M1402" t="str">
        <f>VLOOKUP(C1402, Customers!A:E, 5, FALSE)</f>
        <v>Retail</v>
      </c>
      <c r="N1402">
        <f>VLOOKUP(C1402, Customers!A:E, 3, FALSE)</f>
        <v>29</v>
      </c>
      <c r="O1402" s="93" t="str">
        <f>VLOOKUP(E1402, Sales_Reps!A:C, 3, FALSE)</f>
        <v>West</v>
      </c>
      <c r="P1402">
        <f>VLOOKUP(D1402, Products!A:E, 4, FALSE)</f>
        <v>1886</v>
      </c>
      <c r="Q1402">
        <f>IF(COUNTIF($A$2:A1402, A1402)=2, 1, 0)</f>
        <v>0</v>
      </c>
      <c r="R1402">
        <f>IF(ISNA(MATCH(C1402, Customers!$A:$A, 0)), 1, 0)</f>
        <v>0</v>
      </c>
      <c r="S1402" s="94" t="b">
        <f>VLOOKUP(D1402, Products!A:F, 6, FALSE)</f>
        <v>1</v>
      </c>
    </row>
    <row r="1403" spans="1:19">
      <c r="A1403" s="102" t="s">
        <v>1892</v>
      </c>
      <c r="B1403" s="2">
        <v>45433</v>
      </c>
      <c r="C1403" s="1" t="s">
        <v>119</v>
      </c>
      <c r="D1403" s="1" t="s">
        <v>259</v>
      </c>
      <c r="E1403" s="1" t="s">
        <v>201</v>
      </c>
      <c r="F1403" s="83">
        <v>3</v>
      </c>
      <c r="G1403" s="92">
        <v>1540</v>
      </c>
      <c r="H1403" s="3">
        <v>21.2</v>
      </c>
      <c r="I1403" s="3">
        <v>3640.56</v>
      </c>
      <c r="J1403" s="1" t="s">
        <v>87</v>
      </c>
      <c r="K1403" s="1" t="s">
        <v>117</v>
      </c>
      <c r="L1403" t="str">
        <f>VLOOKUP(D1403, Products!A:C, 3, FALSE)</f>
        <v>Beauty</v>
      </c>
      <c r="M1403" t="str">
        <f>VLOOKUP(C1403, Customers!A:E, 5, FALSE)</f>
        <v>Corporate</v>
      </c>
      <c r="N1403">
        <f>VLOOKUP(C1403, Customers!A:E, 3, FALSE)</f>
        <v>57</v>
      </c>
      <c r="O1403" s="93" t="str">
        <f>VLOOKUP(E1403, Sales_Reps!A:C, 3, FALSE)</f>
        <v>West</v>
      </c>
      <c r="P1403">
        <f>VLOOKUP(D1403, Products!A:E, 4, FALSE)</f>
        <v>647</v>
      </c>
      <c r="Q1403">
        <f>IF(COUNTIF($A$2:A1403, A1403)=2, 1, 0)</f>
        <v>0</v>
      </c>
      <c r="R1403">
        <f>IF(ISNA(MATCH(C1403, Customers!$A:$A, 0)), 1, 0)</f>
        <v>0</v>
      </c>
      <c r="S1403" s="94" t="b">
        <f>VLOOKUP(D1403, Products!A:F, 6, FALSE)</f>
        <v>0</v>
      </c>
    </row>
    <row r="1404" spans="1:19">
      <c r="A1404" s="102" t="s">
        <v>1893</v>
      </c>
      <c r="B1404" s="2">
        <v>45402</v>
      </c>
      <c r="C1404" s="1" t="s">
        <v>390</v>
      </c>
      <c r="D1404" s="1" t="s">
        <v>237</v>
      </c>
      <c r="E1404" s="1" t="s">
        <v>285</v>
      </c>
      <c r="F1404" s="83">
        <v>5</v>
      </c>
      <c r="G1404" s="92">
        <v>3640</v>
      </c>
      <c r="H1404" s="3">
        <v>17.5</v>
      </c>
      <c r="I1404" s="3">
        <v>15015</v>
      </c>
      <c r="J1404" s="1" t="s">
        <v>87</v>
      </c>
      <c r="K1404" s="1" t="s">
        <v>88</v>
      </c>
      <c r="L1404" t="str">
        <f>VLOOKUP(D1404, Products!A:C, 3, FALSE)</f>
        <v>Apparel</v>
      </c>
      <c r="M1404" t="str">
        <f>VLOOKUP(C1404, Customers!A:E, 5, FALSE)</f>
        <v>SMB</v>
      </c>
      <c r="N1404">
        <f>VLOOKUP(C1404, Customers!A:E, 3, FALSE)</f>
        <v>54</v>
      </c>
      <c r="O1404" s="93" t="str">
        <f>VLOOKUP(E1404, Sales_Reps!A:C, 3, FALSE)</f>
        <v>East</v>
      </c>
      <c r="P1404">
        <f>VLOOKUP(D1404, Products!A:E, 4, FALSE)</f>
        <v>2611</v>
      </c>
      <c r="Q1404">
        <f>IF(COUNTIF($A$2:A1404, A1404)=2, 1, 0)</f>
        <v>0</v>
      </c>
      <c r="R1404">
        <f>IF(ISNA(MATCH(C1404, Customers!$A:$A, 0)), 1, 0)</f>
        <v>0</v>
      </c>
      <c r="S1404" s="94" t="b">
        <f>VLOOKUP(D1404, Products!A:F, 6, FALSE)</f>
        <v>1</v>
      </c>
    </row>
    <row r="1405" spans="1:19">
      <c r="A1405" s="102" t="s">
        <v>1894</v>
      </c>
      <c r="B1405" s="2">
        <v>45302</v>
      </c>
      <c r="C1405" s="1" t="s">
        <v>130</v>
      </c>
      <c r="D1405" s="1" t="s">
        <v>461</v>
      </c>
      <c r="E1405" s="1" t="s">
        <v>297</v>
      </c>
      <c r="F1405" s="83">
        <v>4</v>
      </c>
      <c r="G1405" s="92">
        <v>3780</v>
      </c>
      <c r="H1405" s="3">
        <v>9</v>
      </c>
      <c r="I1405" s="3">
        <v>13759.2</v>
      </c>
      <c r="J1405" s="1" t="s">
        <v>93</v>
      </c>
      <c r="K1405" s="1" t="s">
        <v>133</v>
      </c>
      <c r="L1405" t="str">
        <f>VLOOKUP(D1405, Products!A:C, 3, FALSE)</f>
        <v>Sports</v>
      </c>
      <c r="M1405" t="str">
        <f>VLOOKUP(C1405, Customers!A:E, 5, FALSE)</f>
        <v>Retail</v>
      </c>
      <c r="N1405">
        <f>VLOOKUP(C1405, Customers!A:E, 3, FALSE)</f>
        <v>60</v>
      </c>
      <c r="O1405" s="93" t="str">
        <f>VLOOKUP(E1405, Sales_Reps!A:C, 3, FALSE)</f>
        <v>North</v>
      </c>
      <c r="P1405">
        <f>VLOOKUP(D1405, Products!A:E, 4, FALSE)</f>
        <v>1860</v>
      </c>
      <c r="Q1405">
        <f>IF(COUNTIF($A$2:A1405, A1405)=2, 1, 0)</f>
        <v>0</v>
      </c>
      <c r="R1405">
        <f>IF(ISNA(MATCH(C1405, Customers!$A:$A, 0)), 1, 0)</f>
        <v>0</v>
      </c>
      <c r="S1405" s="94" t="b">
        <f>VLOOKUP(D1405, Products!A:F, 6, FALSE)</f>
        <v>1</v>
      </c>
    </row>
    <row r="1406" spans="1:19">
      <c r="A1406" s="102" t="s">
        <v>1895</v>
      </c>
      <c r="B1406" s="2">
        <v>45526</v>
      </c>
      <c r="C1406" s="1" t="s">
        <v>403</v>
      </c>
      <c r="D1406" s="1" t="s">
        <v>173</v>
      </c>
      <c r="E1406" s="1" t="s">
        <v>111</v>
      </c>
      <c r="F1406" s="83">
        <v>9</v>
      </c>
      <c r="G1406" s="92">
        <v>2720</v>
      </c>
      <c r="H1406" s="3">
        <v>8.9</v>
      </c>
      <c r="I1406" s="3">
        <v>22301.279999999999</v>
      </c>
      <c r="J1406" s="1" t="s">
        <v>87</v>
      </c>
      <c r="K1406" s="1" t="s">
        <v>117</v>
      </c>
      <c r="L1406" t="str">
        <f>VLOOKUP(D1406, Products!A:C, 3, FALSE)</f>
        <v>Apparel</v>
      </c>
      <c r="M1406" t="str">
        <f>VLOOKUP(C1406, Customers!A:E, 5, FALSE)</f>
        <v>Retail</v>
      </c>
      <c r="N1406">
        <f>VLOOKUP(C1406, Customers!A:E, 3, FALSE)</f>
        <v>59</v>
      </c>
      <c r="O1406" s="93" t="str">
        <f>VLOOKUP(E1406, Sales_Reps!A:C, 3, FALSE)</f>
        <v>West</v>
      </c>
      <c r="P1406">
        <f>VLOOKUP(D1406, Products!A:E, 4, FALSE)</f>
        <v>1962</v>
      </c>
      <c r="Q1406">
        <f>IF(COUNTIF($A$2:A1406, A1406)=2, 1, 0)</f>
        <v>0</v>
      </c>
      <c r="R1406">
        <f>IF(ISNA(MATCH(C1406, Customers!$A:$A, 0)), 1, 0)</f>
        <v>0</v>
      </c>
      <c r="S1406" s="94" t="b">
        <f>VLOOKUP(D1406, Products!A:F, 6, FALSE)</f>
        <v>1</v>
      </c>
    </row>
    <row r="1407" spans="1:19">
      <c r="A1407" s="102" t="s">
        <v>1896</v>
      </c>
      <c r="B1407" s="2">
        <v>45648</v>
      </c>
      <c r="C1407" s="1" t="s">
        <v>1065</v>
      </c>
      <c r="D1407" s="1" t="s">
        <v>85</v>
      </c>
      <c r="E1407" s="1" t="s">
        <v>139</v>
      </c>
      <c r="F1407" s="83">
        <v>4</v>
      </c>
      <c r="G1407" s="92">
        <v>3620</v>
      </c>
      <c r="H1407" s="3">
        <v>8</v>
      </c>
      <c r="I1407" s="3">
        <v>13321.6</v>
      </c>
      <c r="J1407" s="1" t="s">
        <v>93</v>
      </c>
      <c r="K1407" s="1" t="s">
        <v>94</v>
      </c>
      <c r="L1407" t="str">
        <f>VLOOKUP(D1407, Products!A:C, 3, FALSE)</f>
        <v>Apparel</v>
      </c>
      <c r="M1407" t="str">
        <f>VLOOKUP(C1407, Customers!A:E, 5, FALSE)</f>
        <v>Retail</v>
      </c>
      <c r="N1407">
        <f>VLOOKUP(C1407, Customers!A:E, 3, FALSE)</f>
        <v>49</v>
      </c>
      <c r="O1407" s="93" t="str">
        <f>VLOOKUP(E1407, Sales_Reps!A:C, 3, FALSE)</f>
        <v>North</v>
      </c>
      <c r="P1407">
        <f>VLOOKUP(D1407, Products!A:E, 4, FALSE)</f>
        <v>2509</v>
      </c>
      <c r="Q1407">
        <f>IF(COUNTIF($A$2:A1407, A1407)=2, 1, 0)</f>
        <v>0</v>
      </c>
      <c r="R1407">
        <f>IF(ISNA(MATCH(C1407, Customers!$A:$A, 0)), 1, 0)</f>
        <v>0</v>
      </c>
      <c r="S1407" s="94" t="b">
        <f>VLOOKUP(D1407, Products!A:F, 6, FALSE)</f>
        <v>1</v>
      </c>
    </row>
    <row r="1408" spans="1:19">
      <c r="A1408" s="102" t="s">
        <v>1897</v>
      </c>
      <c r="B1408" s="2">
        <v>45325</v>
      </c>
      <c r="C1408" s="1" t="s">
        <v>512</v>
      </c>
      <c r="D1408" s="1" t="s">
        <v>452</v>
      </c>
      <c r="E1408" s="1" t="s">
        <v>139</v>
      </c>
      <c r="F1408" s="83">
        <v>1</v>
      </c>
      <c r="G1408" s="92">
        <v>3450</v>
      </c>
      <c r="H1408" s="3">
        <v>0.2</v>
      </c>
      <c r="I1408" s="3">
        <v>3443.1</v>
      </c>
      <c r="J1408" s="1" t="s">
        <v>87</v>
      </c>
      <c r="K1408" s="1" t="s">
        <v>133</v>
      </c>
      <c r="L1408" t="str">
        <f>VLOOKUP(D1408, Products!A:C, 3, FALSE)</f>
        <v>Apparel</v>
      </c>
      <c r="M1408" t="str">
        <f>VLOOKUP(C1408, Customers!A:E, 5, FALSE)</f>
        <v>Retail</v>
      </c>
      <c r="N1408">
        <f>VLOOKUP(C1408, Customers!A:E, 3, FALSE)</f>
        <v>61</v>
      </c>
      <c r="O1408" s="93" t="str">
        <f>VLOOKUP(E1408, Sales_Reps!A:C, 3, FALSE)</f>
        <v>North</v>
      </c>
      <c r="P1408">
        <f>VLOOKUP(D1408, Products!A:E, 4, FALSE)</f>
        <v>1748</v>
      </c>
      <c r="Q1408">
        <f>IF(COUNTIF($A$2:A1408, A1408)=2, 1, 0)</f>
        <v>0</v>
      </c>
      <c r="R1408">
        <f>IF(ISNA(MATCH(C1408, Customers!$A:$A, 0)), 1, 0)</f>
        <v>0</v>
      </c>
      <c r="S1408" s="94" t="b">
        <f>VLOOKUP(D1408, Products!A:F, 6, FALSE)</f>
        <v>1</v>
      </c>
    </row>
    <row r="1409" spans="1:19">
      <c r="A1409" s="102" t="s">
        <v>1898</v>
      </c>
      <c r="B1409" s="2">
        <v>45640</v>
      </c>
      <c r="C1409" s="1" t="s">
        <v>546</v>
      </c>
      <c r="D1409" s="1" t="s">
        <v>237</v>
      </c>
      <c r="E1409" s="1" t="s">
        <v>98</v>
      </c>
      <c r="F1409" s="83">
        <v>7</v>
      </c>
      <c r="G1409" s="92">
        <v>3640</v>
      </c>
      <c r="H1409" s="3">
        <v>4.5999999999999996</v>
      </c>
      <c r="I1409" s="3">
        <v>24307.919999999998</v>
      </c>
      <c r="J1409" s="1" t="s">
        <v>87</v>
      </c>
      <c r="K1409" s="1" t="s">
        <v>99</v>
      </c>
      <c r="L1409" t="str">
        <f>VLOOKUP(D1409, Products!A:C, 3, FALSE)</f>
        <v>Apparel</v>
      </c>
      <c r="M1409" t="str">
        <f>VLOOKUP(C1409, Customers!A:E, 5, FALSE)</f>
        <v>SMB</v>
      </c>
      <c r="N1409">
        <f>VLOOKUP(C1409, Customers!A:E, 3, FALSE)</f>
        <v>29</v>
      </c>
      <c r="O1409" s="93" t="str">
        <f>VLOOKUP(E1409, Sales_Reps!A:C, 3, FALSE)</f>
        <v>South</v>
      </c>
      <c r="P1409">
        <f>VLOOKUP(D1409, Products!A:E, 4, FALSE)</f>
        <v>2611</v>
      </c>
      <c r="Q1409">
        <f>IF(COUNTIF($A$2:A1409, A1409)=2, 1, 0)</f>
        <v>0</v>
      </c>
      <c r="R1409">
        <f>IF(ISNA(MATCH(C1409, Customers!$A:$A, 0)), 1, 0)</f>
        <v>0</v>
      </c>
      <c r="S1409" s="94" t="b">
        <f>VLOOKUP(D1409, Products!A:F, 6, FALSE)</f>
        <v>1</v>
      </c>
    </row>
    <row r="1410" spans="1:19">
      <c r="A1410" s="102" t="s">
        <v>1899</v>
      </c>
      <c r="B1410" s="2">
        <v>45423</v>
      </c>
      <c r="C1410" s="1" t="s">
        <v>1036</v>
      </c>
      <c r="D1410" s="1" t="s">
        <v>292</v>
      </c>
      <c r="E1410" s="1" t="s">
        <v>154</v>
      </c>
      <c r="F1410" s="83">
        <v>9</v>
      </c>
      <c r="G1410" s="92">
        <v>620</v>
      </c>
      <c r="H1410" s="3">
        <v>8.5</v>
      </c>
      <c r="I1410" s="3">
        <v>5105.7</v>
      </c>
      <c r="J1410" s="1" t="s">
        <v>87</v>
      </c>
      <c r="K1410" s="1" t="s">
        <v>112</v>
      </c>
      <c r="L1410" t="str">
        <f>VLOOKUP(D1410, Products!A:C, 3, FALSE)</f>
        <v>Apparel</v>
      </c>
      <c r="M1410" t="str">
        <f>VLOOKUP(C1410, Customers!A:E, 5, FALSE)</f>
        <v>Retail</v>
      </c>
      <c r="N1410">
        <f>VLOOKUP(C1410, Customers!A:E, 3, FALSE)</f>
        <v>33</v>
      </c>
      <c r="O1410" s="93" t="str">
        <f>VLOOKUP(E1410, Sales_Reps!A:C, 3, FALSE)</f>
        <v>East</v>
      </c>
      <c r="P1410">
        <f>VLOOKUP(D1410, Products!A:E, 4, FALSE)</f>
        <v>396</v>
      </c>
      <c r="Q1410">
        <f>IF(COUNTIF($A$2:A1410, A1410)=2, 1, 0)</f>
        <v>0</v>
      </c>
      <c r="R1410">
        <f>IF(ISNA(MATCH(C1410, Customers!$A:$A, 0)), 1, 0)</f>
        <v>0</v>
      </c>
      <c r="S1410" s="94" t="b">
        <f>VLOOKUP(D1410, Products!A:F, 6, FALSE)</f>
        <v>1</v>
      </c>
    </row>
    <row r="1411" spans="1:19">
      <c r="A1411" s="102" t="s">
        <v>1900</v>
      </c>
      <c r="B1411" s="2">
        <v>45423</v>
      </c>
      <c r="C1411" s="1" t="s">
        <v>714</v>
      </c>
      <c r="D1411" s="1" t="s">
        <v>461</v>
      </c>
      <c r="E1411" s="1" t="s">
        <v>346</v>
      </c>
      <c r="F1411" s="83">
        <v>10</v>
      </c>
      <c r="G1411" s="92">
        <v>3780</v>
      </c>
      <c r="H1411" s="3">
        <v>5.8</v>
      </c>
      <c r="I1411" s="3">
        <v>35607.599999999999</v>
      </c>
      <c r="J1411" s="1" t="s">
        <v>87</v>
      </c>
      <c r="K1411" s="1" t="s">
        <v>99</v>
      </c>
      <c r="L1411" t="str">
        <f>VLOOKUP(D1411, Products!A:C, 3, FALSE)</f>
        <v>Sports</v>
      </c>
      <c r="M1411" t="str">
        <f>VLOOKUP(C1411, Customers!A:E, 5, FALSE)</f>
        <v>Retail</v>
      </c>
      <c r="N1411">
        <f>VLOOKUP(C1411, Customers!A:E, 3, FALSE)</f>
        <v>24</v>
      </c>
      <c r="O1411" s="93" t="str">
        <f>VLOOKUP(E1411, Sales_Reps!A:C, 3, FALSE)</f>
        <v>South</v>
      </c>
      <c r="P1411">
        <f>VLOOKUP(D1411, Products!A:E, 4, FALSE)</f>
        <v>1860</v>
      </c>
      <c r="Q1411">
        <f>IF(COUNTIF($A$2:A1411, A1411)=2, 1, 0)</f>
        <v>0</v>
      </c>
      <c r="R1411">
        <f>IF(ISNA(MATCH(C1411, Customers!$A:$A, 0)), 1, 0)</f>
        <v>0</v>
      </c>
      <c r="S1411" s="94" t="b">
        <f>VLOOKUP(D1411, Products!A:F, 6, FALSE)</f>
        <v>1</v>
      </c>
    </row>
    <row r="1412" spans="1:19">
      <c r="A1412" s="102" t="s">
        <v>1901</v>
      </c>
      <c r="B1412" s="2">
        <v>45518</v>
      </c>
      <c r="C1412" s="1" t="s">
        <v>522</v>
      </c>
      <c r="D1412" s="1" t="s">
        <v>187</v>
      </c>
      <c r="E1412" s="1" t="s">
        <v>204</v>
      </c>
      <c r="F1412" s="83">
        <v>7</v>
      </c>
      <c r="G1412" s="92">
        <v>3570</v>
      </c>
      <c r="H1412" s="3">
        <v>26.1</v>
      </c>
      <c r="I1412" s="3">
        <v>18467.61</v>
      </c>
      <c r="J1412" s="1" t="s">
        <v>87</v>
      </c>
      <c r="K1412" s="1" t="s">
        <v>99</v>
      </c>
      <c r="L1412" t="str">
        <f>VLOOKUP(D1412, Products!A:C, 3, FALSE)</f>
        <v>Electronics</v>
      </c>
      <c r="M1412" t="str">
        <f>VLOOKUP(C1412, Customers!A:E, 5, FALSE)</f>
        <v>SMB</v>
      </c>
      <c r="N1412">
        <f>VLOOKUP(C1412, Customers!A:E, 3, FALSE)</f>
        <v>55</v>
      </c>
      <c r="O1412" s="93" t="str">
        <f>VLOOKUP(E1412, Sales_Reps!A:C, 3, FALSE)</f>
        <v>South</v>
      </c>
      <c r="P1412">
        <f>VLOOKUP(D1412, Products!A:E, 4, FALSE)</f>
        <v>1665</v>
      </c>
      <c r="Q1412">
        <f>IF(COUNTIF($A$2:A1412, A1412)=2, 1, 0)</f>
        <v>0</v>
      </c>
      <c r="R1412">
        <f>IF(ISNA(MATCH(C1412, Customers!$A:$A, 0)), 1, 0)</f>
        <v>0</v>
      </c>
      <c r="S1412" s="94" t="b">
        <f>VLOOKUP(D1412, Products!A:F, 6, FALSE)</f>
        <v>1</v>
      </c>
    </row>
    <row r="1413" spans="1:19">
      <c r="A1413" s="102" t="s">
        <v>1902</v>
      </c>
      <c r="B1413" s="2">
        <v>45306</v>
      </c>
      <c r="C1413" s="1" t="s">
        <v>714</v>
      </c>
      <c r="D1413" s="1" t="s">
        <v>176</v>
      </c>
      <c r="E1413" s="1" t="s">
        <v>297</v>
      </c>
      <c r="F1413" s="83">
        <v>2</v>
      </c>
      <c r="G1413" s="92">
        <v>1650</v>
      </c>
      <c r="H1413" s="3">
        <v>3.8</v>
      </c>
      <c r="I1413" s="3">
        <v>3174.6</v>
      </c>
      <c r="J1413" s="1" t="s">
        <v>87</v>
      </c>
      <c r="K1413" s="1" t="s">
        <v>99</v>
      </c>
      <c r="L1413" t="str">
        <f>VLOOKUP(D1413, Products!A:C, 3, FALSE)</f>
        <v>Beauty</v>
      </c>
      <c r="M1413" t="str">
        <f>VLOOKUP(C1413, Customers!A:E, 5, FALSE)</f>
        <v>Retail</v>
      </c>
      <c r="N1413">
        <f>VLOOKUP(C1413, Customers!A:E, 3, FALSE)</f>
        <v>24</v>
      </c>
      <c r="O1413" s="93" t="str">
        <f>VLOOKUP(E1413, Sales_Reps!A:C, 3, FALSE)</f>
        <v>North</v>
      </c>
      <c r="P1413">
        <f>VLOOKUP(D1413, Products!A:E, 4, FALSE)</f>
        <v>1222</v>
      </c>
      <c r="Q1413">
        <f>IF(COUNTIF($A$2:A1413, A1413)=2, 1, 0)</f>
        <v>0</v>
      </c>
      <c r="R1413">
        <f>IF(ISNA(MATCH(C1413, Customers!$A:$A, 0)), 1, 0)</f>
        <v>0</v>
      </c>
      <c r="S1413" s="94" t="b">
        <f>VLOOKUP(D1413, Products!A:F, 6, FALSE)</f>
        <v>1</v>
      </c>
    </row>
    <row r="1414" spans="1:19">
      <c r="A1414" s="102" t="s">
        <v>1903</v>
      </c>
      <c r="B1414" s="2">
        <v>45346</v>
      </c>
      <c r="C1414" s="1" t="s">
        <v>1724</v>
      </c>
      <c r="D1414" s="1" t="s">
        <v>380</v>
      </c>
      <c r="E1414" s="1" t="s">
        <v>325</v>
      </c>
      <c r="F1414" s="83">
        <v>2</v>
      </c>
      <c r="G1414" s="92">
        <v>960</v>
      </c>
      <c r="H1414" s="3">
        <v>6.8</v>
      </c>
      <c r="I1414" s="3">
        <v>1789.44</v>
      </c>
      <c r="J1414" s="1" t="s">
        <v>87</v>
      </c>
      <c r="K1414" s="1" t="s">
        <v>117</v>
      </c>
      <c r="L1414" t="str">
        <f>VLOOKUP(D1414, Products!A:C, 3, FALSE)</f>
        <v>Beauty</v>
      </c>
      <c r="M1414" t="str">
        <f>VLOOKUP(C1414, Customers!A:E, 5, FALSE)</f>
        <v>SMB</v>
      </c>
      <c r="N1414">
        <f>VLOOKUP(C1414, Customers!A:E, 3, FALSE)</f>
        <v>54</v>
      </c>
      <c r="O1414" s="93" t="str">
        <f>VLOOKUP(E1414, Sales_Reps!A:C, 3, FALSE)</f>
        <v>South</v>
      </c>
      <c r="P1414">
        <f>VLOOKUP(D1414, Products!A:E, 4, FALSE)</f>
        <v>675</v>
      </c>
      <c r="Q1414">
        <f>IF(COUNTIF($A$2:A1414, A1414)=2, 1, 0)</f>
        <v>0</v>
      </c>
      <c r="R1414">
        <f>IF(ISNA(MATCH(C1414, Customers!$A:$A, 0)), 1, 0)</f>
        <v>0</v>
      </c>
      <c r="S1414" s="94" t="b">
        <f>VLOOKUP(D1414, Products!A:F, 6, FALSE)</f>
        <v>1</v>
      </c>
    </row>
    <row r="1415" spans="1:19">
      <c r="A1415" s="102" t="s">
        <v>1904</v>
      </c>
      <c r="B1415" s="2">
        <v>45376</v>
      </c>
      <c r="C1415" s="1" t="s">
        <v>872</v>
      </c>
      <c r="D1415" s="1" t="s">
        <v>282</v>
      </c>
      <c r="E1415" s="1" t="s">
        <v>103</v>
      </c>
      <c r="F1415" s="83">
        <v>2</v>
      </c>
      <c r="G1415" s="92">
        <v>300</v>
      </c>
      <c r="H1415" s="3">
        <v>2.8</v>
      </c>
      <c r="I1415" s="3">
        <v>583.20000000000005</v>
      </c>
      <c r="J1415" s="1" t="s">
        <v>87</v>
      </c>
      <c r="K1415" s="1" t="s">
        <v>112</v>
      </c>
      <c r="L1415" t="str">
        <f>VLOOKUP(D1415, Products!A:C, 3, FALSE)</f>
        <v>Electronics</v>
      </c>
      <c r="M1415" t="str">
        <f>VLOOKUP(C1415, Customers!A:E, 5, FALSE)</f>
        <v>Corporate</v>
      </c>
      <c r="N1415">
        <f>VLOOKUP(C1415, Customers!A:E, 3, FALSE)</f>
        <v>62</v>
      </c>
      <c r="O1415" s="93" t="str">
        <f>VLOOKUP(E1415, Sales_Reps!A:C, 3, FALSE)</f>
        <v>North</v>
      </c>
      <c r="P1415">
        <f>VLOOKUP(D1415, Products!A:E, 4, FALSE)</f>
        <v>128</v>
      </c>
      <c r="Q1415">
        <f>IF(COUNTIF($A$2:A1415, A1415)=2, 1, 0)</f>
        <v>0</v>
      </c>
      <c r="R1415">
        <f>IF(ISNA(MATCH(C1415, Customers!$A:$A, 0)), 1, 0)</f>
        <v>0</v>
      </c>
      <c r="S1415" s="94" t="b">
        <f>VLOOKUP(D1415, Products!A:F, 6, FALSE)</f>
        <v>1</v>
      </c>
    </row>
    <row r="1416" spans="1:19">
      <c r="A1416" s="102" t="s">
        <v>1905</v>
      </c>
      <c r="B1416" s="2">
        <v>45561</v>
      </c>
      <c r="C1416" s="1" t="s">
        <v>493</v>
      </c>
      <c r="D1416" s="1" t="s">
        <v>351</v>
      </c>
      <c r="E1416" s="1" t="s">
        <v>343</v>
      </c>
      <c r="F1416" s="83">
        <v>10</v>
      </c>
      <c r="G1416" s="92">
        <v>4060</v>
      </c>
      <c r="H1416" s="3">
        <v>15.1</v>
      </c>
      <c r="I1416" s="3">
        <v>34469.4</v>
      </c>
      <c r="J1416" s="1" t="s">
        <v>87</v>
      </c>
      <c r="K1416" s="1" t="s">
        <v>88</v>
      </c>
      <c r="L1416" t="str">
        <f>VLOOKUP(D1416, Products!A:C, 3, FALSE)</f>
        <v>Grocery</v>
      </c>
      <c r="M1416" t="str">
        <f>VLOOKUP(C1416, Customers!A:E, 5, FALSE)</f>
        <v>Retail</v>
      </c>
      <c r="N1416">
        <f>VLOOKUP(C1416, Customers!A:E, 3, FALSE)</f>
        <v>57</v>
      </c>
      <c r="O1416" s="93" t="str">
        <f>VLOOKUP(E1416, Sales_Reps!A:C, 3, FALSE)</f>
        <v>West</v>
      </c>
      <c r="P1416">
        <f>VLOOKUP(D1416, Products!A:E, 4, FALSE)</f>
        <v>2911</v>
      </c>
      <c r="Q1416">
        <f>IF(COUNTIF($A$2:A1416, A1416)=2, 1, 0)</f>
        <v>0</v>
      </c>
      <c r="R1416">
        <f>IF(ISNA(MATCH(C1416, Customers!$A:$A, 0)), 1, 0)</f>
        <v>0</v>
      </c>
      <c r="S1416" s="94" t="b">
        <f>VLOOKUP(D1416, Products!A:F, 6, FALSE)</f>
        <v>1</v>
      </c>
    </row>
    <row r="1417" spans="1:19">
      <c r="A1417" s="102" t="s">
        <v>1906</v>
      </c>
      <c r="B1417" s="2">
        <v>45320</v>
      </c>
      <c r="C1417" s="1" t="s">
        <v>1191</v>
      </c>
      <c r="D1417" s="1" t="s">
        <v>364</v>
      </c>
      <c r="E1417" s="1" t="s">
        <v>285</v>
      </c>
      <c r="F1417" s="83">
        <v>6</v>
      </c>
      <c r="G1417" s="92">
        <v>5330</v>
      </c>
      <c r="H1417" s="3">
        <v>2</v>
      </c>
      <c r="I1417" s="3">
        <v>31340.400000000001</v>
      </c>
      <c r="J1417" s="1" t="s">
        <v>87</v>
      </c>
      <c r="K1417" s="1" t="s">
        <v>117</v>
      </c>
      <c r="L1417" t="str">
        <f>VLOOKUP(D1417, Products!A:C, 3, FALSE)</f>
        <v>Electronics</v>
      </c>
      <c r="M1417" t="str">
        <f>VLOOKUP(C1417, Customers!A:E, 5, FALSE)</f>
        <v>Retail</v>
      </c>
      <c r="N1417">
        <f>VLOOKUP(C1417, Customers!A:E, 3, FALSE)</f>
        <v>36</v>
      </c>
      <c r="O1417" s="93" t="str">
        <f>VLOOKUP(E1417, Sales_Reps!A:C, 3, FALSE)</f>
        <v>East</v>
      </c>
      <c r="P1417">
        <f>VLOOKUP(D1417, Products!A:E, 4, FALSE)</f>
        <v>2405</v>
      </c>
      <c r="Q1417">
        <f>IF(COUNTIF($A$2:A1417, A1417)=2, 1, 0)</f>
        <v>0</v>
      </c>
      <c r="R1417">
        <f>IF(ISNA(MATCH(C1417, Customers!$A:$A, 0)), 1, 0)</f>
        <v>0</v>
      </c>
      <c r="S1417" s="94" t="b">
        <f>VLOOKUP(D1417, Products!A:F, 6, FALSE)</f>
        <v>1</v>
      </c>
    </row>
    <row r="1418" spans="1:19">
      <c r="A1418" s="102" t="s">
        <v>1907</v>
      </c>
      <c r="B1418" s="2">
        <v>45572</v>
      </c>
      <c r="C1418" s="1" t="s">
        <v>420</v>
      </c>
      <c r="D1418" s="1" t="s">
        <v>226</v>
      </c>
      <c r="E1418" s="1" t="s">
        <v>158</v>
      </c>
      <c r="F1418" s="83">
        <v>9</v>
      </c>
      <c r="G1418" s="92">
        <v>3730</v>
      </c>
      <c r="H1418" s="3">
        <v>24.5</v>
      </c>
      <c r="I1418" s="3">
        <v>25345.35</v>
      </c>
      <c r="J1418" s="1" t="s">
        <v>144</v>
      </c>
      <c r="K1418" s="1" t="s">
        <v>99</v>
      </c>
      <c r="L1418" t="str">
        <f>VLOOKUP(D1418, Products!A:C, 3, FALSE)</f>
        <v>Home</v>
      </c>
      <c r="M1418" t="str">
        <f>VLOOKUP(C1418, Customers!A:E, 5, FALSE)</f>
        <v>Retail</v>
      </c>
      <c r="N1418">
        <f>VLOOKUP(C1418, Customers!A:E, 3, FALSE)</f>
        <v>44</v>
      </c>
      <c r="O1418" s="93" t="str">
        <f>VLOOKUP(E1418, Sales_Reps!A:C, 3, FALSE)</f>
        <v>East</v>
      </c>
      <c r="P1418">
        <f>VLOOKUP(D1418, Products!A:E, 4, FALSE)</f>
        <v>2135</v>
      </c>
      <c r="Q1418">
        <f>IF(COUNTIF($A$2:A1418, A1418)=2, 1, 0)</f>
        <v>0</v>
      </c>
      <c r="R1418">
        <f>IF(ISNA(MATCH(C1418, Customers!$A:$A, 0)), 1, 0)</f>
        <v>0</v>
      </c>
      <c r="S1418" s="94" t="b">
        <f>VLOOKUP(D1418, Products!A:F, 6, FALSE)</f>
        <v>1</v>
      </c>
    </row>
    <row r="1419" spans="1:19">
      <c r="A1419" s="102" t="s">
        <v>1908</v>
      </c>
      <c r="B1419" s="2">
        <v>45611</v>
      </c>
      <c r="C1419" s="1" t="s">
        <v>353</v>
      </c>
      <c r="D1419" s="1" t="s">
        <v>241</v>
      </c>
      <c r="E1419" s="1" t="s">
        <v>170</v>
      </c>
      <c r="F1419" s="83">
        <v>1</v>
      </c>
      <c r="G1419" s="92">
        <v>6080</v>
      </c>
      <c r="H1419" s="3">
        <v>4.4000000000000004</v>
      </c>
      <c r="I1419" s="3">
        <v>5812.48</v>
      </c>
      <c r="J1419" s="1" t="s">
        <v>140</v>
      </c>
      <c r="K1419" s="1" t="s">
        <v>94</v>
      </c>
      <c r="L1419" t="str">
        <f>VLOOKUP(D1419, Products!A:C, 3, FALSE)</f>
        <v>Beauty</v>
      </c>
      <c r="M1419" t="str">
        <f>VLOOKUP(C1419, Customers!A:E, 5, FALSE)</f>
        <v>Retail</v>
      </c>
      <c r="N1419">
        <f>VLOOKUP(C1419, Customers!A:E, 3, FALSE)</f>
        <v>60</v>
      </c>
      <c r="O1419" s="93" t="str">
        <f>VLOOKUP(E1419, Sales_Reps!A:C, 3, FALSE)</f>
        <v>West</v>
      </c>
      <c r="P1419">
        <f>VLOOKUP(D1419, Products!A:E, 4, FALSE)</f>
        <v>2617</v>
      </c>
      <c r="Q1419">
        <f>IF(COUNTIF($A$2:A1419, A1419)=2, 1, 0)</f>
        <v>0</v>
      </c>
      <c r="R1419">
        <f>IF(ISNA(MATCH(C1419, Customers!$A:$A, 0)), 1, 0)</f>
        <v>0</v>
      </c>
      <c r="S1419" s="94" t="b">
        <f>VLOOKUP(D1419, Products!A:F, 6, FALSE)</f>
        <v>1</v>
      </c>
    </row>
    <row r="1420" spans="1:19">
      <c r="A1420" s="102" t="s">
        <v>1909</v>
      </c>
      <c r="B1420" s="2">
        <v>45524</v>
      </c>
      <c r="C1420" s="1" t="s">
        <v>707</v>
      </c>
      <c r="D1420" s="1" t="s">
        <v>173</v>
      </c>
      <c r="E1420" s="1" t="s">
        <v>111</v>
      </c>
      <c r="F1420" s="83">
        <v>5</v>
      </c>
      <c r="G1420" s="92">
        <v>2720</v>
      </c>
      <c r="H1420" s="3">
        <v>9.1999999999999993</v>
      </c>
      <c r="I1420" s="3">
        <v>12348.8</v>
      </c>
      <c r="J1420" s="1" t="s">
        <v>87</v>
      </c>
      <c r="K1420" s="1" t="s">
        <v>112</v>
      </c>
      <c r="L1420" t="str">
        <f>VLOOKUP(D1420, Products!A:C, 3, FALSE)</f>
        <v>Apparel</v>
      </c>
      <c r="M1420" t="str">
        <f>VLOOKUP(C1420, Customers!A:E, 5, FALSE)</f>
        <v>Retail</v>
      </c>
      <c r="N1420">
        <f>VLOOKUP(C1420, Customers!A:E, 3, FALSE)</f>
        <v>33</v>
      </c>
      <c r="O1420" s="93" t="str">
        <f>VLOOKUP(E1420, Sales_Reps!A:C, 3, FALSE)</f>
        <v>West</v>
      </c>
      <c r="P1420">
        <f>VLOOKUP(D1420, Products!A:E, 4, FALSE)</f>
        <v>1962</v>
      </c>
      <c r="Q1420">
        <f>IF(COUNTIF($A$2:A1420, A1420)=2, 1, 0)</f>
        <v>0</v>
      </c>
      <c r="R1420">
        <f>IF(ISNA(MATCH(C1420, Customers!$A:$A, 0)), 1, 0)</f>
        <v>0</v>
      </c>
      <c r="S1420" s="94" t="b">
        <f>VLOOKUP(D1420, Products!A:F, 6, FALSE)</f>
        <v>1</v>
      </c>
    </row>
    <row r="1421" spans="1:19">
      <c r="A1421" s="102" t="s">
        <v>1910</v>
      </c>
      <c r="B1421" s="2">
        <v>45438</v>
      </c>
      <c r="C1421" s="1" t="s">
        <v>411</v>
      </c>
      <c r="D1421" s="1" t="s">
        <v>452</v>
      </c>
      <c r="E1421" s="1" t="s">
        <v>154</v>
      </c>
      <c r="F1421" s="83">
        <v>1</v>
      </c>
      <c r="G1421" s="92">
        <v>3450</v>
      </c>
      <c r="H1421" s="3">
        <v>15.6</v>
      </c>
      <c r="I1421" s="3">
        <v>2911.8</v>
      </c>
      <c r="J1421" s="1" t="s">
        <v>87</v>
      </c>
      <c r="K1421" s="1" t="s">
        <v>112</v>
      </c>
      <c r="L1421" t="str">
        <f>VLOOKUP(D1421, Products!A:C, 3, FALSE)</f>
        <v>Apparel</v>
      </c>
      <c r="M1421" t="str">
        <f>VLOOKUP(C1421, Customers!A:E, 5, FALSE)</f>
        <v>Retail</v>
      </c>
      <c r="N1421">
        <f>VLOOKUP(C1421, Customers!A:E, 3, FALSE)</f>
        <v>61</v>
      </c>
      <c r="O1421" s="93" t="str">
        <f>VLOOKUP(E1421, Sales_Reps!A:C, 3, FALSE)</f>
        <v>East</v>
      </c>
      <c r="P1421">
        <f>VLOOKUP(D1421, Products!A:E, 4, FALSE)</f>
        <v>1748</v>
      </c>
      <c r="Q1421">
        <f>IF(COUNTIF($A$2:A1421, A1421)=2, 1, 0)</f>
        <v>0</v>
      </c>
      <c r="R1421">
        <f>IF(ISNA(MATCH(C1421, Customers!$A:$A, 0)), 1, 0)</f>
        <v>0</v>
      </c>
      <c r="S1421" s="94" t="b">
        <f>VLOOKUP(D1421, Products!A:F, 6, FALSE)</f>
        <v>1</v>
      </c>
    </row>
    <row r="1422" spans="1:19">
      <c r="A1422" s="102" t="s">
        <v>1911</v>
      </c>
      <c r="B1422" s="2">
        <v>45484</v>
      </c>
      <c r="C1422" s="1" t="s">
        <v>1623</v>
      </c>
      <c r="D1422" s="1" t="s">
        <v>502</v>
      </c>
      <c r="E1422" s="1" t="s">
        <v>285</v>
      </c>
      <c r="F1422" s="83">
        <v>2</v>
      </c>
      <c r="G1422" s="92">
        <v>1090</v>
      </c>
      <c r="H1422" s="3">
        <v>0.4</v>
      </c>
      <c r="I1422" s="3">
        <v>2171.2800000000002</v>
      </c>
      <c r="J1422" s="1" t="s">
        <v>144</v>
      </c>
      <c r="K1422" s="1" t="s">
        <v>117</v>
      </c>
      <c r="L1422" t="str">
        <f>VLOOKUP(D1422, Products!A:C, 3, FALSE)</f>
        <v>Home</v>
      </c>
      <c r="M1422" t="str">
        <f>VLOOKUP(C1422, Customers!A:E, 5, FALSE)</f>
        <v>Retail</v>
      </c>
      <c r="N1422">
        <f>VLOOKUP(C1422, Customers!A:E, 3, FALSE)</f>
        <v>53</v>
      </c>
      <c r="O1422" s="93" t="str">
        <f>VLOOKUP(E1422, Sales_Reps!A:C, 3, FALSE)</f>
        <v>East</v>
      </c>
      <c r="P1422">
        <f>VLOOKUP(D1422, Products!A:E, 4, FALSE)</f>
        <v>464</v>
      </c>
      <c r="Q1422">
        <f>IF(COUNTIF($A$2:A1422, A1422)=2, 1, 0)</f>
        <v>0</v>
      </c>
      <c r="R1422">
        <f>IF(ISNA(MATCH(C1422, Customers!$A:$A, 0)), 1, 0)</f>
        <v>0</v>
      </c>
      <c r="S1422" s="94" t="b">
        <f>VLOOKUP(D1422, Products!A:F, 6, FALSE)</f>
        <v>1</v>
      </c>
    </row>
    <row r="1423" spans="1:19">
      <c r="A1423" s="102" t="s">
        <v>1912</v>
      </c>
      <c r="B1423" s="2">
        <v>45643</v>
      </c>
      <c r="C1423" s="1" t="s">
        <v>539</v>
      </c>
      <c r="D1423" s="1" t="s">
        <v>187</v>
      </c>
      <c r="E1423" s="1" t="s">
        <v>238</v>
      </c>
      <c r="F1423" s="83">
        <v>2</v>
      </c>
      <c r="G1423" s="92">
        <v>3570</v>
      </c>
      <c r="H1423" s="3">
        <v>9</v>
      </c>
      <c r="I1423" s="3">
        <v>6497.4</v>
      </c>
      <c r="J1423" s="1" t="s">
        <v>87</v>
      </c>
      <c r="K1423" s="1" t="s">
        <v>133</v>
      </c>
      <c r="L1423" t="str">
        <f>VLOOKUP(D1423, Products!A:C, 3, FALSE)</f>
        <v>Electronics</v>
      </c>
      <c r="M1423" t="str">
        <f>VLOOKUP(C1423, Customers!A:E, 5, FALSE)</f>
        <v>Retail</v>
      </c>
      <c r="N1423">
        <f>VLOOKUP(C1423, Customers!A:E, 3, FALSE)</f>
        <v>38</v>
      </c>
      <c r="O1423" s="93" t="str">
        <f>VLOOKUP(E1423, Sales_Reps!A:C, 3, FALSE)</f>
        <v>East</v>
      </c>
      <c r="P1423">
        <f>VLOOKUP(D1423, Products!A:E, 4, FALSE)</f>
        <v>1665</v>
      </c>
      <c r="Q1423">
        <f>IF(COUNTIF($A$2:A1423, A1423)=2, 1, 0)</f>
        <v>0</v>
      </c>
      <c r="R1423">
        <f>IF(ISNA(MATCH(C1423, Customers!$A:$A, 0)), 1, 0)</f>
        <v>0</v>
      </c>
      <c r="S1423" s="94" t="b">
        <f>VLOOKUP(D1423, Products!A:F, 6, FALSE)</f>
        <v>1</v>
      </c>
    </row>
    <row r="1424" spans="1:19">
      <c r="A1424" s="102" t="s">
        <v>1913</v>
      </c>
      <c r="B1424" s="2">
        <v>45437</v>
      </c>
      <c r="C1424" s="1" t="s">
        <v>522</v>
      </c>
      <c r="D1424" s="1" t="s">
        <v>167</v>
      </c>
      <c r="E1424" s="1" t="s">
        <v>98</v>
      </c>
      <c r="F1424" s="83">
        <v>9</v>
      </c>
      <c r="G1424" s="92">
        <v>2480</v>
      </c>
      <c r="H1424" s="3">
        <v>3.6</v>
      </c>
      <c r="I1424" s="3">
        <v>21516.48</v>
      </c>
      <c r="J1424" s="1" t="s">
        <v>93</v>
      </c>
      <c r="K1424" s="1" t="s">
        <v>99</v>
      </c>
      <c r="L1424" t="str">
        <f>VLOOKUP(D1424, Products!A:C, 3, FALSE)</f>
        <v>Apparel</v>
      </c>
      <c r="M1424" t="str">
        <f>VLOOKUP(C1424, Customers!A:E, 5, FALSE)</f>
        <v>SMB</v>
      </c>
      <c r="N1424">
        <f>VLOOKUP(C1424, Customers!A:E, 3, FALSE)</f>
        <v>55</v>
      </c>
      <c r="O1424" s="93" t="str">
        <f>VLOOKUP(E1424, Sales_Reps!A:C, 3, FALSE)</f>
        <v>South</v>
      </c>
      <c r="P1424">
        <f>VLOOKUP(D1424, Products!A:E, 4, FALSE)</f>
        <v>1173</v>
      </c>
      <c r="Q1424">
        <f>IF(COUNTIF($A$2:A1424, A1424)=2, 1, 0)</f>
        <v>0</v>
      </c>
      <c r="R1424">
        <f>IF(ISNA(MATCH(C1424, Customers!$A:$A, 0)), 1, 0)</f>
        <v>0</v>
      </c>
      <c r="S1424" s="94" t="b">
        <f>VLOOKUP(D1424, Products!A:F, 6, FALSE)</f>
        <v>1</v>
      </c>
    </row>
    <row r="1425" spans="1:19">
      <c r="A1425" s="102" t="s">
        <v>1914</v>
      </c>
      <c r="B1425" s="2">
        <v>45303</v>
      </c>
      <c r="C1425" s="1" t="s">
        <v>544</v>
      </c>
      <c r="D1425" s="1" t="s">
        <v>234</v>
      </c>
      <c r="E1425" s="1" t="s">
        <v>285</v>
      </c>
      <c r="F1425" s="83">
        <v>9</v>
      </c>
      <c r="G1425" s="92">
        <v>3780</v>
      </c>
      <c r="H1425" s="3">
        <v>4.5</v>
      </c>
      <c r="I1425" s="3">
        <v>32489.1</v>
      </c>
      <c r="J1425" s="1" t="s">
        <v>87</v>
      </c>
      <c r="K1425" s="1" t="s">
        <v>133</v>
      </c>
      <c r="L1425" t="str">
        <f>VLOOKUP(D1425, Products!A:C, 3, FALSE)</f>
        <v>Grocery</v>
      </c>
      <c r="M1425" t="str">
        <f>VLOOKUP(C1425, Customers!A:E, 5, FALSE)</f>
        <v>Retail</v>
      </c>
      <c r="N1425">
        <f>VLOOKUP(C1425, Customers!A:E, 3, FALSE)</f>
        <v>25</v>
      </c>
      <c r="O1425" s="93" t="str">
        <f>VLOOKUP(E1425, Sales_Reps!A:C, 3, FALSE)</f>
        <v>East</v>
      </c>
      <c r="P1425">
        <f>VLOOKUP(D1425, Products!A:E, 4, FALSE)</f>
        <v>2436</v>
      </c>
      <c r="Q1425">
        <f>IF(COUNTIF($A$2:A1425, A1425)=2, 1, 0)</f>
        <v>0</v>
      </c>
      <c r="R1425">
        <f>IF(ISNA(MATCH(C1425, Customers!$A:$A, 0)), 1, 0)</f>
        <v>0</v>
      </c>
      <c r="S1425" s="94" t="b">
        <f>VLOOKUP(D1425, Products!A:F, 6, FALSE)</f>
        <v>1</v>
      </c>
    </row>
    <row r="1426" spans="1:19">
      <c r="A1426" s="102" t="s">
        <v>1915</v>
      </c>
      <c r="B1426" s="2">
        <v>45631</v>
      </c>
      <c r="C1426" s="1" t="s">
        <v>359</v>
      </c>
      <c r="D1426" s="1" t="s">
        <v>351</v>
      </c>
      <c r="E1426" s="1" t="s">
        <v>132</v>
      </c>
      <c r="F1426" s="83">
        <v>5</v>
      </c>
      <c r="G1426" s="92">
        <v>4060</v>
      </c>
      <c r="H1426" s="3">
        <v>2.7</v>
      </c>
      <c r="I1426" s="3">
        <v>19751.900000000001</v>
      </c>
      <c r="J1426" s="1" t="s">
        <v>87</v>
      </c>
      <c r="K1426" s="1" t="s">
        <v>99</v>
      </c>
      <c r="L1426" t="str">
        <f>VLOOKUP(D1426, Products!A:C, 3, FALSE)</f>
        <v>Grocery</v>
      </c>
      <c r="M1426" t="str">
        <f>VLOOKUP(C1426, Customers!A:E, 5, FALSE)</f>
        <v>SMB</v>
      </c>
      <c r="N1426">
        <f>VLOOKUP(C1426, Customers!A:E, 3, FALSE)</f>
        <v>28</v>
      </c>
      <c r="O1426" s="93" t="str">
        <f>VLOOKUP(E1426, Sales_Reps!A:C, 3, FALSE)</f>
        <v>South</v>
      </c>
      <c r="P1426">
        <f>VLOOKUP(D1426, Products!A:E, 4, FALSE)</f>
        <v>2911</v>
      </c>
      <c r="Q1426">
        <f>IF(COUNTIF($A$2:A1426, A1426)=2, 1, 0)</f>
        <v>0</v>
      </c>
      <c r="R1426">
        <f>IF(ISNA(MATCH(C1426, Customers!$A:$A, 0)), 1, 0)</f>
        <v>0</v>
      </c>
      <c r="S1426" s="94" t="b">
        <f>VLOOKUP(D1426, Products!A:F, 6, FALSE)</f>
        <v>1</v>
      </c>
    </row>
    <row r="1427" spans="1:19">
      <c r="A1427" s="102" t="s">
        <v>1916</v>
      </c>
      <c r="B1427" s="2">
        <v>45564</v>
      </c>
      <c r="C1427" s="1" t="s">
        <v>608</v>
      </c>
      <c r="D1427" s="1" t="s">
        <v>282</v>
      </c>
      <c r="E1427" s="1" t="s">
        <v>297</v>
      </c>
      <c r="F1427" s="83">
        <v>8</v>
      </c>
      <c r="G1427" s="92">
        <v>300</v>
      </c>
      <c r="H1427" s="3">
        <v>19.8</v>
      </c>
      <c r="I1427" s="3">
        <v>1924.8</v>
      </c>
      <c r="J1427" s="1" t="s">
        <v>140</v>
      </c>
      <c r="K1427" s="1" t="s">
        <v>88</v>
      </c>
      <c r="L1427" t="str">
        <f>VLOOKUP(D1427, Products!A:C, 3, FALSE)</f>
        <v>Electronics</v>
      </c>
      <c r="M1427" t="str">
        <f>VLOOKUP(C1427, Customers!A:E, 5, FALSE)</f>
        <v>Corporate</v>
      </c>
      <c r="N1427">
        <f>VLOOKUP(C1427, Customers!A:E, 3, FALSE)</f>
        <v>40</v>
      </c>
      <c r="O1427" s="93" t="str">
        <f>VLOOKUP(E1427, Sales_Reps!A:C, 3, FALSE)</f>
        <v>North</v>
      </c>
      <c r="P1427">
        <f>VLOOKUP(D1427, Products!A:E, 4, FALSE)</f>
        <v>128</v>
      </c>
      <c r="Q1427">
        <f>IF(COUNTIF($A$2:A1427, A1427)=2, 1, 0)</f>
        <v>0</v>
      </c>
      <c r="R1427">
        <f>IF(ISNA(MATCH(C1427, Customers!$A:$A, 0)), 1, 0)</f>
        <v>0</v>
      </c>
      <c r="S1427" s="94" t="b">
        <f>VLOOKUP(D1427, Products!A:F, 6, FALSE)</f>
        <v>1</v>
      </c>
    </row>
    <row r="1428" spans="1:19">
      <c r="A1428" s="102" t="s">
        <v>1917</v>
      </c>
      <c r="B1428" s="2">
        <v>45454</v>
      </c>
      <c r="C1428" s="1" t="s">
        <v>350</v>
      </c>
      <c r="D1428" s="1" t="s">
        <v>143</v>
      </c>
      <c r="E1428" s="1" t="s">
        <v>297</v>
      </c>
      <c r="F1428" s="83">
        <v>10</v>
      </c>
      <c r="G1428" s="92">
        <v>3250</v>
      </c>
      <c r="H1428" s="3">
        <v>21.3</v>
      </c>
      <c r="I1428" s="3">
        <v>25577.5</v>
      </c>
      <c r="J1428" s="1" t="s">
        <v>140</v>
      </c>
      <c r="K1428" s="1" t="s">
        <v>112</v>
      </c>
      <c r="L1428" t="str">
        <f>VLOOKUP(D1428, Products!A:C, 3, FALSE)</f>
        <v>Home</v>
      </c>
      <c r="M1428" t="str">
        <f>VLOOKUP(C1428, Customers!A:E, 5, FALSE)</f>
        <v>SMB</v>
      </c>
      <c r="N1428">
        <f>VLOOKUP(C1428, Customers!A:E, 3, FALSE)</f>
        <v>22</v>
      </c>
      <c r="O1428" s="93" t="str">
        <f>VLOOKUP(E1428, Sales_Reps!A:C, 3, FALSE)</f>
        <v>North</v>
      </c>
      <c r="P1428">
        <f>VLOOKUP(D1428, Products!A:E, 4, FALSE)</f>
        <v>1556</v>
      </c>
      <c r="Q1428">
        <f>IF(COUNTIF($A$2:A1428, A1428)=2, 1, 0)</f>
        <v>0</v>
      </c>
      <c r="R1428">
        <f>IF(ISNA(MATCH(C1428, Customers!$A:$A, 0)), 1, 0)</f>
        <v>0</v>
      </c>
      <c r="S1428" s="94" t="b">
        <f>VLOOKUP(D1428, Products!A:F, 6, FALSE)</f>
        <v>1</v>
      </c>
    </row>
    <row r="1429" spans="1:19">
      <c r="A1429" s="102" t="s">
        <v>1918</v>
      </c>
      <c r="B1429" s="2">
        <v>45616</v>
      </c>
      <c r="C1429" s="1" t="s">
        <v>105</v>
      </c>
      <c r="D1429" s="1" t="s">
        <v>195</v>
      </c>
      <c r="E1429" s="1" t="s">
        <v>204</v>
      </c>
      <c r="F1429" s="83">
        <v>2</v>
      </c>
      <c r="G1429" s="92">
        <v>2860</v>
      </c>
      <c r="H1429" s="3">
        <v>13.7</v>
      </c>
      <c r="I1429" s="3">
        <v>4936.3599999999997</v>
      </c>
      <c r="J1429" s="1" t="s">
        <v>87</v>
      </c>
      <c r="K1429" s="1" t="s">
        <v>94</v>
      </c>
      <c r="L1429" t="str">
        <f>VLOOKUP(D1429, Products!A:C, 3, FALSE)</f>
        <v>Sports</v>
      </c>
      <c r="M1429" t="str">
        <f>VLOOKUP(C1429, Customers!A:E, 5, FALSE)</f>
        <v>Retail</v>
      </c>
      <c r="N1429">
        <f>VLOOKUP(C1429, Customers!A:E, 3, FALSE)</f>
        <v>36</v>
      </c>
      <c r="O1429" s="93" t="str">
        <f>VLOOKUP(E1429, Sales_Reps!A:C, 3, FALSE)</f>
        <v>South</v>
      </c>
      <c r="P1429">
        <f>VLOOKUP(D1429, Products!A:E, 4, FALSE)</f>
        <v>2028</v>
      </c>
      <c r="Q1429">
        <f>IF(COUNTIF($A$2:A1429, A1429)=2, 1, 0)</f>
        <v>0</v>
      </c>
      <c r="R1429">
        <f>IF(ISNA(MATCH(C1429, Customers!$A:$A, 0)), 1, 0)</f>
        <v>0</v>
      </c>
      <c r="S1429" s="94" t="b">
        <f>VLOOKUP(D1429, Products!A:F, 6, FALSE)</f>
        <v>1</v>
      </c>
    </row>
    <row r="1430" spans="1:19">
      <c r="A1430" s="102" t="s">
        <v>1919</v>
      </c>
      <c r="B1430" s="2">
        <v>45523</v>
      </c>
      <c r="C1430" s="1" t="s">
        <v>714</v>
      </c>
      <c r="D1430" s="1" t="s">
        <v>267</v>
      </c>
      <c r="E1430" s="1" t="s">
        <v>238</v>
      </c>
      <c r="F1430" s="83">
        <v>10</v>
      </c>
      <c r="G1430" s="92">
        <v>1220</v>
      </c>
      <c r="H1430" s="3">
        <v>15.4</v>
      </c>
      <c r="I1430" s="3">
        <v>10321.200000000001</v>
      </c>
      <c r="J1430" s="1" t="s">
        <v>87</v>
      </c>
      <c r="K1430" s="1" t="s">
        <v>99</v>
      </c>
      <c r="L1430" t="str">
        <f>VLOOKUP(D1430, Products!A:C, 3, FALSE)</f>
        <v>Electronics</v>
      </c>
      <c r="M1430" t="str">
        <f>VLOOKUP(C1430, Customers!A:E, 5, FALSE)</f>
        <v>Retail</v>
      </c>
      <c r="N1430">
        <f>VLOOKUP(C1430, Customers!A:E, 3, FALSE)</f>
        <v>24</v>
      </c>
      <c r="O1430" s="93" t="str">
        <f>VLOOKUP(E1430, Sales_Reps!A:C, 3, FALSE)</f>
        <v>East</v>
      </c>
      <c r="P1430">
        <f>VLOOKUP(D1430, Products!A:E, 4, FALSE)</f>
        <v>517</v>
      </c>
      <c r="Q1430">
        <f>IF(COUNTIF($A$2:A1430, A1430)=2, 1, 0)</f>
        <v>0</v>
      </c>
      <c r="R1430">
        <f>IF(ISNA(MATCH(C1430, Customers!$A:$A, 0)), 1, 0)</f>
        <v>0</v>
      </c>
      <c r="S1430" s="94" t="b">
        <f>VLOOKUP(D1430, Products!A:F, 6, FALSE)</f>
        <v>1</v>
      </c>
    </row>
    <row r="1431" spans="1:19">
      <c r="A1431" s="102" t="s">
        <v>1920</v>
      </c>
      <c r="B1431" s="2">
        <v>45439</v>
      </c>
      <c r="C1431" s="1" t="s">
        <v>256</v>
      </c>
      <c r="D1431" s="1" t="s">
        <v>234</v>
      </c>
      <c r="E1431" s="1" t="s">
        <v>132</v>
      </c>
      <c r="F1431" s="83">
        <v>3</v>
      </c>
      <c r="G1431" s="92">
        <v>3780</v>
      </c>
      <c r="H1431" s="3">
        <v>1.9</v>
      </c>
      <c r="I1431" s="3">
        <v>11124.54</v>
      </c>
      <c r="J1431" s="1" t="s">
        <v>87</v>
      </c>
      <c r="K1431" s="1" t="s">
        <v>133</v>
      </c>
      <c r="L1431" t="str">
        <f>VLOOKUP(D1431, Products!A:C, 3, FALSE)</f>
        <v>Grocery</v>
      </c>
      <c r="M1431" t="str">
        <f>VLOOKUP(C1431, Customers!A:E, 5, FALSE)</f>
        <v>Retail</v>
      </c>
      <c r="N1431">
        <f>VLOOKUP(C1431, Customers!A:E, 3, FALSE)</f>
        <v>27</v>
      </c>
      <c r="O1431" s="93" t="str">
        <f>VLOOKUP(E1431, Sales_Reps!A:C, 3, FALSE)</f>
        <v>South</v>
      </c>
      <c r="P1431">
        <f>VLOOKUP(D1431, Products!A:E, 4, FALSE)</f>
        <v>2436</v>
      </c>
      <c r="Q1431">
        <f>IF(COUNTIF($A$2:A1431, A1431)=2, 1, 0)</f>
        <v>0</v>
      </c>
      <c r="R1431">
        <f>IF(ISNA(MATCH(C1431, Customers!$A:$A, 0)), 1, 0)</f>
        <v>0</v>
      </c>
      <c r="S1431" s="94" t="b">
        <f>VLOOKUP(D1431, Products!A:F, 6, FALSE)</f>
        <v>1</v>
      </c>
    </row>
    <row r="1432" spans="1:19">
      <c r="A1432" s="102" t="s">
        <v>1921</v>
      </c>
      <c r="B1432" s="2">
        <v>45579</v>
      </c>
      <c r="C1432" s="1" t="s">
        <v>968</v>
      </c>
      <c r="D1432" s="1" t="s">
        <v>124</v>
      </c>
      <c r="E1432" s="1" t="s">
        <v>303</v>
      </c>
      <c r="F1432" s="83">
        <v>6</v>
      </c>
      <c r="G1432" s="92">
        <v>5490</v>
      </c>
      <c r="H1432" s="3">
        <v>0.5</v>
      </c>
      <c r="I1432" s="3">
        <v>32775.300000000003</v>
      </c>
      <c r="J1432" s="1" t="s">
        <v>93</v>
      </c>
      <c r="K1432" s="1" t="s">
        <v>99</v>
      </c>
      <c r="L1432" t="str">
        <f>VLOOKUP(D1432, Products!A:C, 3, FALSE)</f>
        <v>Home</v>
      </c>
      <c r="M1432" t="str">
        <f>VLOOKUP(C1432, Customers!A:E, 5, FALSE)</f>
        <v>Retail</v>
      </c>
      <c r="N1432">
        <f>VLOOKUP(C1432, Customers!A:E, 3, FALSE)</f>
        <v>47</v>
      </c>
      <c r="O1432" s="93" t="str">
        <f>VLOOKUP(E1432, Sales_Reps!A:C, 3, FALSE)</f>
        <v>East</v>
      </c>
      <c r="P1432">
        <f>VLOOKUP(D1432, Products!A:E, 4, FALSE)</f>
        <v>2549</v>
      </c>
      <c r="Q1432">
        <f>IF(COUNTIF($A$2:A1432, A1432)=2, 1, 0)</f>
        <v>0</v>
      </c>
      <c r="R1432">
        <f>IF(ISNA(MATCH(C1432, Customers!$A:$A, 0)), 1, 0)</f>
        <v>0</v>
      </c>
      <c r="S1432" s="94" t="b">
        <f>VLOOKUP(D1432, Products!A:F, 6, FALSE)</f>
        <v>1</v>
      </c>
    </row>
    <row r="1433" spans="1:19">
      <c r="A1433" s="102" t="s">
        <v>1922</v>
      </c>
      <c r="B1433" s="2">
        <v>45495</v>
      </c>
      <c r="C1433" s="1" t="s">
        <v>1875</v>
      </c>
      <c r="D1433" s="1" t="s">
        <v>245</v>
      </c>
      <c r="E1433" s="1" t="s">
        <v>229</v>
      </c>
      <c r="F1433" s="83">
        <v>6</v>
      </c>
      <c r="G1433" s="92">
        <v>2270</v>
      </c>
      <c r="H1433" s="3">
        <v>21.5</v>
      </c>
      <c r="I1433" s="3">
        <v>10691.7</v>
      </c>
      <c r="J1433" s="1" t="s">
        <v>87</v>
      </c>
      <c r="K1433" s="1" t="s">
        <v>94</v>
      </c>
      <c r="L1433" t="str">
        <f>VLOOKUP(D1433, Products!A:C, 3, FALSE)</f>
        <v>Grocery</v>
      </c>
      <c r="M1433" t="str">
        <f>VLOOKUP(C1433, Customers!A:E, 5, FALSE)</f>
        <v>Corporate</v>
      </c>
      <c r="N1433">
        <f>VLOOKUP(C1433, Customers!A:E, 3, FALSE)</f>
        <v>54</v>
      </c>
      <c r="O1433" s="93" t="str">
        <f>VLOOKUP(E1433, Sales_Reps!A:C, 3, FALSE)</f>
        <v>West</v>
      </c>
      <c r="P1433">
        <f>VLOOKUP(D1433, Products!A:E, 4, FALSE)</f>
        <v>1412</v>
      </c>
      <c r="Q1433">
        <f>IF(COUNTIF($A$2:A1433, A1433)=2, 1, 0)</f>
        <v>0</v>
      </c>
      <c r="R1433">
        <f>IF(ISNA(MATCH(C1433, Customers!$A:$A, 0)), 1, 0)</f>
        <v>0</v>
      </c>
      <c r="S1433" s="94" t="b">
        <f>VLOOKUP(D1433, Products!A:F, 6, FALSE)</f>
        <v>1</v>
      </c>
    </row>
    <row r="1434" spans="1:19">
      <c r="A1434" s="102" t="s">
        <v>1923</v>
      </c>
      <c r="B1434" s="2">
        <v>45600</v>
      </c>
      <c r="C1434" s="1" t="s">
        <v>405</v>
      </c>
      <c r="D1434" s="1" t="s">
        <v>338</v>
      </c>
      <c r="E1434" s="1" t="s">
        <v>154</v>
      </c>
      <c r="F1434" s="83">
        <v>7</v>
      </c>
      <c r="G1434" s="92">
        <v>2210</v>
      </c>
      <c r="H1434" s="3">
        <v>10.3</v>
      </c>
      <c r="I1434" s="3">
        <v>13876.59</v>
      </c>
      <c r="J1434" s="1" t="s">
        <v>87</v>
      </c>
      <c r="K1434" s="1" t="s">
        <v>94</v>
      </c>
      <c r="L1434" t="str">
        <f>VLOOKUP(D1434, Products!A:C, 3, FALSE)</f>
        <v>Grocery</v>
      </c>
      <c r="M1434" t="str">
        <f>VLOOKUP(C1434, Customers!A:E, 5, FALSE)</f>
        <v>Corporate</v>
      </c>
      <c r="N1434">
        <f>VLOOKUP(C1434, Customers!A:E, 3, FALSE)</f>
        <v>24</v>
      </c>
      <c r="O1434" s="93" t="str">
        <f>VLOOKUP(E1434, Sales_Reps!A:C, 3, FALSE)</f>
        <v>East</v>
      </c>
      <c r="P1434">
        <f>VLOOKUP(D1434, Products!A:E, 4, FALSE)</f>
        <v>1010</v>
      </c>
      <c r="Q1434">
        <f>IF(COUNTIF($A$2:A1434, A1434)=2, 1, 0)</f>
        <v>0</v>
      </c>
      <c r="R1434">
        <f>IF(ISNA(MATCH(C1434, Customers!$A:$A, 0)), 1, 0)</f>
        <v>0</v>
      </c>
      <c r="S1434" s="94" t="b">
        <f>VLOOKUP(D1434, Products!A:F, 6, FALSE)</f>
        <v>1</v>
      </c>
    </row>
    <row r="1435" spans="1:19">
      <c r="A1435" s="102" t="s">
        <v>1924</v>
      </c>
      <c r="B1435" s="2">
        <v>45605</v>
      </c>
      <c r="C1435" s="1" t="s">
        <v>1925</v>
      </c>
      <c r="D1435" s="1" t="s">
        <v>502</v>
      </c>
      <c r="E1435" s="1" t="s">
        <v>204</v>
      </c>
      <c r="F1435" s="83">
        <v>8</v>
      </c>
      <c r="G1435" s="92">
        <v>1090</v>
      </c>
      <c r="H1435" s="3">
        <v>21.7</v>
      </c>
      <c r="I1435" s="3">
        <v>6827.76</v>
      </c>
      <c r="J1435" s="1" t="s">
        <v>87</v>
      </c>
      <c r="K1435" s="1" t="s">
        <v>88</v>
      </c>
      <c r="L1435" t="str">
        <f>VLOOKUP(D1435, Products!A:C, 3, FALSE)</f>
        <v>Home</v>
      </c>
      <c r="M1435" t="e">
        <f>VLOOKUP(C1435, Customers!A:E, 5, FALSE)</f>
        <v>#N/A</v>
      </c>
      <c r="N1435" t="e">
        <f>VLOOKUP(C1435, Customers!A:E, 3, FALSE)</f>
        <v>#N/A</v>
      </c>
      <c r="O1435" s="93" t="str">
        <f>VLOOKUP(E1435, Sales_Reps!A:C, 3, FALSE)</f>
        <v>South</v>
      </c>
      <c r="P1435">
        <f>VLOOKUP(D1435, Products!A:E, 4, FALSE)</f>
        <v>464</v>
      </c>
      <c r="Q1435">
        <f>IF(COUNTIF($A$2:A1435, A1435)=2, 1, 0)</f>
        <v>0</v>
      </c>
      <c r="R1435">
        <f>IF(ISNA(MATCH(C1435, Customers!$A:$A, 0)), 1, 0)</f>
        <v>1</v>
      </c>
      <c r="S1435" s="94" t="b">
        <f>VLOOKUP(D1435, Products!A:F, 6, FALSE)</f>
        <v>1</v>
      </c>
    </row>
    <row r="1436" spans="1:19">
      <c r="A1436" s="102" t="s">
        <v>1926</v>
      </c>
      <c r="B1436" s="2">
        <v>45598</v>
      </c>
      <c r="C1436" s="1" t="s">
        <v>841</v>
      </c>
      <c r="D1436" s="1" t="s">
        <v>659</v>
      </c>
      <c r="E1436" s="1" t="s">
        <v>297</v>
      </c>
      <c r="F1436" s="83">
        <v>5</v>
      </c>
      <c r="G1436" s="92">
        <v>3560</v>
      </c>
      <c r="H1436" s="3">
        <v>19.399999999999999</v>
      </c>
      <c r="I1436" s="3">
        <v>14346.8</v>
      </c>
      <c r="J1436" s="1" t="s">
        <v>93</v>
      </c>
      <c r="K1436" s="1" t="s">
        <v>117</v>
      </c>
      <c r="L1436" t="str">
        <f>VLOOKUP(D1436, Products!A:C, 3, FALSE)</f>
        <v>Apparel</v>
      </c>
      <c r="M1436" t="str">
        <f>VLOOKUP(C1436, Customers!A:E, 5, FALSE)</f>
        <v>Corporate</v>
      </c>
      <c r="N1436">
        <f>VLOOKUP(C1436, Customers!A:E, 3, FALSE)</f>
        <v>41</v>
      </c>
      <c r="O1436" s="93" t="str">
        <f>VLOOKUP(E1436, Sales_Reps!A:C, 3, FALSE)</f>
        <v>North</v>
      </c>
      <c r="P1436">
        <f>VLOOKUP(D1436, Products!A:E, 4, FALSE)</f>
        <v>2629</v>
      </c>
      <c r="Q1436">
        <f>IF(COUNTIF($A$2:A1436, A1436)=2, 1, 0)</f>
        <v>0</v>
      </c>
      <c r="R1436">
        <f>IF(ISNA(MATCH(C1436, Customers!$A:$A, 0)), 1, 0)</f>
        <v>0</v>
      </c>
      <c r="S1436" s="94" t="b">
        <f>VLOOKUP(D1436, Products!A:F, 6, FALSE)</f>
        <v>1</v>
      </c>
    </row>
    <row r="1437" spans="1:19">
      <c r="A1437" s="102" t="s">
        <v>1927</v>
      </c>
      <c r="B1437" s="2">
        <v>45452</v>
      </c>
      <c r="C1437" s="1" t="s">
        <v>1172</v>
      </c>
      <c r="D1437" s="1" t="s">
        <v>182</v>
      </c>
      <c r="E1437" s="1" t="s">
        <v>128</v>
      </c>
      <c r="F1437" s="83">
        <v>7</v>
      </c>
      <c r="G1437" s="92">
        <v>1010</v>
      </c>
      <c r="H1437" s="3">
        <v>28.2</v>
      </c>
      <c r="I1437" s="3">
        <v>5076.26</v>
      </c>
      <c r="J1437" s="1" t="s">
        <v>87</v>
      </c>
      <c r="K1437" s="1" t="s">
        <v>88</v>
      </c>
      <c r="L1437" t="str">
        <f>VLOOKUP(D1437, Products!A:C, 3, FALSE)</f>
        <v>Sports</v>
      </c>
      <c r="M1437" t="str">
        <f>VLOOKUP(C1437, Customers!A:E, 5, FALSE)</f>
        <v>Retail</v>
      </c>
      <c r="N1437">
        <f>VLOOKUP(C1437, Customers!A:E, 3, FALSE)</f>
        <v>39</v>
      </c>
      <c r="O1437" s="93" t="str">
        <f>VLOOKUP(E1437, Sales_Reps!A:C, 3, FALSE)</f>
        <v>West</v>
      </c>
      <c r="P1437">
        <f>VLOOKUP(D1437, Products!A:E, 4, FALSE)</f>
        <v>516</v>
      </c>
      <c r="Q1437">
        <f>IF(COUNTIF($A$2:A1437, A1437)=2, 1, 0)</f>
        <v>0</v>
      </c>
      <c r="R1437">
        <f>IF(ISNA(MATCH(C1437, Customers!$A:$A, 0)), 1, 0)</f>
        <v>0</v>
      </c>
      <c r="S1437" s="94" t="b">
        <f>VLOOKUP(D1437, Products!A:F, 6, FALSE)</f>
        <v>1</v>
      </c>
    </row>
    <row r="1438" spans="1:19">
      <c r="A1438" s="102" t="s">
        <v>1928</v>
      </c>
      <c r="B1438" s="2">
        <v>45470</v>
      </c>
      <c r="C1438" s="1" t="s">
        <v>712</v>
      </c>
      <c r="D1438" s="1" t="s">
        <v>295</v>
      </c>
      <c r="E1438" s="1" t="s">
        <v>188</v>
      </c>
      <c r="F1438" s="83">
        <v>2</v>
      </c>
      <c r="G1438" s="92">
        <v>2030</v>
      </c>
      <c r="H1438" s="3">
        <v>27.3</v>
      </c>
      <c r="I1438" s="3">
        <v>2951.62</v>
      </c>
      <c r="J1438" s="1" t="s">
        <v>144</v>
      </c>
      <c r="K1438" s="1" t="s">
        <v>112</v>
      </c>
      <c r="L1438" t="str">
        <f>VLOOKUP(D1438, Products!A:C, 3, FALSE)</f>
        <v>Home</v>
      </c>
      <c r="M1438" t="str">
        <f>VLOOKUP(C1438, Customers!A:E, 5, FALSE)</f>
        <v>Corporate</v>
      </c>
      <c r="N1438">
        <f>VLOOKUP(C1438, Customers!A:E, 3, FALSE)</f>
        <v>51</v>
      </c>
      <c r="O1438" s="93" t="str">
        <f>VLOOKUP(E1438, Sales_Reps!A:C, 3, FALSE)</f>
        <v>South</v>
      </c>
      <c r="P1438">
        <f>VLOOKUP(D1438, Products!A:E, 4, FALSE)</f>
        <v>1143</v>
      </c>
      <c r="Q1438">
        <f>IF(COUNTIF($A$2:A1438, A1438)=2, 1, 0)</f>
        <v>0</v>
      </c>
      <c r="R1438">
        <f>IF(ISNA(MATCH(C1438, Customers!$A:$A, 0)), 1, 0)</f>
        <v>0</v>
      </c>
      <c r="S1438" s="94" t="b">
        <f>VLOOKUP(D1438, Products!A:F, 6, FALSE)</f>
        <v>1</v>
      </c>
    </row>
    <row r="1439" spans="1:19">
      <c r="A1439" s="102" t="s">
        <v>1929</v>
      </c>
      <c r="B1439" s="2">
        <v>45350</v>
      </c>
      <c r="C1439" s="1" t="s">
        <v>210</v>
      </c>
      <c r="D1439" s="1" t="s">
        <v>364</v>
      </c>
      <c r="E1439" s="1" t="s">
        <v>325</v>
      </c>
      <c r="F1439" s="83">
        <v>6</v>
      </c>
      <c r="G1439" s="92">
        <v>5330</v>
      </c>
      <c r="H1439" s="3">
        <v>0.6</v>
      </c>
      <c r="I1439" s="3">
        <v>31788.12</v>
      </c>
      <c r="J1439" s="1" t="s">
        <v>87</v>
      </c>
      <c r="K1439" s="1" t="s">
        <v>99</v>
      </c>
      <c r="L1439" t="str">
        <f>VLOOKUP(D1439, Products!A:C, 3, FALSE)</f>
        <v>Electronics</v>
      </c>
      <c r="M1439" t="str">
        <f>VLOOKUP(C1439, Customers!A:E, 5, FALSE)</f>
        <v>Retail</v>
      </c>
      <c r="N1439">
        <f>VLOOKUP(C1439, Customers!A:E, 3, FALSE)</f>
        <v>41</v>
      </c>
      <c r="O1439" s="93" t="str">
        <f>VLOOKUP(E1439, Sales_Reps!A:C, 3, FALSE)</f>
        <v>South</v>
      </c>
      <c r="P1439">
        <f>VLOOKUP(D1439, Products!A:E, 4, FALSE)</f>
        <v>2405</v>
      </c>
      <c r="Q1439">
        <f>IF(COUNTIF($A$2:A1439, A1439)=2, 1, 0)</f>
        <v>0</v>
      </c>
      <c r="R1439">
        <f>IF(ISNA(MATCH(C1439, Customers!$A:$A, 0)), 1, 0)</f>
        <v>0</v>
      </c>
      <c r="S1439" s="94" t="b">
        <f>VLOOKUP(D1439, Products!A:F, 6, FALSE)</f>
        <v>1</v>
      </c>
    </row>
    <row r="1440" spans="1:19">
      <c r="A1440" s="102" t="s">
        <v>1930</v>
      </c>
      <c r="B1440" s="2">
        <v>45514</v>
      </c>
      <c r="C1440" s="1" t="s">
        <v>310</v>
      </c>
      <c r="D1440" s="1" t="s">
        <v>135</v>
      </c>
      <c r="E1440" s="1" t="s">
        <v>86</v>
      </c>
      <c r="F1440" s="83">
        <v>2</v>
      </c>
      <c r="G1440" s="92">
        <v>2640</v>
      </c>
      <c r="H1440" s="3">
        <v>26</v>
      </c>
      <c r="I1440" s="3">
        <v>3907.2</v>
      </c>
      <c r="J1440" s="1" t="s">
        <v>93</v>
      </c>
      <c r="K1440" s="1" t="s">
        <v>117</v>
      </c>
      <c r="L1440" t="str">
        <f>VLOOKUP(D1440, Products!A:C, 3, FALSE)</f>
        <v>Electronics</v>
      </c>
      <c r="M1440" t="str">
        <f>VLOOKUP(C1440, Customers!A:E, 5, FALSE)</f>
        <v>Retail</v>
      </c>
      <c r="N1440">
        <f>VLOOKUP(C1440, Customers!A:E, 3, FALSE)</f>
        <v>42</v>
      </c>
      <c r="O1440" s="93" t="str">
        <f>VLOOKUP(E1440, Sales_Reps!A:C, 3, FALSE)</f>
        <v>North</v>
      </c>
      <c r="P1440">
        <f>VLOOKUP(D1440, Products!A:E, 4, FALSE)</f>
        <v>1149</v>
      </c>
      <c r="Q1440">
        <f>IF(COUNTIF($A$2:A1440, A1440)=2, 1, 0)</f>
        <v>0</v>
      </c>
      <c r="R1440">
        <f>IF(ISNA(MATCH(C1440, Customers!$A:$A, 0)), 1, 0)</f>
        <v>0</v>
      </c>
      <c r="S1440" s="94" t="b">
        <f>VLOOKUP(D1440, Products!A:F, 6, FALSE)</f>
        <v>1</v>
      </c>
    </row>
    <row r="1441" spans="1:19">
      <c r="A1441" s="102" t="s">
        <v>1931</v>
      </c>
      <c r="B1441" s="2">
        <v>45447</v>
      </c>
      <c r="C1441" s="1" t="s">
        <v>350</v>
      </c>
      <c r="D1441" s="1" t="s">
        <v>279</v>
      </c>
      <c r="E1441" s="1" t="s">
        <v>325</v>
      </c>
      <c r="F1441" s="83">
        <v>8</v>
      </c>
      <c r="G1441" s="92">
        <v>2660</v>
      </c>
      <c r="H1441" s="3">
        <v>2.9</v>
      </c>
      <c r="I1441" s="3">
        <v>20662.88</v>
      </c>
      <c r="J1441" s="1" t="s">
        <v>87</v>
      </c>
      <c r="K1441" s="1" t="s">
        <v>112</v>
      </c>
      <c r="L1441" t="str">
        <f>VLOOKUP(D1441, Products!A:C, 3, FALSE)</f>
        <v>Electronics</v>
      </c>
      <c r="M1441" t="str">
        <f>VLOOKUP(C1441, Customers!A:E, 5, FALSE)</f>
        <v>SMB</v>
      </c>
      <c r="N1441">
        <f>VLOOKUP(C1441, Customers!A:E, 3, FALSE)</f>
        <v>22</v>
      </c>
      <c r="O1441" s="93" t="str">
        <f>VLOOKUP(E1441, Sales_Reps!A:C, 3, FALSE)</f>
        <v>South</v>
      </c>
      <c r="P1441">
        <f>VLOOKUP(D1441, Products!A:E, 4, FALSE)</f>
        <v>1259</v>
      </c>
      <c r="Q1441">
        <f>IF(COUNTIF($A$2:A1441, A1441)=2, 1, 0)</f>
        <v>0</v>
      </c>
      <c r="R1441">
        <f>IF(ISNA(MATCH(C1441, Customers!$A:$A, 0)), 1, 0)</f>
        <v>0</v>
      </c>
      <c r="S1441" s="94" t="b">
        <f>VLOOKUP(D1441, Products!A:F, 6, FALSE)</f>
        <v>0</v>
      </c>
    </row>
    <row r="1442" spans="1:19">
      <c r="A1442" s="102" t="s">
        <v>1932</v>
      </c>
      <c r="B1442" s="2">
        <v>45390</v>
      </c>
      <c r="C1442" s="1" t="s">
        <v>1072</v>
      </c>
      <c r="D1442" s="1" t="s">
        <v>143</v>
      </c>
      <c r="E1442" s="1" t="s">
        <v>154</v>
      </c>
      <c r="F1442" s="83">
        <v>6</v>
      </c>
      <c r="G1442" s="92">
        <v>3250</v>
      </c>
      <c r="H1442" s="3">
        <v>11.1</v>
      </c>
      <c r="I1442" s="3">
        <v>17335.5</v>
      </c>
      <c r="J1442" s="1" t="s">
        <v>87</v>
      </c>
      <c r="K1442" s="1" t="s">
        <v>112</v>
      </c>
      <c r="L1442" t="str">
        <f>VLOOKUP(D1442, Products!A:C, 3, FALSE)</f>
        <v>Home</v>
      </c>
      <c r="M1442" t="str">
        <f>VLOOKUP(C1442, Customers!A:E, 5, FALSE)</f>
        <v>SMB</v>
      </c>
      <c r="N1442">
        <f>VLOOKUP(C1442, Customers!A:E, 3, FALSE)</f>
        <v>53</v>
      </c>
      <c r="O1442" s="93" t="str">
        <f>VLOOKUP(E1442, Sales_Reps!A:C, 3, FALSE)</f>
        <v>East</v>
      </c>
      <c r="P1442">
        <f>VLOOKUP(D1442, Products!A:E, 4, FALSE)</f>
        <v>1556</v>
      </c>
      <c r="Q1442">
        <f>IF(COUNTIF($A$2:A1442, A1442)=2, 1, 0)</f>
        <v>0</v>
      </c>
      <c r="R1442">
        <f>IF(ISNA(MATCH(C1442, Customers!$A:$A, 0)), 1, 0)</f>
        <v>0</v>
      </c>
      <c r="S1442" s="94" t="b">
        <f>VLOOKUP(D1442, Products!A:F, 6, FALSE)</f>
        <v>1</v>
      </c>
    </row>
    <row r="1443" spans="1:19">
      <c r="A1443" s="102" t="s">
        <v>1933</v>
      </c>
      <c r="B1443" s="2">
        <v>45307</v>
      </c>
      <c r="C1443" s="1" t="s">
        <v>281</v>
      </c>
      <c r="D1443" s="1" t="s">
        <v>338</v>
      </c>
      <c r="E1443" s="1" t="s">
        <v>139</v>
      </c>
      <c r="F1443" s="83">
        <v>1</v>
      </c>
      <c r="G1443" s="92">
        <v>2210</v>
      </c>
      <c r="H1443" s="3">
        <v>3.5</v>
      </c>
      <c r="I1443" s="3">
        <v>2132.65</v>
      </c>
      <c r="J1443" s="1" t="s">
        <v>87</v>
      </c>
      <c r="K1443" s="1" t="s">
        <v>88</v>
      </c>
      <c r="L1443" t="str">
        <f>VLOOKUP(D1443, Products!A:C, 3, FALSE)</f>
        <v>Grocery</v>
      </c>
      <c r="M1443" t="str">
        <f>VLOOKUP(C1443, Customers!A:E, 5, FALSE)</f>
        <v>Retail</v>
      </c>
      <c r="N1443">
        <f>VLOOKUP(C1443, Customers!A:E, 3, FALSE)</f>
        <v>25</v>
      </c>
      <c r="O1443" s="93" t="str">
        <f>VLOOKUP(E1443, Sales_Reps!A:C, 3, FALSE)</f>
        <v>North</v>
      </c>
      <c r="P1443">
        <f>VLOOKUP(D1443, Products!A:E, 4, FALSE)</f>
        <v>1010</v>
      </c>
      <c r="Q1443">
        <f>IF(COUNTIF($A$2:A1443, A1443)=2, 1, 0)</f>
        <v>0</v>
      </c>
      <c r="R1443">
        <f>IF(ISNA(MATCH(C1443, Customers!$A:$A, 0)), 1, 0)</f>
        <v>0</v>
      </c>
      <c r="S1443" s="94" t="b">
        <f>VLOOKUP(D1443, Products!A:F, 6, FALSE)</f>
        <v>1</v>
      </c>
    </row>
    <row r="1444" spans="1:19">
      <c r="A1444" s="102" t="s">
        <v>1934</v>
      </c>
      <c r="B1444" s="2">
        <v>45432</v>
      </c>
      <c r="C1444" s="1" t="s">
        <v>493</v>
      </c>
      <c r="D1444" s="1" t="s">
        <v>110</v>
      </c>
      <c r="E1444" s="1" t="s">
        <v>121</v>
      </c>
      <c r="F1444" s="83">
        <v>9</v>
      </c>
      <c r="G1444" s="92">
        <v>370</v>
      </c>
      <c r="H1444" s="3">
        <v>12.4</v>
      </c>
      <c r="I1444" s="3">
        <v>2917.08</v>
      </c>
      <c r="J1444" s="1" t="s">
        <v>87</v>
      </c>
      <c r="K1444" s="1" t="s">
        <v>88</v>
      </c>
      <c r="L1444" t="str">
        <f>VLOOKUP(D1444, Products!A:C, 3, FALSE)</f>
        <v>Home</v>
      </c>
      <c r="M1444" t="str">
        <f>VLOOKUP(C1444, Customers!A:E, 5, FALSE)</f>
        <v>Retail</v>
      </c>
      <c r="N1444">
        <f>VLOOKUP(C1444, Customers!A:E, 3, FALSE)</f>
        <v>57</v>
      </c>
      <c r="O1444" s="93" t="str">
        <f>VLOOKUP(E1444, Sales_Reps!A:C, 3, FALSE)</f>
        <v>East</v>
      </c>
      <c r="P1444">
        <f>VLOOKUP(D1444, Products!A:E, 4, FALSE)</f>
        <v>288</v>
      </c>
      <c r="Q1444">
        <f>IF(COUNTIF($A$2:A1444, A1444)=2, 1, 0)</f>
        <v>0</v>
      </c>
      <c r="R1444">
        <f>IF(ISNA(MATCH(C1444, Customers!$A:$A, 0)), 1, 0)</f>
        <v>0</v>
      </c>
      <c r="S1444" s="94" t="b">
        <f>VLOOKUP(D1444, Products!A:F, 6, FALSE)</f>
        <v>1</v>
      </c>
    </row>
    <row r="1445" spans="1:19">
      <c r="A1445" s="102" t="s">
        <v>1935</v>
      </c>
      <c r="B1445" s="2">
        <v>45453</v>
      </c>
      <c r="C1445" s="1" t="s">
        <v>717</v>
      </c>
      <c r="D1445" s="1" t="s">
        <v>461</v>
      </c>
      <c r="E1445" s="1" t="s">
        <v>285</v>
      </c>
      <c r="F1445" s="83">
        <v>3</v>
      </c>
      <c r="G1445" s="92">
        <v>3780</v>
      </c>
      <c r="H1445" s="3">
        <v>8.5</v>
      </c>
      <c r="I1445" s="3">
        <v>10376.1</v>
      </c>
      <c r="J1445" s="1" t="s">
        <v>93</v>
      </c>
      <c r="K1445" s="1" t="s">
        <v>94</v>
      </c>
      <c r="L1445" t="str">
        <f>VLOOKUP(D1445, Products!A:C, 3, FALSE)</f>
        <v>Sports</v>
      </c>
      <c r="M1445" t="str">
        <f>VLOOKUP(C1445, Customers!A:E, 5, FALSE)</f>
        <v>Retail</v>
      </c>
      <c r="N1445">
        <f>VLOOKUP(C1445, Customers!A:E, 3, FALSE)</f>
        <v>24</v>
      </c>
      <c r="O1445" s="93" t="str">
        <f>VLOOKUP(E1445, Sales_Reps!A:C, 3, FALSE)</f>
        <v>East</v>
      </c>
      <c r="P1445">
        <f>VLOOKUP(D1445, Products!A:E, 4, FALSE)</f>
        <v>1860</v>
      </c>
      <c r="Q1445">
        <f>IF(COUNTIF($A$2:A1445, A1445)=2, 1, 0)</f>
        <v>0</v>
      </c>
      <c r="R1445">
        <f>IF(ISNA(MATCH(C1445, Customers!$A:$A, 0)), 1, 0)</f>
        <v>0</v>
      </c>
      <c r="S1445" s="94" t="b">
        <f>VLOOKUP(D1445, Products!A:F, 6, FALSE)</f>
        <v>1</v>
      </c>
    </row>
    <row r="1446" spans="1:19">
      <c r="A1446" s="102" t="s">
        <v>423</v>
      </c>
      <c r="B1446" s="2">
        <v>45397</v>
      </c>
      <c r="C1446" s="1" t="s">
        <v>418</v>
      </c>
      <c r="D1446" s="1" t="s">
        <v>182</v>
      </c>
      <c r="E1446" s="1" t="s">
        <v>297</v>
      </c>
      <c r="F1446" s="83">
        <v>2</v>
      </c>
      <c r="G1446" s="92">
        <v>1010</v>
      </c>
      <c r="H1446" s="3">
        <v>2.7</v>
      </c>
      <c r="I1446" s="3">
        <v>1965.46</v>
      </c>
      <c r="J1446" s="1" t="s">
        <v>87</v>
      </c>
      <c r="K1446" s="1" t="s">
        <v>133</v>
      </c>
      <c r="L1446" t="str">
        <f>VLOOKUP(D1446, Products!A:C, 3, FALSE)</f>
        <v>Sports</v>
      </c>
      <c r="M1446" t="str">
        <f>VLOOKUP(C1446, Customers!A:E, 5, FALSE)</f>
        <v>Retail</v>
      </c>
      <c r="N1446">
        <f>VLOOKUP(C1446, Customers!A:E, 3, FALSE)</f>
        <v>22</v>
      </c>
      <c r="O1446" s="93" t="str">
        <f>VLOOKUP(E1446, Sales_Reps!A:C, 3, FALSE)</f>
        <v>North</v>
      </c>
      <c r="P1446">
        <f>VLOOKUP(D1446, Products!A:E, 4, FALSE)</f>
        <v>516</v>
      </c>
      <c r="Q1446">
        <f>IF(COUNTIF($A$2:A1446, A1446)=2, 1, 0)</f>
        <v>1</v>
      </c>
      <c r="R1446">
        <f>IF(ISNA(MATCH(C1446, Customers!$A:$A, 0)), 1, 0)</f>
        <v>0</v>
      </c>
      <c r="S1446" s="94" t="b">
        <f>VLOOKUP(D1446, Products!A:F, 6, FALSE)</f>
        <v>1</v>
      </c>
    </row>
    <row r="1447" spans="1:19">
      <c r="A1447" s="102" t="s">
        <v>1936</v>
      </c>
      <c r="B1447" s="2">
        <v>45639</v>
      </c>
      <c r="C1447" s="1" t="s">
        <v>990</v>
      </c>
      <c r="D1447" s="1" t="s">
        <v>91</v>
      </c>
      <c r="E1447" s="1" t="s">
        <v>325</v>
      </c>
      <c r="F1447" s="83">
        <v>2</v>
      </c>
      <c r="G1447" s="92">
        <v>820</v>
      </c>
      <c r="H1447" s="3">
        <v>13.2</v>
      </c>
      <c r="I1447" s="3">
        <v>1423.52</v>
      </c>
      <c r="J1447" s="1" t="s">
        <v>93</v>
      </c>
      <c r="K1447" s="1" t="s">
        <v>117</v>
      </c>
      <c r="L1447" t="str">
        <f>VLOOKUP(D1447, Products!A:C, 3, FALSE)</f>
        <v>Apparel</v>
      </c>
      <c r="M1447" t="str">
        <f>VLOOKUP(C1447, Customers!A:E, 5, FALSE)</f>
        <v>Retail</v>
      </c>
      <c r="N1447">
        <f>VLOOKUP(C1447, Customers!A:E, 3, FALSE)</f>
        <v>61</v>
      </c>
      <c r="O1447" s="93" t="str">
        <f>VLOOKUP(E1447, Sales_Reps!A:C, 3, FALSE)</f>
        <v>South</v>
      </c>
      <c r="P1447">
        <f>VLOOKUP(D1447, Products!A:E, 4, FALSE)</f>
        <v>391</v>
      </c>
      <c r="Q1447">
        <f>IF(COUNTIF($A$2:A1447, A1447)=2, 1, 0)</f>
        <v>0</v>
      </c>
      <c r="R1447">
        <f>IF(ISNA(MATCH(C1447, Customers!$A:$A, 0)), 1, 0)</f>
        <v>0</v>
      </c>
      <c r="S1447" s="94" t="b">
        <f>VLOOKUP(D1447, Products!A:F, 6, FALSE)</f>
        <v>1</v>
      </c>
    </row>
    <row r="1448" spans="1:19">
      <c r="A1448" s="102" t="s">
        <v>1937</v>
      </c>
      <c r="B1448" s="2">
        <v>45482</v>
      </c>
      <c r="C1448" s="1" t="s">
        <v>233</v>
      </c>
      <c r="D1448" s="1" t="s">
        <v>102</v>
      </c>
      <c r="E1448" s="1" t="s">
        <v>325</v>
      </c>
      <c r="F1448" s="83">
        <v>1</v>
      </c>
      <c r="G1448" s="92">
        <v>3660</v>
      </c>
      <c r="H1448" s="3">
        <v>14</v>
      </c>
      <c r="I1448" s="3">
        <v>3147.6</v>
      </c>
      <c r="J1448" s="1" t="s">
        <v>144</v>
      </c>
      <c r="K1448" s="1" t="s">
        <v>88</v>
      </c>
      <c r="L1448" t="str">
        <f>VLOOKUP(D1448, Products!A:C, 3, FALSE)</f>
        <v>Grocery</v>
      </c>
      <c r="M1448" t="str">
        <f>VLOOKUP(C1448, Customers!A:E, 5, FALSE)</f>
        <v>SMB</v>
      </c>
      <c r="N1448">
        <f>VLOOKUP(C1448, Customers!A:E, 3, FALSE)</f>
        <v>29</v>
      </c>
      <c r="O1448" s="93" t="str">
        <f>VLOOKUP(E1448, Sales_Reps!A:C, 3, FALSE)</f>
        <v>South</v>
      </c>
      <c r="P1448">
        <f>VLOOKUP(D1448, Products!A:E, 4, FALSE)</f>
        <v>2214</v>
      </c>
      <c r="Q1448">
        <f>IF(COUNTIF($A$2:A1448, A1448)=2, 1, 0)</f>
        <v>0</v>
      </c>
      <c r="R1448">
        <f>IF(ISNA(MATCH(C1448, Customers!$A:$A, 0)), 1, 0)</f>
        <v>0</v>
      </c>
      <c r="S1448" s="94" t="b">
        <f>VLOOKUP(D1448, Products!A:F, 6, FALSE)</f>
        <v>0</v>
      </c>
    </row>
    <row r="1449" spans="1:19">
      <c r="A1449" s="102" t="s">
        <v>1938</v>
      </c>
      <c r="B1449" s="2">
        <v>45447</v>
      </c>
      <c r="C1449" s="1" t="s">
        <v>225</v>
      </c>
      <c r="D1449" s="1" t="s">
        <v>245</v>
      </c>
      <c r="E1449" s="1" t="s">
        <v>238</v>
      </c>
      <c r="F1449" s="83">
        <v>6</v>
      </c>
      <c r="G1449" s="92">
        <v>2270</v>
      </c>
      <c r="H1449" s="3">
        <v>16</v>
      </c>
      <c r="I1449" s="3">
        <v>11440.8</v>
      </c>
      <c r="J1449" s="1" t="s">
        <v>87</v>
      </c>
      <c r="K1449" s="1" t="s">
        <v>94</v>
      </c>
      <c r="L1449" t="str">
        <f>VLOOKUP(D1449, Products!A:C, 3, FALSE)</f>
        <v>Grocery</v>
      </c>
      <c r="M1449" t="str">
        <f>VLOOKUP(C1449, Customers!A:E, 5, FALSE)</f>
        <v>Retail</v>
      </c>
      <c r="N1449">
        <f>VLOOKUP(C1449, Customers!A:E, 3, FALSE)</f>
        <v>37</v>
      </c>
      <c r="O1449" s="93" t="str">
        <f>VLOOKUP(E1449, Sales_Reps!A:C, 3, FALSE)</f>
        <v>East</v>
      </c>
      <c r="P1449">
        <f>VLOOKUP(D1449, Products!A:E, 4, FALSE)</f>
        <v>1412</v>
      </c>
      <c r="Q1449">
        <f>IF(COUNTIF($A$2:A1449, A1449)=2, 1, 0)</f>
        <v>0</v>
      </c>
      <c r="R1449">
        <f>IF(ISNA(MATCH(C1449, Customers!$A:$A, 0)), 1, 0)</f>
        <v>0</v>
      </c>
      <c r="S1449" s="94" t="b">
        <f>VLOOKUP(D1449, Products!A:F, 6, FALSE)</f>
        <v>1</v>
      </c>
    </row>
    <row r="1450" spans="1:19">
      <c r="A1450" s="102" t="s">
        <v>1939</v>
      </c>
      <c r="B1450" s="2">
        <v>45598</v>
      </c>
      <c r="C1450" s="1" t="s">
        <v>447</v>
      </c>
      <c r="D1450" s="1" t="s">
        <v>380</v>
      </c>
      <c r="E1450" s="1" t="s">
        <v>121</v>
      </c>
      <c r="F1450" s="83">
        <v>7</v>
      </c>
      <c r="G1450" s="92">
        <v>960</v>
      </c>
      <c r="H1450" s="3">
        <v>28.8</v>
      </c>
      <c r="I1450" s="3">
        <v>4784.6400000000003</v>
      </c>
      <c r="J1450" s="1" t="s">
        <v>144</v>
      </c>
      <c r="K1450" s="1" t="s">
        <v>112</v>
      </c>
      <c r="L1450" t="str">
        <f>VLOOKUP(D1450, Products!A:C, 3, FALSE)</f>
        <v>Beauty</v>
      </c>
      <c r="M1450" t="str">
        <f>VLOOKUP(C1450, Customers!A:E, 5, FALSE)</f>
        <v>Retail</v>
      </c>
      <c r="N1450">
        <f>VLOOKUP(C1450, Customers!A:E, 3, FALSE)</f>
        <v>41</v>
      </c>
      <c r="O1450" s="93" t="str">
        <f>VLOOKUP(E1450, Sales_Reps!A:C, 3, FALSE)</f>
        <v>East</v>
      </c>
      <c r="P1450">
        <f>VLOOKUP(D1450, Products!A:E, 4, FALSE)</f>
        <v>675</v>
      </c>
      <c r="Q1450">
        <f>IF(COUNTIF($A$2:A1450, A1450)=2, 1, 0)</f>
        <v>0</v>
      </c>
      <c r="R1450">
        <f>IF(ISNA(MATCH(C1450, Customers!$A:$A, 0)), 1, 0)</f>
        <v>0</v>
      </c>
      <c r="S1450" s="94" t="b">
        <f>VLOOKUP(D1450, Products!A:F, 6, FALSE)</f>
        <v>1</v>
      </c>
    </row>
    <row r="1451" spans="1:19">
      <c r="A1451" s="102" t="s">
        <v>1940</v>
      </c>
      <c r="B1451" s="2">
        <v>45645</v>
      </c>
      <c r="C1451" s="1" t="s">
        <v>407</v>
      </c>
      <c r="D1451" s="1" t="s">
        <v>295</v>
      </c>
      <c r="E1451" s="1" t="s">
        <v>111</v>
      </c>
      <c r="F1451" s="83">
        <v>9</v>
      </c>
      <c r="G1451" s="92">
        <v>2030</v>
      </c>
      <c r="H1451" s="3">
        <v>3.4</v>
      </c>
      <c r="I1451" s="3">
        <v>17648.82</v>
      </c>
      <c r="J1451" s="1" t="s">
        <v>87</v>
      </c>
      <c r="K1451" s="1" t="s">
        <v>88</v>
      </c>
      <c r="L1451" t="str">
        <f>VLOOKUP(D1451, Products!A:C, 3, FALSE)</f>
        <v>Home</v>
      </c>
      <c r="M1451" t="str">
        <f>VLOOKUP(C1451, Customers!A:E, 5, FALSE)</f>
        <v>SMB</v>
      </c>
      <c r="N1451">
        <f>VLOOKUP(C1451, Customers!A:E, 3, FALSE)</f>
        <v>53</v>
      </c>
      <c r="O1451" s="93" t="str">
        <f>VLOOKUP(E1451, Sales_Reps!A:C, 3, FALSE)</f>
        <v>West</v>
      </c>
      <c r="P1451">
        <f>VLOOKUP(D1451, Products!A:E, 4, FALSE)</f>
        <v>1143</v>
      </c>
      <c r="Q1451">
        <f>IF(COUNTIF($A$2:A1451, A1451)=2, 1, 0)</f>
        <v>0</v>
      </c>
      <c r="R1451">
        <f>IF(ISNA(MATCH(C1451, Customers!$A:$A, 0)), 1, 0)</f>
        <v>0</v>
      </c>
      <c r="S1451" s="94" t="b">
        <f>VLOOKUP(D1451, Products!A:F, 6, FALSE)</f>
        <v>1</v>
      </c>
    </row>
    <row r="1452" spans="1:19">
      <c r="A1452" s="102" t="s">
        <v>1941</v>
      </c>
      <c r="B1452" s="2">
        <v>45299</v>
      </c>
      <c r="C1452" s="1" t="s">
        <v>1016</v>
      </c>
      <c r="D1452" s="1" t="s">
        <v>367</v>
      </c>
      <c r="E1452" s="1" t="s">
        <v>92</v>
      </c>
      <c r="F1452" s="83">
        <v>6</v>
      </c>
      <c r="G1452" s="92">
        <v>2380</v>
      </c>
      <c r="H1452" s="3">
        <v>13.2</v>
      </c>
      <c r="I1452" s="3">
        <v>12395.04</v>
      </c>
      <c r="J1452" s="1" t="s">
        <v>87</v>
      </c>
      <c r="K1452" s="1" t="s">
        <v>117</v>
      </c>
      <c r="L1452" t="str">
        <f>VLOOKUP(D1452, Products!A:C, 3, FALSE)</f>
        <v>Grocery</v>
      </c>
      <c r="M1452" t="str">
        <f>VLOOKUP(C1452, Customers!A:E, 5, FALSE)</f>
        <v>SMB</v>
      </c>
      <c r="N1452">
        <f>VLOOKUP(C1452, Customers!A:E, 3, FALSE)</f>
        <v>49</v>
      </c>
      <c r="O1452" s="93" t="str">
        <f>VLOOKUP(E1452, Sales_Reps!A:C, 3, FALSE)</f>
        <v>North</v>
      </c>
      <c r="P1452">
        <f>VLOOKUP(D1452, Products!A:E, 4, FALSE)</f>
        <v>1182</v>
      </c>
      <c r="Q1452">
        <f>IF(COUNTIF($A$2:A1452, A1452)=2, 1, 0)</f>
        <v>0</v>
      </c>
      <c r="R1452">
        <f>IF(ISNA(MATCH(C1452, Customers!$A:$A, 0)), 1, 0)</f>
        <v>0</v>
      </c>
      <c r="S1452" s="94" t="b">
        <f>VLOOKUP(D1452, Products!A:F, 6, FALSE)</f>
        <v>1</v>
      </c>
    </row>
    <row r="1453" spans="1:19">
      <c r="A1453" s="102" t="s">
        <v>1942</v>
      </c>
      <c r="B1453" s="2">
        <v>45308</v>
      </c>
      <c r="C1453" s="1" t="s">
        <v>401</v>
      </c>
      <c r="D1453" s="1" t="s">
        <v>157</v>
      </c>
      <c r="E1453" s="1" t="s">
        <v>204</v>
      </c>
      <c r="F1453" s="83">
        <v>10</v>
      </c>
      <c r="G1453" s="92">
        <v>3450</v>
      </c>
      <c r="H1453" s="3">
        <v>8.6999999999999993</v>
      </c>
      <c r="I1453" s="3">
        <v>31498.5</v>
      </c>
      <c r="J1453" s="1" t="s">
        <v>87</v>
      </c>
      <c r="K1453" s="1" t="s">
        <v>94</v>
      </c>
      <c r="L1453" t="str">
        <f>VLOOKUP(D1453, Products!A:C, 3, FALSE)</f>
        <v>Beauty</v>
      </c>
      <c r="M1453" t="str">
        <f>VLOOKUP(C1453, Customers!A:E, 5, FALSE)</f>
        <v>SMB</v>
      </c>
      <c r="N1453">
        <f>VLOOKUP(C1453, Customers!A:E, 3, FALSE)</f>
        <v>51</v>
      </c>
      <c r="O1453" s="93" t="str">
        <f>VLOOKUP(E1453, Sales_Reps!A:C, 3, FALSE)</f>
        <v>South</v>
      </c>
      <c r="P1453">
        <f>VLOOKUP(D1453, Products!A:E, 4, FALSE)</f>
        <v>2420</v>
      </c>
      <c r="Q1453">
        <f>IF(COUNTIF($A$2:A1453, A1453)=2, 1, 0)</f>
        <v>0</v>
      </c>
      <c r="R1453">
        <f>IF(ISNA(MATCH(C1453, Customers!$A:$A, 0)), 1, 0)</f>
        <v>0</v>
      </c>
      <c r="S1453" s="94" t="b">
        <f>VLOOKUP(D1453, Products!A:F, 6, FALSE)</f>
        <v>1</v>
      </c>
    </row>
    <row r="1454" spans="1:19">
      <c r="A1454" s="102" t="s">
        <v>1943</v>
      </c>
      <c r="B1454" s="2">
        <v>45487</v>
      </c>
      <c r="C1454" s="1" t="s">
        <v>1623</v>
      </c>
      <c r="D1454" s="1" t="s">
        <v>380</v>
      </c>
      <c r="E1454" s="1" t="s">
        <v>158</v>
      </c>
      <c r="F1454" s="83">
        <v>6</v>
      </c>
      <c r="G1454" s="92">
        <v>960</v>
      </c>
      <c r="H1454" s="3">
        <v>20.6</v>
      </c>
      <c r="I1454" s="3">
        <v>4573.4399999999996</v>
      </c>
      <c r="J1454" s="1" t="s">
        <v>93</v>
      </c>
      <c r="K1454" s="1" t="s">
        <v>117</v>
      </c>
      <c r="L1454" t="str">
        <f>VLOOKUP(D1454, Products!A:C, 3, FALSE)</f>
        <v>Beauty</v>
      </c>
      <c r="M1454" t="str">
        <f>VLOOKUP(C1454, Customers!A:E, 5, FALSE)</f>
        <v>Retail</v>
      </c>
      <c r="N1454">
        <f>VLOOKUP(C1454, Customers!A:E, 3, FALSE)</f>
        <v>53</v>
      </c>
      <c r="O1454" s="93" t="str">
        <f>VLOOKUP(E1454, Sales_Reps!A:C, 3, FALSE)</f>
        <v>East</v>
      </c>
      <c r="P1454">
        <f>VLOOKUP(D1454, Products!A:E, 4, FALSE)</f>
        <v>675</v>
      </c>
      <c r="Q1454">
        <f>IF(COUNTIF($A$2:A1454, A1454)=2, 1, 0)</f>
        <v>0</v>
      </c>
      <c r="R1454">
        <f>IF(ISNA(MATCH(C1454, Customers!$A:$A, 0)), 1, 0)</f>
        <v>0</v>
      </c>
      <c r="S1454" s="94" t="b">
        <f>VLOOKUP(D1454, Products!A:F, 6, FALSE)</f>
        <v>1</v>
      </c>
    </row>
    <row r="1455" spans="1:19">
      <c r="A1455" s="102" t="s">
        <v>1944</v>
      </c>
      <c r="B1455" s="2">
        <v>45341</v>
      </c>
      <c r="C1455" s="1" t="s">
        <v>797</v>
      </c>
      <c r="D1455" s="1" t="s">
        <v>659</v>
      </c>
      <c r="E1455" s="1" t="s">
        <v>252</v>
      </c>
      <c r="F1455" s="83">
        <v>10</v>
      </c>
      <c r="G1455" s="92">
        <v>3560</v>
      </c>
      <c r="H1455" s="3">
        <v>1.4</v>
      </c>
      <c r="I1455" s="3">
        <v>35101.599999999999</v>
      </c>
      <c r="J1455" s="1" t="s">
        <v>93</v>
      </c>
      <c r="K1455" s="1" t="s">
        <v>99</v>
      </c>
      <c r="L1455" t="str">
        <f>VLOOKUP(D1455, Products!A:C, 3, FALSE)</f>
        <v>Apparel</v>
      </c>
      <c r="M1455" t="str">
        <f>VLOOKUP(C1455, Customers!A:E, 5, FALSE)</f>
        <v>Retail</v>
      </c>
      <c r="N1455">
        <f>VLOOKUP(C1455, Customers!A:E, 3, FALSE)</f>
        <v>63</v>
      </c>
      <c r="O1455" s="93" t="str">
        <f>VLOOKUP(E1455, Sales_Reps!A:C, 3, FALSE)</f>
        <v>South</v>
      </c>
      <c r="P1455">
        <f>VLOOKUP(D1455, Products!A:E, 4, FALSE)</f>
        <v>2629</v>
      </c>
      <c r="Q1455">
        <f>IF(COUNTIF($A$2:A1455, A1455)=2, 1, 0)</f>
        <v>0</v>
      </c>
      <c r="R1455">
        <f>IF(ISNA(MATCH(C1455, Customers!$A:$A, 0)), 1, 0)</f>
        <v>0</v>
      </c>
      <c r="S1455" s="94" t="b">
        <f>VLOOKUP(D1455, Products!A:F, 6, FALSE)</f>
        <v>1</v>
      </c>
    </row>
    <row r="1456" spans="1:19">
      <c r="A1456" s="102" t="s">
        <v>1945</v>
      </c>
      <c r="B1456" s="2">
        <v>45354</v>
      </c>
      <c r="C1456" s="1" t="s">
        <v>223</v>
      </c>
      <c r="D1456" s="1" t="s">
        <v>173</v>
      </c>
      <c r="E1456" s="1" t="s">
        <v>98</v>
      </c>
      <c r="F1456" s="83">
        <v>4</v>
      </c>
      <c r="G1456" s="92">
        <v>2720</v>
      </c>
      <c r="H1456" s="3">
        <v>19.399999999999999</v>
      </c>
      <c r="I1456" s="3">
        <v>8769.2800000000007</v>
      </c>
      <c r="J1456" s="1" t="s">
        <v>144</v>
      </c>
      <c r="K1456" s="1" t="s">
        <v>99</v>
      </c>
      <c r="L1456" t="str">
        <f>VLOOKUP(D1456, Products!A:C, 3, FALSE)</f>
        <v>Apparel</v>
      </c>
      <c r="M1456" t="str">
        <f>VLOOKUP(C1456, Customers!A:E, 5, FALSE)</f>
        <v>Retail</v>
      </c>
      <c r="N1456">
        <f>VLOOKUP(C1456, Customers!A:E, 3, FALSE)</f>
        <v>53</v>
      </c>
      <c r="O1456" s="93" t="str">
        <f>VLOOKUP(E1456, Sales_Reps!A:C, 3, FALSE)</f>
        <v>South</v>
      </c>
      <c r="P1456">
        <f>VLOOKUP(D1456, Products!A:E, 4, FALSE)</f>
        <v>1962</v>
      </c>
      <c r="Q1456">
        <f>IF(COUNTIF($A$2:A1456, A1456)=2, 1, 0)</f>
        <v>0</v>
      </c>
      <c r="R1456">
        <f>IF(ISNA(MATCH(C1456, Customers!$A:$A, 0)), 1, 0)</f>
        <v>0</v>
      </c>
      <c r="S1456" s="94" t="b">
        <f>VLOOKUP(D1456, Products!A:F, 6, FALSE)</f>
        <v>1</v>
      </c>
    </row>
    <row r="1457" spans="1:19">
      <c r="A1457" s="102" t="s">
        <v>1946</v>
      </c>
      <c r="B1457" s="2">
        <v>45458</v>
      </c>
      <c r="C1457" s="1" t="s">
        <v>741</v>
      </c>
      <c r="D1457" s="1" t="s">
        <v>267</v>
      </c>
      <c r="E1457" s="1" t="s">
        <v>229</v>
      </c>
      <c r="F1457" s="83">
        <v>5</v>
      </c>
      <c r="G1457" s="92">
        <v>1220</v>
      </c>
      <c r="H1457" s="3">
        <v>15.6</v>
      </c>
      <c r="I1457" s="3">
        <v>5148.3999999999996</v>
      </c>
      <c r="J1457" s="1" t="s">
        <v>87</v>
      </c>
      <c r="K1457" s="1" t="s">
        <v>133</v>
      </c>
      <c r="L1457" t="str">
        <f>VLOOKUP(D1457, Products!A:C, 3, FALSE)</f>
        <v>Electronics</v>
      </c>
      <c r="M1457" t="str">
        <f>VLOOKUP(C1457, Customers!A:E, 5, FALSE)</f>
        <v>SMB</v>
      </c>
      <c r="N1457">
        <f>VLOOKUP(C1457, Customers!A:E, 3, FALSE)</f>
        <v>29</v>
      </c>
      <c r="O1457" s="93" t="str">
        <f>VLOOKUP(E1457, Sales_Reps!A:C, 3, FALSE)</f>
        <v>West</v>
      </c>
      <c r="P1457">
        <f>VLOOKUP(D1457, Products!A:E, 4, FALSE)</f>
        <v>517</v>
      </c>
      <c r="Q1457">
        <f>IF(COUNTIF($A$2:A1457, A1457)=2, 1, 0)</f>
        <v>0</v>
      </c>
      <c r="R1457">
        <f>IF(ISNA(MATCH(C1457, Customers!$A:$A, 0)), 1, 0)</f>
        <v>0</v>
      </c>
      <c r="S1457" s="94" t="b">
        <f>VLOOKUP(D1457, Products!A:F, 6, FALSE)</f>
        <v>1</v>
      </c>
    </row>
    <row r="1458" spans="1:19">
      <c r="A1458" s="102" t="s">
        <v>1947</v>
      </c>
      <c r="B1458" s="2">
        <v>45364</v>
      </c>
      <c r="C1458" s="1" t="s">
        <v>256</v>
      </c>
      <c r="D1458" s="1" t="s">
        <v>502</v>
      </c>
      <c r="E1458" s="1" t="s">
        <v>201</v>
      </c>
      <c r="F1458" s="83">
        <v>5</v>
      </c>
      <c r="G1458" s="92">
        <v>1090</v>
      </c>
      <c r="H1458" s="3">
        <v>15</v>
      </c>
      <c r="I1458" s="3">
        <v>4632.5</v>
      </c>
      <c r="J1458" s="1" t="s">
        <v>87</v>
      </c>
      <c r="K1458" s="1" t="s">
        <v>133</v>
      </c>
      <c r="L1458" t="str">
        <f>VLOOKUP(D1458, Products!A:C, 3, FALSE)</f>
        <v>Home</v>
      </c>
      <c r="M1458" t="str">
        <f>VLOOKUP(C1458, Customers!A:E, 5, FALSE)</f>
        <v>Retail</v>
      </c>
      <c r="N1458">
        <f>VLOOKUP(C1458, Customers!A:E, 3, FALSE)</f>
        <v>27</v>
      </c>
      <c r="O1458" s="93" t="str">
        <f>VLOOKUP(E1458, Sales_Reps!A:C, 3, FALSE)</f>
        <v>West</v>
      </c>
      <c r="P1458">
        <f>VLOOKUP(D1458, Products!A:E, 4, FALSE)</f>
        <v>464</v>
      </c>
      <c r="Q1458">
        <f>IF(COUNTIF($A$2:A1458, A1458)=2, 1, 0)</f>
        <v>0</v>
      </c>
      <c r="R1458">
        <f>IF(ISNA(MATCH(C1458, Customers!$A:$A, 0)), 1, 0)</f>
        <v>0</v>
      </c>
      <c r="S1458" s="94" t="b">
        <f>VLOOKUP(D1458, Products!A:F, 6, FALSE)</f>
        <v>1</v>
      </c>
    </row>
    <row r="1459" spans="1:19">
      <c r="A1459" s="102" t="s">
        <v>1948</v>
      </c>
      <c r="B1459" s="2">
        <v>45618</v>
      </c>
      <c r="C1459" s="1" t="s">
        <v>1062</v>
      </c>
      <c r="D1459" s="1" t="s">
        <v>110</v>
      </c>
      <c r="E1459" s="1" t="s">
        <v>229</v>
      </c>
      <c r="F1459" s="83">
        <v>9</v>
      </c>
      <c r="G1459" s="92">
        <v>370</v>
      </c>
      <c r="H1459" s="3">
        <v>25.4</v>
      </c>
      <c r="I1459" s="3">
        <v>2484.1799999999998</v>
      </c>
      <c r="J1459" s="1" t="s">
        <v>87</v>
      </c>
      <c r="K1459" s="1" t="s">
        <v>112</v>
      </c>
      <c r="L1459" t="str">
        <f>VLOOKUP(D1459, Products!A:C, 3, FALSE)</f>
        <v>Home</v>
      </c>
      <c r="M1459" t="str">
        <f>VLOOKUP(C1459, Customers!A:E, 5, FALSE)</f>
        <v>SMB</v>
      </c>
      <c r="N1459">
        <f>VLOOKUP(C1459, Customers!A:E, 3, FALSE)</f>
        <v>54</v>
      </c>
      <c r="O1459" s="93" t="str">
        <f>VLOOKUP(E1459, Sales_Reps!A:C, 3, FALSE)</f>
        <v>West</v>
      </c>
      <c r="P1459">
        <f>VLOOKUP(D1459, Products!A:E, 4, FALSE)</f>
        <v>288</v>
      </c>
      <c r="Q1459">
        <f>IF(COUNTIF($A$2:A1459, A1459)=2, 1, 0)</f>
        <v>0</v>
      </c>
      <c r="R1459">
        <f>IF(ISNA(MATCH(C1459, Customers!$A:$A, 0)), 1, 0)</f>
        <v>0</v>
      </c>
      <c r="S1459" s="94" t="b">
        <f>VLOOKUP(D1459, Products!A:F, 6, FALSE)</f>
        <v>1</v>
      </c>
    </row>
    <row r="1460" spans="1:19">
      <c r="A1460" s="102" t="s">
        <v>1949</v>
      </c>
      <c r="B1460" s="2">
        <v>45456</v>
      </c>
      <c r="C1460" s="1" t="s">
        <v>905</v>
      </c>
      <c r="D1460" s="1" t="s">
        <v>195</v>
      </c>
      <c r="E1460" s="1" t="s">
        <v>86</v>
      </c>
      <c r="F1460" s="83">
        <v>7</v>
      </c>
      <c r="G1460" s="92">
        <v>2860</v>
      </c>
      <c r="H1460" s="3">
        <v>14</v>
      </c>
      <c r="I1460" s="3">
        <v>17217.2</v>
      </c>
      <c r="J1460" s="1" t="s">
        <v>87</v>
      </c>
      <c r="K1460" s="1" t="s">
        <v>112</v>
      </c>
      <c r="L1460" t="str">
        <f>VLOOKUP(D1460, Products!A:C, 3, FALSE)</f>
        <v>Sports</v>
      </c>
      <c r="M1460" t="str">
        <f>VLOOKUP(C1460, Customers!A:E, 5, FALSE)</f>
        <v>SMB</v>
      </c>
      <c r="N1460">
        <f>VLOOKUP(C1460, Customers!A:E, 3, FALSE)</f>
        <v>43</v>
      </c>
      <c r="O1460" s="93" t="str">
        <f>VLOOKUP(E1460, Sales_Reps!A:C, 3, FALSE)</f>
        <v>North</v>
      </c>
      <c r="P1460">
        <f>VLOOKUP(D1460, Products!A:E, 4, FALSE)</f>
        <v>2028</v>
      </c>
      <c r="Q1460">
        <f>IF(COUNTIF($A$2:A1460, A1460)=2, 1, 0)</f>
        <v>0</v>
      </c>
      <c r="R1460">
        <f>IF(ISNA(MATCH(C1460, Customers!$A:$A, 0)), 1, 0)</f>
        <v>0</v>
      </c>
      <c r="S1460" s="94" t="b">
        <f>VLOOKUP(D1460, Products!A:F, 6, FALSE)</f>
        <v>1</v>
      </c>
    </row>
    <row r="1461" spans="1:19">
      <c r="A1461" s="102" t="s">
        <v>1950</v>
      </c>
      <c r="B1461" s="2">
        <v>45490</v>
      </c>
      <c r="C1461" s="1" t="s">
        <v>599</v>
      </c>
      <c r="D1461" s="1" t="s">
        <v>338</v>
      </c>
      <c r="E1461" s="1" t="s">
        <v>201</v>
      </c>
      <c r="F1461" s="83">
        <v>1</v>
      </c>
      <c r="G1461" s="92">
        <v>2210</v>
      </c>
      <c r="H1461" s="3">
        <v>1.7</v>
      </c>
      <c r="I1461" s="3">
        <v>2172.4299999999998</v>
      </c>
      <c r="J1461" s="1" t="s">
        <v>87</v>
      </c>
      <c r="K1461" s="1" t="s">
        <v>117</v>
      </c>
      <c r="L1461" t="str">
        <f>VLOOKUP(D1461, Products!A:C, 3, FALSE)</f>
        <v>Grocery</v>
      </c>
      <c r="M1461" t="str">
        <f>VLOOKUP(C1461, Customers!A:E, 5, FALSE)</f>
        <v>Corporate</v>
      </c>
      <c r="N1461">
        <f>VLOOKUP(C1461, Customers!A:E, 3, FALSE)</f>
        <v>26</v>
      </c>
      <c r="O1461" s="93" t="str">
        <f>VLOOKUP(E1461, Sales_Reps!A:C, 3, FALSE)</f>
        <v>West</v>
      </c>
      <c r="P1461">
        <f>VLOOKUP(D1461, Products!A:E, 4, FALSE)</f>
        <v>1010</v>
      </c>
      <c r="Q1461">
        <f>IF(COUNTIF($A$2:A1461, A1461)=2, 1, 0)</f>
        <v>0</v>
      </c>
      <c r="R1461">
        <f>IF(ISNA(MATCH(C1461, Customers!$A:$A, 0)), 1, 0)</f>
        <v>0</v>
      </c>
      <c r="S1461" s="94" t="b">
        <f>VLOOKUP(D1461, Products!A:F, 6, FALSE)</f>
        <v>1</v>
      </c>
    </row>
    <row r="1462" spans="1:19">
      <c r="A1462" s="102" t="s">
        <v>1951</v>
      </c>
      <c r="B1462" s="2">
        <v>45584</v>
      </c>
      <c r="C1462" s="1" t="s">
        <v>563</v>
      </c>
      <c r="D1462" s="1" t="s">
        <v>127</v>
      </c>
      <c r="E1462" s="1" t="s">
        <v>111</v>
      </c>
      <c r="F1462" s="83">
        <v>3</v>
      </c>
      <c r="G1462" s="92">
        <v>970</v>
      </c>
      <c r="H1462" s="3">
        <v>20.3</v>
      </c>
      <c r="I1462" s="3">
        <v>2319.27</v>
      </c>
      <c r="J1462" s="1" t="s">
        <v>93</v>
      </c>
      <c r="K1462" s="1" t="s">
        <v>88</v>
      </c>
      <c r="L1462" t="str">
        <f>VLOOKUP(D1462, Products!A:C, 3, FALSE)</f>
        <v>Grocery</v>
      </c>
      <c r="M1462" t="str">
        <f>VLOOKUP(C1462, Customers!A:E, 5, FALSE)</f>
        <v>SMB</v>
      </c>
      <c r="N1462">
        <f>VLOOKUP(C1462, Customers!A:E, 3, FALSE)</f>
        <v>24</v>
      </c>
      <c r="O1462" s="93" t="str">
        <f>VLOOKUP(E1462, Sales_Reps!A:C, 3, FALSE)</f>
        <v>West</v>
      </c>
      <c r="P1462">
        <f>VLOOKUP(D1462, Products!A:E, 4, FALSE)</f>
        <v>434</v>
      </c>
      <c r="Q1462">
        <f>IF(COUNTIF($A$2:A1462, A1462)=2, 1, 0)</f>
        <v>0</v>
      </c>
      <c r="R1462">
        <f>IF(ISNA(MATCH(C1462, Customers!$A:$A, 0)), 1, 0)</f>
        <v>0</v>
      </c>
      <c r="S1462" s="94" t="b">
        <f>VLOOKUP(D1462, Products!A:F, 6, FALSE)</f>
        <v>1</v>
      </c>
    </row>
    <row r="1463" spans="1:19">
      <c r="A1463" s="102" t="s">
        <v>1952</v>
      </c>
      <c r="B1463" s="2">
        <v>45476</v>
      </c>
      <c r="C1463" s="1" t="s">
        <v>1000</v>
      </c>
      <c r="D1463" s="1" t="s">
        <v>659</v>
      </c>
      <c r="E1463" s="1" t="s">
        <v>158</v>
      </c>
      <c r="F1463" s="83">
        <v>5</v>
      </c>
      <c r="G1463" s="92">
        <v>3560</v>
      </c>
      <c r="H1463" s="3">
        <v>17.100000000000001</v>
      </c>
      <c r="I1463" s="3">
        <v>14756.2</v>
      </c>
      <c r="J1463" s="1" t="s">
        <v>87</v>
      </c>
      <c r="K1463" s="1" t="s">
        <v>117</v>
      </c>
      <c r="L1463" t="str">
        <f>VLOOKUP(D1463, Products!A:C, 3, FALSE)</f>
        <v>Apparel</v>
      </c>
      <c r="M1463" t="str">
        <f>VLOOKUP(C1463, Customers!A:E, 5, FALSE)</f>
        <v>Retail</v>
      </c>
      <c r="N1463">
        <f>VLOOKUP(C1463, Customers!A:E, 3, FALSE)</f>
        <v>27</v>
      </c>
      <c r="O1463" s="93" t="str">
        <f>VLOOKUP(E1463, Sales_Reps!A:C, 3, FALSE)</f>
        <v>East</v>
      </c>
      <c r="P1463">
        <f>VLOOKUP(D1463, Products!A:E, 4, FALSE)</f>
        <v>2629</v>
      </c>
      <c r="Q1463">
        <f>IF(COUNTIF($A$2:A1463, A1463)=2, 1, 0)</f>
        <v>0</v>
      </c>
      <c r="R1463">
        <f>IF(ISNA(MATCH(C1463, Customers!$A:$A, 0)), 1, 0)</f>
        <v>0</v>
      </c>
      <c r="S1463" s="94" t="b">
        <f>VLOOKUP(D1463, Products!A:F, 6, FALSE)</f>
        <v>1</v>
      </c>
    </row>
    <row r="1464" spans="1:19">
      <c r="A1464" s="102" t="s">
        <v>1953</v>
      </c>
      <c r="B1464" s="2">
        <v>45387</v>
      </c>
      <c r="C1464" s="1" t="s">
        <v>190</v>
      </c>
      <c r="D1464" s="1" t="s">
        <v>164</v>
      </c>
      <c r="E1464" s="1" t="s">
        <v>154</v>
      </c>
      <c r="F1464" s="83">
        <v>10</v>
      </c>
      <c r="G1464" s="92">
        <v>1080</v>
      </c>
      <c r="H1464" s="3">
        <v>12.8</v>
      </c>
      <c r="I1464" s="3">
        <v>9417.6</v>
      </c>
      <c r="J1464" s="1" t="s">
        <v>87</v>
      </c>
      <c r="K1464" s="1" t="s">
        <v>133</v>
      </c>
      <c r="L1464" t="str">
        <f>VLOOKUP(D1464, Products!A:C, 3, FALSE)</f>
        <v>Home</v>
      </c>
      <c r="M1464" t="str">
        <f>VLOOKUP(C1464, Customers!A:E, 5, FALSE)</f>
        <v>Corporate</v>
      </c>
      <c r="N1464">
        <f>VLOOKUP(C1464, Customers!A:E, 3, FALSE)</f>
        <v>56</v>
      </c>
      <c r="O1464" s="93" t="str">
        <f>VLOOKUP(E1464, Sales_Reps!A:C, 3, FALSE)</f>
        <v>East</v>
      </c>
      <c r="P1464">
        <f>VLOOKUP(D1464, Products!A:E, 4, FALSE)</f>
        <v>519</v>
      </c>
      <c r="Q1464">
        <f>IF(COUNTIF($A$2:A1464, A1464)=2, 1, 0)</f>
        <v>0</v>
      </c>
      <c r="R1464">
        <f>IF(ISNA(MATCH(C1464, Customers!$A:$A, 0)), 1, 0)</f>
        <v>0</v>
      </c>
      <c r="S1464" s="94" t="b">
        <f>VLOOKUP(D1464, Products!A:F, 6, FALSE)</f>
        <v>1</v>
      </c>
    </row>
    <row r="1465" spans="1:19">
      <c r="A1465" s="102" t="s">
        <v>1954</v>
      </c>
      <c r="B1465" s="2">
        <v>45324</v>
      </c>
      <c r="C1465" s="1" t="s">
        <v>507</v>
      </c>
      <c r="D1465" s="1" t="s">
        <v>267</v>
      </c>
      <c r="E1465" s="1" t="s">
        <v>273</v>
      </c>
      <c r="F1465" s="83">
        <v>3</v>
      </c>
      <c r="G1465" s="92">
        <v>1220</v>
      </c>
      <c r="H1465" s="3">
        <v>1.9</v>
      </c>
      <c r="I1465" s="3">
        <v>3590.46</v>
      </c>
      <c r="J1465" s="1" t="s">
        <v>87</v>
      </c>
      <c r="K1465" s="1" t="s">
        <v>88</v>
      </c>
      <c r="L1465" t="str">
        <f>VLOOKUP(D1465, Products!A:C, 3, FALSE)</f>
        <v>Electronics</v>
      </c>
      <c r="M1465" t="str">
        <f>VLOOKUP(C1465, Customers!A:E, 5, FALSE)</f>
        <v>Retail</v>
      </c>
      <c r="N1465">
        <f>VLOOKUP(C1465, Customers!A:E, 3, FALSE)</f>
        <v>59</v>
      </c>
      <c r="O1465" s="93" t="str">
        <f>VLOOKUP(E1465, Sales_Reps!A:C, 3, FALSE)</f>
        <v>South</v>
      </c>
      <c r="P1465">
        <f>VLOOKUP(D1465, Products!A:E, 4, FALSE)</f>
        <v>517</v>
      </c>
      <c r="Q1465">
        <f>IF(COUNTIF($A$2:A1465, A1465)=2, 1, 0)</f>
        <v>0</v>
      </c>
      <c r="R1465">
        <f>IF(ISNA(MATCH(C1465, Customers!$A:$A, 0)), 1, 0)</f>
        <v>0</v>
      </c>
      <c r="S1465" s="94" t="b">
        <f>VLOOKUP(D1465, Products!A:F, 6, FALSE)</f>
        <v>1</v>
      </c>
    </row>
    <row r="1466" spans="1:19">
      <c r="A1466" s="102" t="s">
        <v>1955</v>
      </c>
      <c r="B1466" s="2">
        <v>45479</v>
      </c>
      <c r="C1466" s="1" t="s">
        <v>1956</v>
      </c>
      <c r="D1466" s="1" t="s">
        <v>226</v>
      </c>
      <c r="E1466" s="1" t="s">
        <v>204</v>
      </c>
      <c r="F1466" s="83">
        <v>1</v>
      </c>
      <c r="G1466" s="92">
        <v>3730</v>
      </c>
      <c r="H1466" s="3">
        <v>14.7</v>
      </c>
      <c r="I1466" s="3">
        <v>3181.69</v>
      </c>
      <c r="J1466" s="1" t="s">
        <v>93</v>
      </c>
      <c r="K1466" s="1" t="s">
        <v>88</v>
      </c>
      <c r="L1466" t="str">
        <f>VLOOKUP(D1466, Products!A:C, 3, FALSE)</f>
        <v>Home</v>
      </c>
      <c r="M1466" t="e">
        <f>VLOOKUP(C1466, Customers!A:E, 5, FALSE)</f>
        <v>#N/A</v>
      </c>
      <c r="N1466" t="e">
        <f>VLOOKUP(C1466, Customers!A:E, 3, FALSE)</f>
        <v>#N/A</v>
      </c>
      <c r="O1466" s="93" t="str">
        <f>VLOOKUP(E1466, Sales_Reps!A:C, 3, FALSE)</f>
        <v>South</v>
      </c>
      <c r="P1466">
        <f>VLOOKUP(D1466, Products!A:E, 4, FALSE)</f>
        <v>2135</v>
      </c>
      <c r="Q1466">
        <f>IF(COUNTIF($A$2:A1466, A1466)=2, 1, 0)</f>
        <v>0</v>
      </c>
      <c r="R1466">
        <f>IF(ISNA(MATCH(C1466, Customers!$A:$A, 0)), 1, 0)</f>
        <v>1</v>
      </c>
      <c r="S1466" s="94" t="b">
        <f>VLOOKUP(D1466, Products!A:F, 6, FALSE)</f>
        <v>1</v>
      </c>
    </row>
    <row r="1467" spans="1:19">
      <c r="A1467" s="102" t="s">
        <v>1957</v>
      </c>
      <c r="B1467" s="2">
        <v>45628</v>
      </c>
      <c r="C1467" s="1" t="s">
        <v>186</v>
      </c>
      <c r="D1467" s="1" t="s">
        <v>120</v>
      </c>
      <c r="E1467" s="1" t="s">
        <v>215</v>
      </c>
      <c r="F1467" s="83">
        <v>3</v>
      </c>
      <c r="G1467" s="92">
        <v>1430</v>
      </c>
      <c r="H1467" s="3">
        <v>13.2</v>
      </c>
      <c r="I1467" s="3">
        <v>3723.72</v>
      </c>
      <c r="J1467" s="1" t="s">
        <v>87</v>
      </c>
      <c r="K1467" s="1" t="s">
        <v>94</v>
      </c>
      <c r="L1467" t="str">
        <f>VLOOKUP(D1467, Products!A:C, 3, FALSE)</f>
        <v>Electronics</v>
      </c>
      <c r="M1467" t="str">
        <f>VLOOKUP(C1467, Customers!A:E, 5, FALSE)</f>
        <v>SMB</v>
      </c>
      <c r="N1467">
        <f>VLOOKUP(C1467, Customers!A:E, 3, FALSE)</f>
        <v>52</v>
      </c>
      <c r="O1467" s="93" t="str">
        <f>VLOOKUP(E1467, Sales_Reps!A:C, 3, FALSE)</f>
        <v>North</v>
      </c>
      <c r="P1467">
        <f>VLOOKUP(D1467, Products!A:E, 4, FALSE)</f>
        <v>861</v>
      </c>
      <c r="Q1467">
        <f>IF(COUNTIF($A$2:A1467, A1467)=2, 1, 0)</f>
        <v>0</v>
      </c>
      <c r="R1467">
        <f>IF(ISNA(MATCH(C1467, Customers!$A:$A, 0)), 1, 0)</f>
        <v>0</v>
      </c>
      <c r="S1467" s="94" t="b">
        <f>VLOOKUP(D1467, Products!A:F, 6, FALSE)</f>
        <v>1</v>
      </c>
    </row>
    <row r="1468" spans="1:19">
      <c r="A1468" s="102" t="s">
        <v>1958</v>
      </c>
      <c r="B1468" s="2">
        <v>45413</v>
      </c>
      <c r="C1468" s="1" t="s">
        <v>190</v>
      </c>
      <c r="D1468" s="1" t="s">
        <v>241</v>
      </c>
      <c r="E1468" s="1" t="s">
        <v>303</v>
      </c>
      <c r="F1468" s="83">
        <v>2</v>
      </c>
      <c r="G1468" s="92">
        <v>6080</v>
      </c>
      <c r="H1468" s="3">
        <v>21.8</v>
      </c>
      <c r="I1468" s="3">
        <v>9509.1200000000008</v>
      </c>
      <c r="J1468" s="1" t="s">
        <v>140</v>
      </c>
      <c r="K1468" s="1" t="s">
        <v>133</v>
      </c>
      <c r="L1468" t="str">
        <f>VLOOKUP(D1468, Products!A:C, 3, FALSE)</f>
        <v>Beauty</v>
      </c>
      <c r="M1468" t="str">
        <f>VLOOKUP(C1468, Customers!A:E, 5, FALSE)</f>
        <v>Corporate</v>
      </c>
      <c r="N1468">
        <f>VLOOKUP(C1468, Customers!A:E, 3, FALSE)</f>
        <v>56</v>
      </c>
      <c r="O1468" s="93" t="str">
        <f>VLOOKUP(E1468, Sales_Reps!A:C, 3, FALSE)</f>
        <v>East</v>
      </c>
      <c r="P1468">
        <f>VLOOKUP(D1468, Products!A:E, 4, FALSE)</f>
        <v>2617</v>
      </c>
      <c r="Q1468">
        <f>IF(COUNTIF($A$2:A1468, A1468)=2, 1, 0)</f>
        <v>0</v>
      </c>
      <c r="R1468">
        <f>IF(ISNA(MATCH(C1468, Customers!$A:$A, 0)), 1, 0)</f>
        <v>0</v>
      </c>
      <c r="S1468" s="94" t="b">
        <f>VLOOKUP(D1468, Products!A:F, 6, FALSE)</f>
        <v>1</v>
      </c>
    </row>
    <row r="1469" spans="1:19">
      <c r="A1469" s="102" t="s">
        <v>1959</v>
      </c>
      <c r="B1469" s="2">
        <v>45343</v>
      </c>
      <c r="C1469" s="1" t="s">
        <v>680</v>
      </c>
      <c r="D1469" s="1" t="s">
        <v>191</v>
      </c>
      <c r="E1469" s="1" t="s">
        <v>188</v>
      </c>
      <c r="F1469" s="83">
        <v>9</v>
      </c>
      <c r="G1469" s="92">
        <v>5100</v>
      </c>
      <c r="H1469" s="3">
        <v>29.3</v>
      </c>
      <c r="I1469" s="3">
        <v>32451.3</v>
      </c>
      <c r="J1469" s="1" t="s">
        <v>87</v>
      </c>
      <c r="K1469" s="1" t="s">
        <v>94</v>
      </c>
      <c r="L1469" t="str">
        <f>VLOOKUP(D1469, Products!A:C, 3, FALSE)</f>
        <v>Beauty</v>
      </c>
      <c r="M1469" t="str">
        <f>VLOOKUP(C1469, Customers!A:E, 5, FALSE)</f>
        <v>Retail</v>
      </c>
      <c r="N1469">
        <f>VLOOKUP(C1469, Customers!A:E, 3, FALSE)</f>
        <v>26</v>
      </c>
      <c r="O1469" s="93" t="str">
        <f>VLOOKUP(E1469, Sales_Reps!A:C, 3, FALSE)</f>
        <v>South</v>
      </c>
      <c r="P1469">
        <f>VLOOKUP(D1469, Products!A:E, 4, FALSE)</f>
        <v>2237</v>
      </c>
      <c r="Q1469">
        <f>IF(COUNTIF($A$2:A1469, A1469)=2, 1, 0)</f>
        <v>0</v>
      </c>
      <c r="R1469">
        <f>IF(ISNA(MATCH(C1469, Customers!$A:$A, 0)), 1, 0)</f>
        <v>0</v>
      </c>
      <c r="S1469" s="94" t="b">
        <f>VLOOKUP(D1469, Products!A:F, 6, FALSE)</f>
        <v>1</v>
      </c>
    </row>
    <row r="1470" spans="1:19">
      <c r="A1470" s="102" t="s">
        <v>1960</v>
      </c>
      <c r="B1470" s="2">
        <v>45424</v>
      </c>
      <c r="C1470" s="1" t="s">
        <v>905</v>
      </c>
      <c r="D1470" s="1" t="s">
        <v>452</v>
      </c>
      <c r="E1470" s="1" t="s">
        <v>98</v>
      </c>
      <c r="F1470" s="83">
        <v>5</v>
      </c>
      <c r="G1470" s="92">
        <v>3450</v>
      </c>
      <c r="H1470" s="3">
        <v>5.3</v>
      </c>
      <c r="I1470" s="3">
        <v>16335.75</v>
      </c>
      <c r="J1470" s="1" t="s">
        <v>87</v>
      </c>
      <c r="K1470" s="1" t="s">
        <v>112</v>
      </c>
      <c r="L1470" t="str">
        <f>VLOOKUP(D1470, Products!A:C, 3, FALSE)</f>
        <v>Apparel</v>
      </c>
      <c r="M1470" t="str">
        <f>VLOOKUP(C1470, Customers!A:E, 5, FALSE)</f>
        <v>SMB</v>
      </c>
      <c r="N1470">
        <f>VLOOKUP(C1470, Customers!A:E, 3, FALSE)</f>
        <v>43</v>
      </c>
      <c r="O1470" s="93" t="str">
        <f>VLOOKUP(E1470, Sales_Reps!A:C, 3, FALSE)</f>
        <v>South</v>
      </c>
      <c r="P1470">
        <f>VLOOKUP(D1470, Products!A:E, 4, FALSE)</f>
        <v>1748</v>
      </c>
      <c r="Q1470">
        <f>IF(COUNTIF($A$2:A1470, A1470)=2, 1, 0)</f>
        <v>0</v>
      </c>
      <c r="R1470">
        <f>IF(ISNA(MATCH(C1470, Customers!$A:$A, 0)), 1, 0)</f>
        <v>0</v>
      </c>
      <c r="S1470" s="94" t="b">
        <f>VLOOKUP(D1470, Products!A:F, 6, FALSE)</f>
        <v>1</v>
      </c>
    </row>
    <row r="1471" spans="1:19">
      <c r="A1471" s="102" t="s">
        <v>1961</v>
      </c>
      <c r="B1471" s="2">
        <v>45632</v>
      </c>
      <c r="C1471" s="1" t="s">
        <v>388</v>
      </c>
      <c r="D1471" s="1" t="s">
        <v>187</v>
      </c>
      <c r="E1471" s="1" t="s">
        <v>297</v>
      </c>
      <c r="F1471" s="83">
        <v>6</v>
      </c>
      <c r="G1471" s="92">
        <v>3570</v>
      </c>
      <c r="H1471" s="3">
        <v>17.3</v>
      </c>
      <c r="I1471" s="3">
        <v>17714.34</v>
      </c>
      <c r="J1471" s="1" t="s">
        <v>87</v>
      </c>
      <c r="K1471" s="1" t="s">
        <v>133</v>
      </c>
      <c r="L1471" t="str">
        <f>VLOOKUP(D1471, Products!A:C, 3, FALSE)</f>
        <v>Electronics</v>
      </c>
      <c r="M1471" t="str">
        <f>VLOOKUP(C1471, Customers!A:E, 5, FALSE)</f>
        <v>Retail</v>
      </c>
      <c r="N1471">
        <f>VLOOKUP(C1471, Customers!A:E, 3, FALSE)</f>
        <v>44</v>
      </c>
      <c r="O1471" s="93" t="str">
        <f>VLOOKUP(E1471, Sales_Reps!A:C, 3, FALSE)</f>
        <v>North</v>
      </c>
      <c r="P1471">
        <f>VLOOKUP(D1471, Products!A:E, 4, FALSE)</f>
        <v>1665</v>
      </c>
      <c r="Q1471">
        <f>IF(COUNTIF($A$2:A1471, A1471)=2, 1, 0)</f>
        <v>0</v>
      </c>
      <c r="R1471">
        <f>IF(ISNA(MATCH(C1471, Customers!$A:$A, 0)), 1, 0)</f>
        <v>0</v>
      </c>
      <c r="S1471" s="94" t="b">
        <f>VLOOKUP(D1471, Products!A:F, 6, FALSE)</f>
        <v>1</v>
      </c>
    </row>
    <row r="1472" spans="1:19">
      <c r="A1472" s="102" t="s">
        <v>1962</v>
      </c>
      <c r="B1472" s="2">
        <v>45444</v>
      </c>
      <c r="C1472" s="1" t="s">
        <v>289</v>
      </c>
      <c r="D1472" s="1" t="s">
        <v>226</v>
      </c>
      <c r="E1472" s="1" t="s">
        <v>303</v>
      </c>
      <c r="F1472" s="83">
        <v>6</v>
      </c>
      <c r="G1472" s="92">
        <v>3730</v>
      </c>
      <c r="H1472" s="3">
        <v>1</v>
      </c>
      <c r="I1472" s="3">
        <v>22156.2</v>
      </c>
      <c r="J1472" s="1" t="s">
        <v>87</v>
      </c>
      <c r="K1472" s="1" t="s">
        <v>94</v>
      </c>
      <c r="L1472" t="str">
        <f>VLOOKUP(D1472, Products!A:C, 3, FALSE)</f>
        <v>Home</v>
      </c>
      <c r="M1472" t="str">
        <f>VLOOKUP(C1472, Customers!A:E, 5, FALSE)</f>
        <v>Retail</v>
      </c>
      <c r="N1472">
        <f>VLOOKUP(C1472, Customers!A:E, 3, FALSE)</f>
        <v>38</v>
      </c>
      <c r="O1472" s="93" t="str">
        <f>VLOOKUP(E1472, Sales_Reps!A:C, 3, FALSE)</f>
        <v>East</v>
      </c>
      <c r="P1472">
        <f>VLOOKUP(D1472, Products!A:E, 4, FALSE)</f>
        <v>2135</v>
      </c>
      <c r="Q1472">
        <f>IF(COUNTIF($A$2:A1472, A1472)=2, 1, 0)</f>
        <v>0</v>
      </c>
      <c r="R1472">
        <f>IF(ISNA(MATCH(C1472, Customers!$A:$A, 0)), 1, 0)</f>
        <v>0</v>
      </c>
      <c r="S1472" s="94" t="b">
        <f>VLOOKUP(D1472, Products!A:F, 6, FALSE)</f>
        <v>1</v>
      </c>
    </row>
    <row r="1473" spans="1:19">
      <c r="A1473" s="102" t="s">
        <v>1963</v>
      </c>
      <c r="B1473" s="2">
        <v>45545</v>
      </c>
      <c r="C1473" s="1" t="s">
        <v>1038</v>
      </c>
      <c r="D1473" s="1" t="s">
        <v>461</v>
      </c>
      <c r="E1473" s="1" t="s">
        <v>121</v>
      </c>
      <c r="F1473" s="83">
        <v>4</v>
      </c>
      <c r="G1473" s="92">
        <v>3780</v>
      </c>
      <c r="H1473" s="3">
        <v>13.1</v>
      </c>
      <c r="I1473" s="3">
        <v>13139.28</v>
      </c>
      <c r="J1473" s="1" t="s">
        <v>87</v>
      </c>
      <c r="K1473" s="1" t="s">
        <v>117</v>
      </c>
      <c r="L1473" t="str">
        <f>VLOOKUP(D1473, Products!A:C, 3, FALSE)</f>
        <v>Sports</v>
      </c>
      <c r="M1473" t="str">
        <f>VLOOKUP(C1473, Customers!A:E, 5, FALSE)</f>
        <v>Corporate</v>
      </c>
      <c r="N1473">
        <f>VLOOKUP(C1473, Customers!A:E, 3, FALSE)</f>
        <v>55</v>
      </c>
      <c r="O1473" s="93" t="str">
        <f>VLOOKUP(E1473, Sales_Reps!A:C, 3, FALSE)</f>
        <v>East</v>
      </c>
      <c r="P1473">
        <f>VLOOKUP(D1473, Products!A:E, 4, FALSE)</f>
        <v>1860</v>
      </c>
      <c r="Q1473">
        <f>IF(COUNTIF($A$2:A1473, A1473)=2, 1, 0)</f>
        <v>0</v>
      </c>
      <c r="R1473">
        <f>IF(ISNA(MATCH(C1473, Customers!$A:$A, 0)), 1, 0)</f>
        <v>0</v>
      </c>
      <c r="S1473" s="94" t="b">
        <f>VLOOKUP(D1473, Products!A:F, 6, FALSE)</f>
        <v>1</v>
      </c>
    </row>
    <row r="1474" spans="1:19">
      <c r="A1474" s="102" t="s">
        <v>1964</v>
      </c>
      <c r="B1474" s="2">
        <v>45511</v>
      </c>
      <c r="C1474" s="1" t="s">
        <v>610</v>
      </c>
      <c r="D1474" s="1" t="s">
        <v>355</v>
      </c>
      <c r="E1474" s="1" t="s">
        <v>273</v>
      </c>
      <c r="F1474" s="83">
        <v>1</v>
      </c>
      <c r="G1474" s="92">
        <v>2510</v>
      </c>
      <c r="H1474" s="3">
        <v>27.8</v>
      </c>
      <c r="I1474" s="3">
        <v>1812.22</v>
      </c>
      <c r="J1474" s="1" t="s">
        <v>140</v>
      </c>
      <c r="K1474" s="1" t="s">
        <v>117</v>
      </c>
      <c r="L1474" t="str">
        <f>VLOOKUP(D1474, Products!A:C, 3, FALSE)</f>
        <v>Apparel</v>
      </c>
      <c r="M1474" t="str">
        <f>VLOOKUP(C1474, Customers!A:E, 5, FALSE)</f>
        <v>SMB</v>
      </c>
      <c r="N1474">
        <f>VLOOKUP(C1474, Customers!A:E, 3, FALSE)</f>
        <v>42</v>
      </c>
      <c r="O1474" s="93" t="str">
        <f>VLOOKUP(E1474, Sales_Reps!A:C, 3, FALSE)</f>
        <v>South</v>
      </c>
      <c r="P1474">
        <f>VLOOKUP(D1474, Products!A:E, 4, FALSE)</f>
        <v>1075</v>
      </c>
      <c r="Q1474">
        <f>IF(COUNTIF($A$2:A1474, A1474)=2, 1, 0)</f>
        <v>0</v>
      </c>
      <c r="R1474">
        <f>IF(ISNA(MATCH(C1474, Customers!$A:$A, 0)), 1, 0)</f>
        <v>0</v>
      </c>
      <c r="S1474" s="94" t="b">
        <f>VLOOKUP(D1474, Products!A:F, 6, FALSE)</f>
        <v>0</v>
      </c>
    </row>
    <row r="1475" spans="1:19">
      <c r="A1475" s="102" t="s">
        <v>1965</v>
      </c>
      <c r="B1475" s="2">
        <v>45577</v>
      </c>
      <c r="C1475" s="1" t="s">
        <v>797</v>
      </c>
      <c r="D1475" s="1" t="s">
        <v>203</v>
      </c>
      <c r="E1475" s="1" t="s">
        <v>86</v>
      </c>
      <c r="F1475" s="83">
        <v>9</v>
      </c>
      <c r="G1475" s="92">
        <v>660</v>
      </c>
      <c r="H1475" s="3">
        <v>29.3</v>
      </c>
      <c r="I1475" s="3">
        <v>4199.58</v>
      </c>
      <c r="J1475" s="1" t="s">
        <v>87</v>
      </c>
      <c r="K1475" s="1" t="s">
        <v>99</v>
      </c>
      <c r="L1475" t="str">
        <f>VLOOKUP(D1475, Products!A:C, 3, FALSE)</f>
        <v>Home</v>
      </c>
      <c r="M1475" t="str">
        <f>VLOOKUP(C1475, Customers!A:E, 5, FALSE)</f>
        <v>Retail</v>
      </c>
      <c r="N1475">
        <f>VLOOKUP(C1475, Customers!A:E, 3, FALSE)</f>
        <v>63</v>
      </c>
      <c r="O1475" s="93" t="str">
        <f>VLOOKUP(E1475, Sales_Reps!A:C, 3, FALSE)</f>
        <v>North</v>
      </c>
      <c r="P1475">
        <f>VLOOKUP(D1475, Products!A:E, 4, FALSE)</f>
        <v>329</v>
      </c>
      <c r="Q1475">
        <f>IF(COUNTIF($A$2:A1475, A1475)=2, 1, 0)</f>
        <v>0</v>
      </c>
      <c r="R1475">
        <f>IF(ISNA(MATCH(C1475, Customers!$A:$A, 0)), 1, 0)</f>
        <v>0</v>
      </c>
      <c r="S1475" s="94" t="b">
        <f>VLOOKUP(D1475, Products!A:F, 6, FALSE)</f>
        <v>1</v>
      </c>
    </row>
    <row r="1476" spans="1:19">
      <c r="A1476" s="102" t="s">
        <v>1966</v>
      </c>
      <c r="B1476" s="2">
        <v>45507</v>
      </c>
      <c r="C1476" s="1" t="s">
        <v>1036</v>
      </c>
      <c r="D1476" s="1" t="s">
        <v>237</v>
      </c>
      <c r="E1476" s="1" t="s">
        <v>170</v>
      </c>
      <c r="F1476" s="83">
        <v>7</v>
      </c>
      <c r="G1476" s="92">
        <v>3640</v>
      </c>
      <c r="H1476" s="3">
        <v>11.6</v>
      </c>
      <c r="I1476" s="3">
        <v>22524.32</v>
      </c>
      <c r="J1476" s="1" t="s">
        <v>87</v>
      </c>
      <c r="K1476" s="1" t="s">
        <v>112</v>
      </c>
      <c r="L1476" t="str">
        <f>VLOOKUP(D1476, Products!A:C, 3, FALSE)</f>
        <v>Apparel</v>
      </c>
      <c r="M1476" t="str">
        <f>VLOOKUP(C1476, Customers!A:E, 5, FALSE)</f>
        <v>Retail</v>
      </c>
      <c r="N1476">
        <f>VLOOKUP(C1476, Customers!A:E, 3, FALSE)</f>
        <v>33</v>
      </c>
      <c r="O1476" s="93" t="str">
        <f>VLOOKUP(E1476, Sales_Reps!A:C, 3, FALSE)</f>
        <v>West</v>
      </c>
      <c r="P1476">
        <f>VLOOKUP(D1476, Products!A:E, 4, FALSE)</f>
        <v>2611</v>
      </c>
      <c r="Q1476">
        <f>IF(COUNTIF($A$2:A1476, A1476)=2, 1, 0)</f>
        <v>0</v>
      </c>
      <c r="R1476">
        <f>IF(ISNA(MATCH(C1476, Customers!$A:$A, 0)), 1, 0)</f>
        <v>0</v>
      </c>
      <c r="S1476" s="94" t="b">
        <f>VLOOKUP(D1476, Products!A:F, 6, FALSE)</f>
        <v>1</v>
      </c>
    </row>
    <row r="1477" spans="1:19">
      <c r="A1477" s="102" t="s">
        <v>1967</v>
      </c>
      <c r="B1477" s="2">
        <v>45415</v>
      </c>
      <c r="C1477" s="1" t="s">
        <v>986</v>
      </c>
      <c r="D1477" s="1" t="s">
        <v>360</v>
      </c>
      <c r="E1477" s="1" t="s">
        <v>121</v>
      </c>
      <c r="F1477" s="83">
        <v>8</v>
      </c>
      <c r="G1477" s="92">
        <v>5410</v>
      </c>
      <c r="H1477" s="3">
        <v>25.6</v>
      </c>
      <c r="I1477" s="3">
        <v>32200.32</v>
      </c>
      <c r="J1477" s="1" t="s">
        <v>87</v>
      </c>
      <c r="K1477" s="1" t="s">
        <v>94</v>
      </c>
      <c r="L1477" t="str">
        <f>VLOOKUP(D1477, Products!A:C, 3, FALSE)</f>
        <v>Sports</v>
      </c>
      <c r="M1477" t="str">
        <f>VLOOKUP(C1477, Customers!A:E, 5, FALSE)</f>
        <v>Corporate</v>
      </c>
      <c r="N1477">
        <f>VLOOKUP(C1477, Customers!A:E, 3, FALSE)</f>
        <v>52</v>
      </c>
      <c r="O1477" s="93" t="str">
        <f>VLOOKUP(E1477, Sales_Reps!A:C, 3, FALSE)</f>
        <v>East</v>
      </c>
      <c r="P1477">
        <f>VLOOKUP(D1477, Products!A:E, 4, FALSE)</f>
        <v>2265</v>
      </c>
      <c r="Q1477">
        <f>IF(COUNTIF($A$2:A1477, A1477)=2, 1, 0)</f>
        <v>0</v>
      </c>
      <c r="R1477">
        <f>IF(ISNA(MATCH(C1477, Customers!$A:$A, 0)), 1, 0)</f>
        <v>0</v>
      </c>
      <c r="S1477" s="94" t="b">
        <f>VLOOKUP(D1477, Products!A:F, 6, FALSE)</f>
        <v>1</v>
      </c>
    </row>
    <row r="1478" spans="1:19">
      <c r="A1478" s="102" t="s">
        <v>1968</v>
      </c>
      <c r="B1478" s="2">
        <v>45342</v>
      </c>
      <c r="C1478" s="1" t="s">
        <v>970</v>
      </c>
      <c r="D1478" s="1" t="s">
        <v>151</v>
      </c>
      <c r="E1478" s="1" t="s">
        <v>107</v>
      </c>
      <c r="F1478" s="83">
        <v>4</v>
      </c>
      <c r="G1478" s="92">
        <v>2400</v>
      </c>
      <c r="H1478" s="3">
        <v>10.4</v>
      </c>
      <c r="I1478" s="3">
        <v>8601.6</v>
      </c>
      <c r="J1478" s="1" t="s">
        <v>87</v>
      </c>
      <c r="K1478" s="1" t="s">
        <v>112</v>
      </c>
      <c r="L1478" t="str">
        <f>VLOOKUP(D1478, Products!A:C, 3, FALSE)</f>
        <v>Sports</v>
      </c>
      <c r="M1478" t="str">
        <f>VLOOKUP(C1478, Customers!A:E, 5, FALSE)</f>
        <v>Retail</v>
      </c>
      <c r="N1478">
        <f>VLOOKUP(C1478, Customers!A:E, 3, FALSE)</f>
        <v>40</v>
      </c>
      <c r="O1478" s="93" t="str">
        <f>VLOOKUP(E1478, Sales_Reps!A:C, 3, FALSE)</f>
        <v>North</v>
      </c>
      <c r="P1478">
        <f>VLOOKUP(D1478, Products!A:E, 4, FALSE)</f>
        <v>974</v>
      </c>
      <c r="Q1478">
        <f>IF(COUNTIF($A$2:A1478, A1478)=2, 1, 0)</f>
        <v>0</v>
      </c>
      <c r="R1478">
        <f>IF(ISNA(MATCH(C1478, Customers!$A:$A, 0)), 1, 0)</f>
        <v>0</v>
      </c>
      <c r="S1478" s="94" t="b">
        <f>VLOOKUP(D1478, Products!A:F, 6, FALSE)</f>
        <v>1</v>
      </c>
    </row>
    <row r="1479" spans="1:19">
      <c r="A1479" s="102" t="s">
        <v>1969</v>
      </c>
      <c r="B1479" s="2">
        <v>45333</v>
      </c>
      <c r="C1479" s="1" t="s">
        <v>472</v>
      </c>
      <c r="D1479" s="1" t="s">
        <v>124</v>
      </c>
      <c r="E1479" s="1" t="s">
        <v>128</v>
      </c>
      <c r="F1479" s="83">
        <v>2</v>
      </c>
      <c r="G1479" s="92">
        <v>5490</v>
      </c>
      <c r="H1479" s="3">
        <v>5.4</v>
      </c>
      <c r="I1479" s="3">
        <v>10387.08</v>
      </c>
      <c r="J1479" s="1" t="s">
        <v>87</v>
      </c>
      <c r="K1479" s="1" t="s">
        <v>94</v>
      </c>
      <c r="L1479" t="str">
        <f>VLOOKUP(D1479, Products!A:C, 3, FALSE)</f>
        <v>Home</v>
      </c>
      <c r="M1479" t="str">
        <f>VLOOKUP(C1479, Customers!A:E, 5, FALSE)</f>
        <v>Corporate</v>
      </c>
      <c r="N1479">
        <f>VLOOKUP(C1479, Customers!A:E, 3, FALSE)</f>
        <v>35</v>
      </c>
      <c r="O1479" s="93" t="str">
        <f>VLOOKUP(E1479, Sales_Reps!A:C, 3, FALSE)</f>
        <v>West</v>
      </c>
      <c r="P1479">
        <f>VLOOKUP(D1479, Products!A:E, 4, FALSE)</f>
        <v>2549</v>
      </c>
      <c r="Q1479">
        <f>IF(COUNTIF($A$2:A1479, A1479)=2, 1, 0)</f>
        <v>0</v>
      </c>
      <c r="R1479">
        <f>IF(ISNA(MATCH(C1479, Customers!$A:$A, 0)), 1, 0)</f>
        <v>0</v>
      </c>
      <c r="S1479" s="94" t="b">
        <f>VLOOKUP(D1479, Products!A:F, 6, FALSE)</f>
        <v>1</v>
      </c>
    </row>
    <row r="1480" spans="1:19">
      <c r="A1480" s="102" t="s">
        <v>1970</v>
      </c>
      <c r="B1480" s="2">
        <v>45516</v>
      </c>
      <c r="C1480" s="1" t="s">
        <v>1231</v>
      </c>
      <c r="D1480" s="1" t="s">
        <v>259</v>
      </c>
      <c r="E1480" s="1" t="s">
        <v>346</v>
      </c>
      <c r="F1480" s="83">
        <v>6</v>
      </c>
      <c r="G1480" s="92">
        <v>1540</v>
      </c>
      <c r="H1480" s="3">
        <v>0.6</v>
      </c>
      <c r="I1480" s="3">
        <v>9184.56</v>
      </c>
      <c r="J1480" s="1" t="s">
        <v>87</v>
      </c>
      <c r="K1480" s="1" t="s">
        <v>88</v>
      </c>
      <c r="L1480" t="str">
        <f>VLOOKUP(D1480, Products!A:C, 3, FALSE)</f>
        <v>Beauty</v>
      </c>
      <c r="M1480" t="str">
        <f>VLOOKUP(C1480, Customers!A:E, 5, FALSE)</f>
        <v>Retail</v>
      </c>
      <c r="N1480">
        <f>VLOOKUP(C1480, Customers!A:E, 3, FALSE)</f>
        <v>42</v>
      </c>
      <c r="O1480" s="93" t="str">
        <f>VLOOKUP(E1480, Sales_Reps!A:C, 3, FALSE)</f>
        <v>South</v>
      </c>
      <c r="P1480">
        <f>VLOOKUP(D1480, Products!A:E, 4, FALSE)</f>
        <v>647</v>
      </c>
      <c r="Q1480">
        <f>IF(COUNTIF($A$2:A1480, A1480)=2, 1, 0)</f>
        <v>0</v>
      </c>
      <c r="R1480">
        <f>IF(ISNA(MATCH(C1480, Customers!$A:$A, 0)), 1, 0)</f>
        <v>0</v>
      </c>
      <c r="S1480" s="94" t="b">
        <f>VLOOKUP(D1480, Products!A:F, 6, FALSE)</f>
        <v>0</v>
      </c>
    </row>
    <row r="1481" spans="1:19">
      <c r="A1481" s="102" t="s">
        <v>1971</v>
      </c>
      <c r="B1481" s="2">
        <v>45343</v>
      </c>
      <c r="C1481" s="1" t="s">
        <v>908</v>
      </c>
      <c r="D1481" s="1" t="s">
        <v>364</v>
      </c>
      <c r="E1481" s="1" t="s">
        <v>215</v>
      </c>
      <c r="F1481" s="83">
        <v>3</v>
      </c>
      <c r="G1481" s="92">
        <v>5330</v>
      </c>
      <c r="H1481" s="3">
        <v>1</v>
      </c>
      <c r="I1481" s="3">
        <v>15830.1</v>
      </c>
      <c r="J1481" s="1" t="s">
        <v>93</v>
      </c>
      <c r="K1481" s="1" t="s">
        <v>133</v>
      </c>
      <c r="L1481" t="str">
        <f>VLOOKUP(D1481, Products!A:C, 3, FALSE)</f>
        <v>Electronics</v>
      </c>
      <c r="M1481" t="str">
        <f>VLOOKUP(C1481, Customers!A:E, 5, FALSE)</f>
        <v>Retail</v>
      </c>
      <c r="N1481">
        <f>VLOOKUP(C1481, Customers!A:E, 3, FALSE)</f>
        <v>31</v>
      </c>
      <c r="O1481" s="93" t="str">
        <f>VLOOKUP(E1481, Sales_Reps!A:C, 3, FALSE)</f>
        <v>North</v>
      </c>
      <c r="P1481">
        <f>VLOOKUP(D1481, Products!A:E, 4, FALSE)</f>
        <v>2405</v>
      </c>
      <c r="Q1481">
        <f>IF(COUNTIF($A$2:A1481, A1481)=2, 1, 0)</f>
        <v>0</v>
      </c>
      <c r="R1481">
        <f>IF(ISNA(MATCH(C1481, Customers!$A:$A, 0)), 1, 0)</f>
        <v>0</v>
      </c>
      <c r="S1481" s="94" t="b">
        <f>VLOOKUP(D1481, Products!A:F, 6, FALSE)</f>
        <v>1</v>
      </c>
    </row>
    <row r="1482" spans="1:19">
      <c r="A1482" s="102" t="s">
        <v>1972</v>
      </c>
      <c r="B1482" s="2">
        <v>45522</v>
      </c>
      <c r="C1482" s="1" t="s">
        <v>1575</v>
      </c>
      <c r="D1482" s="1" t="s">
        <v>195</v>
      </c>
      <c r="E1482" s="1" t="s">
        <v>325</v>
      </c>
      <c r="F1482" s="83">
        <v>6</v>
      </c>
      <c r="G1482" s="92">
        <v>2860</v>
      </c>
      <c r="H1482" s="3">
        <v>13.3</v>
      </c>
      <c r="I1482" s="3">
        <v>14877.72</v>
      </c>
      <c r="J1482" s="1" t="s">
        <v>87</v>
      </c>
      <c r="K1482" s="1" t="s">
        <v>133</v>
      </c>
      <c r="L1482" t="str">
        <f>VLOOKUP(D1482, Products!A:C, 3, FALSE)</f>
        <v>Sports</v>
      </c>
      <c r="M1482" t="str">
        <f>VLOOKUP(C1482, Customers!A:E, 5, FALSE)</f>
        <v>Corporate</v>
      </c>
      <c r="N1482">
        <f>VLOOKUP(C1482, Customers!A:E, 3, FALSE)</f>
        <v>60</v>
      </c>
      <c r="O1482" s="93" t="str">
        <f>VLOOKUP(E1482, Sales_Reps!A:C, 3, FALSE)</f>
        <v>South</v>
      </c>
      <c r="P1482">
        <f>VLOOKUP(D1482, Products!A:E, 4, FALSE)</f>
        <v>2028</v>
      </c>
      <c r="Q1482">
        <f>IF(COUNTIF($A$2:A1482, A1482)=2, 1, 0)</f>
        <v>0</v>
      </c>
      <c r="R1482">
        <f>IF(ISNA(MATCH(C1482, Customers!$A:$A, 0)), 1, 0)</f>
        <v>0</v>
      </c>
      <c r="S1482" s="94" t="b">
        <f>VLOOKUP(D1482, Products!A:F, 6, FALSE)</f>
        <v>1</v>
      </c>
    </row>
    <row r="1483" spans="1:19">
      <c r="A1483" s="102" t="s">
        <v>1973</v>
      </c>
      <c r="B1483" s="2">
        <v>45305</v>
      </c>
      <c r="C1483" s="1" t="s">
        <v>606</v>
      </c>
      <c r="D1483" s="1" t="s">
        <v>184</v>
      </c>
      <c r="E1483" s="1" t="s">
        <v>103</v>
      </c>
      <c r="F1483" s="83">
        <v>3</v>
      </c>
      <c r="G1483" s="92">
        <v>4880</v>
      </c>
      <c r="H1483" s="3">
        <v>12.1</v>
      </c>
      <c r="I1483" s="3">
        <v>12868.56</v>
      </c>
      <c r="J1483" s="1" t="s">
        <v>87</v>
      </c>
      <c r="K1483" s="1" t="s">
        <v>112</v>
      </c>
      <c r="L1483" t="str">
        <f>VLOOKUP(D1483, Products!A:C, 3, FALSE)</f>
        <v>Beauty</v>
      </c>
      <c r="M1483" t="str">
        <f>VLOOKUP(C1483, Customers!A:E, 5, FALSE)</f>
        <v>Retail</v>
      </c>
      <c r="N1483">
        <f>VLOOKUP(C1483, Customers!A:E, 3, FALSE)</f>
        <v>52</v>
      </c>
      <c r="O1483" s="93" t="str">
        <f>VLOOKUP(E1483, Sales_Reps!A:C, 3, FALSE)</f>
        <v>North</v>
      </c>
      <c r="P1483">
        <f>VLOOKUP(D1483, Products!A:E, 4, FALSE)</f>
        <v>2768</v>
      </c>
      <c r="Q1483">
        <f>IF(COUNTIF($A$2:A1483, A1483)=2, 1, 0)</f>
        <v>0</v>
      </c>
      <c r="R1483">
        <f>IF(ISNA(MATCH(C1483, Customers!$A:$A, 0)), 1, 0)</f>
        <v>0</v>
      </c>
      <c r="S1483" s="94" t="b">
        <f>VLOOKUP(D1483, Products!A:F, 6, FALSE)</f>
        <v>1</v>
      </c>
    </row>
    <row r="1484" spans="1:19">
      <c r="A1484" s="102" t="s">
        <v>1974</v>
      </c>
      <c r="B1484" s="2">
        <v>45353</v>
      </c>
      <c r="C1484" s="1" t="s">
        <v>474</v>
      </c>
      <c r="D1484" s="1" t="s">
        <v>355</v>
      </c>
      <c r="E1484" s="1" t="s">
        <v>92</v>
      </c>
      <c r="F1484" s="83">
        <v>5</v>
      </c>
      <c r="G1484" s="92">
        <v>2510</v>
      </c>
      <c r="H1484" s="3">
        <v>2.9</v>
      </c>
      <c r="I1484" s="3">
        <v>12186.05</v>
      </c>
      <c r="J1484" s="1" t="s">
        <v>93</v>
      </c>
      <c r="K1484" s="1" t="s">
        <v>99</v>
      </c>
      <c r="L1484" t="str">
        <f>VLOOKUP(D1484, Products!A:C, 3, FALSE)</f>
        <v>Apparel</v>
      </c>
      <c r="M1484" t="str">
        <f>VLOOKUP(C1484, Customers!A:E, 5, FALSE)</f>
        <v>SMB</v>
      </c>
      <c r="N1484">
        <f>VLOOKUP(C1484, Customers!A:E, 3, FALSE)</f>
        <v>59</v>
      </c>
      <c r="O1484" s="93" t="str">
        <f>VLOOKUP(E1484, Sales_Reps!A:C, 3, FALSE)</f>
        <v>North</v>
      </c>
      <c r="P1484">
        <f>VLOOKUP(D1484, Products!A:E, 4, FALSE)</f>
        <v>1075</v>
      </c>
      <c r="Q1484">
        <f>IF(COUNTIF($A$2:A1484, A1484)=2, 1, 0)</f>
        <v>0</v>
      </c>
      <c r="R1484">
        <f>IF(ISNA(MATCH(C1484, Customers!$A:$A, 0)), 1, 0)</f>
        <v>0</v>
      </c>
      <c r="S1484" s="94" t="b">
        <f>VLOOKUP(D1484, Products!A:F, 6, FALSE)</f>
        <v>0</v>
      </c>
    </row>
    <row r="1485" spans="1:19">
      <c r="A1485" s="102" t="s">
        <v>1975</v>
      </c>
      <c r="B1485" s="2">
        <v>45525</v>
      </c>
      <c r="C1485" s="1" t="s">
        <v>1976</v>
      </c>
      <c r="D1485" s="1" t="s">
        <v>408</v>
      </c>
      <c r="E1485" s="1" t="s">
        <v>192</v>
      </c>
      <c r="F1485" s="83">
        <v>9</v>
      </c>
      <c r="G1485" s="92">
        <v>3970</v>
      </c>
      <c r="H1485" s="3">
        <v>28</v>
      </c>
      <c r="I1485" s="3">
        <v>25725.599999999999</v>
      </c>
      <c r="J1485" s="1" t="s">
        <v>87</v>
      </c>
      <c r="K1485" s="1" t="s">
        <v>88</v>
      </c>
      <c r="L1485" t="str">
        <f>VLOOKUP(D1485, Products!A:C, 3, FALSE)</f>
        <v>Electronics</v>
      </c>
      <c r="M1485" t="e">
        <f>VLOOKUP(C1485, Customers!A:E, 5, FALSE)</f>
        <v>#N/A</v>
      </c>
      <c r="N1485" t="e">
        <f>VLOOKUP(C1485, Customers!A:E, 3, FALSE)</f>
        <v>#N/A</v>
      </c>
      <c r="O1485" s="93" t="str">
        <f>VLOOKUP(E1485, Sales_Reps!A:C, 3, FALSE)</f>
        <v>East</v>
      </c>
      <c r="P1485">
        <f>VLOOKUP(D1485, Products!A:E, 4, FALSE)</f>
        <v>2865</v>
      </c>
      <c r="Q1485">
        <f>IF(COUNTIF($A$2:A1485, A1485)=2, 1, 0)</f>
        <v>0</v>
      </c>
      <c r="R1485">
        <f>IF(ISNA(MATCH(C1485, Customers!$A:$A, 0)), 1, 0)</f>
        <v>1</v>
      </c>
      <c r="S1485" s="94" t="b">
        <f>VLOOKUP(D1485, Products!A:F, 6, FALSE)</f>
        <v>1</v>
      </c>
    </row>
    <row r="1486" spans="1:19">
      <c r="A1486" s="102" t="s">
        <v>1977</v>
      </c>
      <c r="B1486" s="2">
        <v>45593</v>
      </c>
      <c r="C1486" s="1" t="s">
        <v>1217</v>
      </c>
      <c r="D1486" s="1" t="s">
        <v>97</v>
      </c>
      <c r="E1486" s="1" t="s">
        <v>343</v>
      </c>
      <c r="F1486" s="83">
        <v>4</v>
      </c>
      <c r="G1486" s="92">
        <v>470</v>
      </c>
      <c r="H1486" s="3">
        <v>19.100000000000001</v>
      </c>
      <c r="I1486" s="3">
        <v>1520.92</v>
      </c>
      <c r="J1486" s="1" t="s">
        <v>93</v>
      </c>
      <c r="K1486" s="1" t="s">
        <v>112</v>
      </c>
      <c r="L1486" t="str">
        <f>VLOOKUP(D1486, Products!A:C, 3, FALSE)</f>
        <v>Sports</v>
      </c>
      <c r="M1486" t="str">
        <f>VLOOKUP(C1486, Customers!A:E, 5, FALSE)</f>
        <v>Retail</v>
      </c>
      <c r="N1486">
        <f>VLOOKUP(C1486, Customers!A:E, 3, FALSE)</f>
        <v>44</v>
      </c>
      <c r="O1486" s="93" t="str">
        <f>VLOOKUP(E1486, Sales_Reps!A:C, 3, FALSE)</f>
        <v>West</v>
      </c>
      <c r="P1486">
        <f>VLOOKUP(D1486, Products!A:E, 4, FALSE)</f>
        <v>302</v>
      </c>
      <c r="Q1486">
        <f>IF(COUNTIF($A$2:A1486, A1486)=2, 1, 0)</f>
        <v>0</v>
      </c>
      <c r="R1486">
        <f>IF(ISNA(MATCH(C1486, Customers!$A:$A, 0)), 1, 0)</f>
        <v>0</v>
      </c>
      <c r="S1486" s="94" t="b">
        <f>VLOOKUP(D1486, Products!A:F, 6, FALSE)</f>
        <v>0</v>
      </c>
    </row>
    <row r="1487" spans="1:19">
      <c r="A1487" s="102" t="s">
        <v>1978</v>
      </c>
      <c r="B1487" s="2">
        <v>45550</v>
      </c>
      <c r="C1487" s="1" t="s">
        <v>299</v>
      </c>
      <c r="D1487" s="1" t="s">
        <v>364</v>
      </c>
      <c r="E1487" s="1" t="s">
        <v>111</v>
      </c>
      <c r="F1487" s="83">
        <v>7</v>
      </c>
      <c r="G1487" s="92">
        <v>5330</v>
      </c>
      <c r="H1487" s="3">
        <v>17.2</v>
      </c>
      <c r="I1487" s="3">
        <v>30892.68</v>
      </c>
      <c r="J1487" s="1" t="s">
        <v>140</v>
      </c>
      <c r="K1487" s="1" t="s">
        <v>133</v>
      </c>
      <c r="L1487" t="str">
        <f>VLOOKUP(D1487, Products!A:C, 3, FALSE)</f>
        <v>Electronics</v>
      </c>
      <c r="M1487" t="str">
        <f>VLOOKUP(C1487, Customers!A:E, 5, FALSE)</f>
        <v>Retail</v>
      </c>
      <c r="N1487">
        <f>VLOOKUP(C1487, Customers!A:E, 3, FALSE)</f>
        <v>29</v>
      </c>
      <c r="O1487" s="93" t="str">
        <f>VLOOKUP(E1487, Sales_Reps!A:C, 3, FALSE)</f>
        <v>West</v>
      </c>
      <c r="P1487">
        <f>VLOOKUP(D1487, Products!A:E, 4, FALSE)</f>
        <v>2405</v>
      </c>
      <c r="Q1487">
        <f>IF(COUNTIF($A$2:A1487, A1487)=2, 1, 0)</f>
        <v>0</v>
      </c>
      <c r="R1487">
        <f>IF(ISNA(MATCH(C1487, Customers!$A:$A, 0)), 1, 0)</f>
        <v>0</v>
      </c>
      <c r="S1487" s="94" t="b">
        <f>VLOOKUP(D1487, Products!A:F, 6, FALSE)</f>
        <v>1</v>
      </c>
    </row>
    <row r="1488" spans="1:19">
      <c r="A1488" s="102" t="s">
        <v>1979</v>
      </c>
      <c r="B1488" s="2">
        <v>45511</v>
      </c>
      <c r="C1488" s="1" t="s">
        <v>153</v>
      </c>
      <c r="D1488" s="1" t="s">
        <v>502</v>
      </c>
      <c r="E1488" s="1" t="s">
        <v>325</v>
      </c>
      <c r="F1488" s="83">
        <v>4</v>
      </c>
      <c r="G1488" s="92">
        <v>1090</v>
      </c>
      <c r="H1488" s="3">
        <v>4.9000000000000004</v>
      </c>
      <c r="I1488" s="3">
        <v>4146.3599999999997</v>
      </c>
      <c r="J1488" s="1" t="s">
        <v>140</v>
      </c>
      <c r="K1488" s="1" t="s">
        <v>117</v>
      </c>
      <c r="L1488" t="str">
        <f>VLOOKUP(D1488, Products!A:C, 3, FALSE)</f>
        <v>Home</v>
      </c>
      <c r="M1488" t="str">
        <f>VLOOKUP(C1488, Customers!A:E, 5, FALSE)</f>
        <v>SMB</v>
      </c>
      <c r="N1488">
        <f>VLOOKUP(C1488, Customers!A:E, 3, FALSE)</f>
        <v>46</v>
      </c>
      <c r="O1488" s="93" t="str">
        <f>VLOOKUP(E1488, Sales_Reps!A:C, 3, FALSE)</f>
        <v>South</v>
      </c>
      <c r="P1488">
        <f>VLOOKUP(D1488, Products!A:E, 4, FALSE)</f>
        <v>464</v>
      </c>
      <c r="Q1488">
        <f>IF(COUNTIF($A$2:A1488, A1488)=2, 1, 0)</f>
        <v>0</v>
      </c>
      <c r="R1488">
        <f>IF(ISNA(MATCH(C1488, Customers!$A:$A, 0)), 1, 0)</f>
        <v>0</v>
      </c>
      <c r="S1488" s="94" t="b">
        <f>VLOOKUP(D1488, Products!A:F, 6, FALSE)</f>
        <v>1</v>
      </c>
    </row>
    <row r="1489" spans="1:19">
      <c r="A1489" s="102" t="s">
        <v>1980</v>
      </c>
      <c r="B1489" s="2">
        <v>45456</v>
      </c>
      <c r="C1489" s="1" t="s">
        <v>440</v>
      </c>
      <c r="D1489" s="1" t="s">
        <v>182</v>
      </c>
      <c r="E1489" s="1" t="s">
        <v>204</v>
      </c>
      <c r="F1489" s="83">
        <v>2</v>
      </c>
      <c r="G1489" s="92">
        <v>1010</v>
      </c>
      <c r="H1489" s="3">
        <v>14</v>
      </c>
      <c r="I1489" s="3">
        <v>1737.2</v>
      </c>
      <c r="J1489" s="1" t="s">
        <v>87</v>
      </c>
      <c r="K1489" s="1" t="s">
        <v>88</v>
      </c>
      <c r="L1489" t="str">
        <f>VLOOKUP(D1489, Products!A:C, 3, FALSE)</f>
        <v>Sports</v>
      </c>
      <c r="M1489" t="str">
        <f>VLOOKUP(C1489, Customers!A:E, 5, FALSE)</f>
        <v>SMB</v>
      </c>
      <c r="N1489">
        <f>VLOOKUP(C1489, Customers!A:E, 3, FALSE)</f>
        <v>30</v>
      </c>
      <c r="O1489" s="93" t="str">
        <f>VLOOKUP(E1489, Sales_Reps!A:C, 3, FALSE)</f>
        <v>South</v>
      </c>
      <c r="P1489">
        <f>VLOOKUP(D1489, Products!A:E, 4, FALSE)</f>
        <v>516</v>
      </c>
      <c r="Q1489">
        <f>IF(COUNTIF($A$2:A1489, A1489)=2, 1, 0)</f>
        <v>0</v>
      </c>
      <c r="R1489">
        <f>IF(ISNA(MATCH(C1489, Customers!$A:$A, 0)), 1, 0)</f>
        <v>0</v>
      </c>
      <c r="S1489" s="94" t="b">
        <f>VLOOKUP(D1489, Products!A:F, 6, FALSE)</f>
        <v>1</v>
      </c>
    </row>
    <row r="1490" spans="1:19">
      <c r="A1490" s="102" t="s">
        <v>1981</v>
      </c>
      <c r="B1490" s="2">
        <v>45343</v>
      </c>
      <c r="C1490" s="1" t="s">
        <v>608</v>
      </c>
      <c r="D1490" s="1" t="s">
        <v>248</v>
      </c>
      <c r="E1490" s="1" t="s">
        <v>346</v>
      </c>
      <c r="F1490" s="83">
        <v>9</v>
      </c>
      <c r="G1490" s="92">
        <v>3870</v>
      </c>
      <c r="H1490" s="3">
        <v>8.1999999999999993</v>
      </c>
      <c r="I1490" s="3">
        <v>31973.94</v>
      </c>
      <c r="J1490" s="1" t="s">
        <v>87</v>
      </c>
      <c r="K1490" s="1" t="s">
        <v>786</v>
      </c>
      <c r="L1490" t="str">
        <f>VLOOKUP(D1490, Products!A:C, 3, FALSE)</f>
        <v>Electronics</v>
      </c>
      <c r="M1490" t="str">
        <f>VLOOKUP(C1490, Customers!A:E, 5, FALSE)</f>
        <v>Corporate</v>
      </c>
      <c r="N1490">
        <f>VLOOKUP(C1490, Customers!A:E, 3, FALSE)</f>
        <v>40</v>
      </c>
      <c r="O1490" s="93" t="str">
        <f>VLOOKUP(E1490, Sales_Reps!A:C, 3, FALSE)</f>
        <v>South</v>
      </c>
      <c r="P1490">
        <f>VLOOKUP(D1490, Products!A:E, 4, FALSE)</f>
        <v>1559</v>
      </c>
      <c r="Q1490">
        <f>IF(COUNTIF($A$2:A1490, A1490)=2, 1, 0)</f>
        <v>0</v>
      </c>
      <c r="R1490">
        <f>IF(ISNA(MATCH(C1490, Customers!$A:$A, 0)), 1, 0)</f>
        <v>0</v>
      </c>
      <c r="S1490" s="94" t="b">
        <f>VLOOKUP(D1490, Products!A:F, 6, FALSE)</f>
        <v>1</v>
      </c>
    </row>
    <row r="1491" spans="1:19">
      <c r="A1491" s="102" t="s">
        <v>1982</v>
      </c>
      <c r="B1491" s="2">
        <v>45491</v>
      </c>
      <c r="C1491" s="1" t="s">
        <v>1047</v>
      </c>
      <c r="D1491" s="1" t="s">
        <v>279</v>
      </c>
      <c r="E1491" s="1" t="s">
        <v>252</v>
      </c>
      <c r="F1491" s="83">
        <v>7</v>
      </c>
      <c r="G1491" s="92">
        <v>2660</v>
      </c>
      <c r="H1491" s="3">
        <v>15.9</v>
      </c>
      <c r="I1491" s="3">
        <v>15659.42</v>
      </c>
      <c r="J1491" s="1" t="s">
        <v>87</v>
      </c>
      <c r="K1491" s="1" t="s">
        <v>133</v>
      </c>
      <c r="L1491" t="str">
        <f>VLOOKUP(D1491, Products!A:C, 3, FALSE)</f>
        <v>Electronics</v>
      </c>
      <c r="M1491" t="str">
        <f>VLOOKUP(C1491, Customers!A:E, 5, FALSE)</f>
        <v>Retail</v>
      </c>
      <c r="N1491">
        <f>VLOOKUP(C1491, Customers!A:E, 3, FALSE)</f>
        <v>41</v>
      </c>
      <c r="O1491" s="93" t="str">
        <f>VLOOKUP(E1491, Sales_Reps!A:C, 3, FALSE)</f>
        <v>South</v>
      </c>
      <c r="P1491">
        <f>VLOOKUP(D1491, Products!A:E, 4, FALSE)</f>
        <v>1259</v>
      </c>
      <c r="Q1491">
        <f>IF(COUNTIF($A$2:A1491, A1491)=2, 1, 0)</f>
        <v>0</v>
      </c>
      <c r="R1491">
        <f>IF(ISNA(MATCH(C1491, Customers!$A:$A, 0)), 1, 0)</f>
        <v>0</v>
      </c>
      <c r="S1491" s="94" t="b">
        <f>VLOOKUP(D1491, Products!A:F, 6, FALSE)</f>
        <v>0</v>
      </c>
    </row>
    <row r="1492" spans="1:19">
      <c r="A1492" s="102" t="s">
        <v>1983</v>
      </c>
      <c r="B1492" s="2">
        <v>45619</v>
      </c>
      <c r="C1492" s="1" t="s">
        <v>524</v>
      </c>
      <c r="D1492" s="1" t="s">
        <v>120</v>
      </c>
      <c r="E1492" s="1" t="s">
        <v>121</v>
      </c>
      <c r="F1492" s="83">
        <v>4</v>
      </c>
      <c r="G1492" s="92">
        <v>1430</v>
      </c>
      <c r="H1492" s="3">
        <v>25.6</v>
      </c>
      <c r="I1492" s="3">
        <v>4255.68</v>
      </c>
      <c r="J1492" s="1" t="s">
        <v>87</v>
      </c>
      <c r="K1492" s="1" t="s">
        <v>112</v>
      </c>
      <c r="L1492" t="str">
        <f>VLOOKUP(D1492, Products!A:C, 3, FALSE)</f>
        <v>Electronics</v>
      </c>
      <c r="M1492" t="str">
        <f>VLOOKUP(C1492, Customers!A:E, 5, FALSE)</f>
        <v>Corporate</v>
      </c>
      <c r="N1492">
        <f>VLOOKUP(C1492, Customers!A:E, 3, FALSE)</f>
        <v>55</v>
      </c>
      <c r="O1492" s="93" t="str">
        <f>VLOOKUP(E1492, Sales_Reps!A:C, 3, FALSE)</f>
        <v>East</v>
      </c>
      <c r="P1492">
        <f>VLOOKUP(D1492, Products!A:E, 4, FALSE)</f>
        <v>861</v>
      </c>
      <c r="Q1492">
        <f>IF(COUNTIF($A$2:A1492, A1492)=2, 1, 0)</f>
        <v>0</v>
      </c>
      <c r="R1492">
        <f>IF(ISNA(MATCH(C1492, Customers!$A:$A, 0)), 1, 0)</f>
        <v>0</v>
      </c>
      <c r="S1492" s="94" t="b">
        <f>VLOOKUP(D1492, Products!A:F, 6, FALSE)</f>
        <v>1</v>
      </c>
    </row>
    <row r="1493" spans="1:19">
      <c r="A1493" s="102" t="s">
        <v>1984</v>
      </c>
      <c r="B1493" s="2">
        <v>45374</v>
      </c>
      <c r="C1493" s="1" t="s">
        <v>504</v>
      </c>
      <c r="D1493" s="1" t="s">
        <v>184</v>
      </c>
      <c r="E1493" s="1" t="s">
        <v>154</v>
      </c>
      <c r="F1493" s="83">
        <v>4</v>
      </c>
      <c r="G1493" s="92">
        <v>4880</v>
      </c>
      <c r="H1493" s="3">
        <v>19.399999999999999</v>
      </c>
      <c r="I1493" s="3">
        <v>15733.12</v>
      </c>
      <c r="J1493" s="1" t="s">
        <v>140</v>
      </c>
      <c r="K1493" s="1" t="s">
        <v>117</v>
      </c>
      <c r="L1493" t="str">
        <f>VLOOKUP(D1493, Products!A:C, 3, FALSE)</f>
        <v>Beauty</v>
      </c>
      <c r="M1493" t="str">
        <f>VLOOKUP(C1493, Customers!A:E, 5, FALSE)</f>
        <v>Corporate</v>
      </c>
      <c r="N1493">
        <f>VLOOKUP(C1493, Customers!A:E, 3, FALSE)</f>
        <v>36</v>
      </c>
      <c r="O1493" s="93" t="str">
        <f>VLOOKUP(E1493, Sales_Reps!A:C, 3, FALSE)</f>
        <v>East</v>
      </c>
      <c r="P1493">
        <f>VLOOKUP(D1493, Products!A:E, 4, FALSE)</f>
        <v>2768</v>
      </c>
      <c r="Q1493">
        <f>IF(COUNTIF($A$2:A1493, A1493)=2, 1, 0)</f>
        <v>0</v>
      </c>
      <c r="R1493">
        <f>IF(ISNA(MATCH(C1493, Customers!$A:$A, 0)), 1, 0)</f>
        <v>0</v>
      </c>
      <c r="S1493" s="94" t="b">
        <f>VLOOKUP(D1493, Products!A:F, 6, FALSE)</f>
        <v>1</v>
      </c>
    </row>
    <row r="1494" spans="1:19">
      <c r="A1494" s="102" t="s">
        <v>1985</v>
      </c>
      <c r="B1494" s="2">
        <v>45566</v>
      </c>
      <c r="C1494" s="1" t="s">
        <v>463</v>
      </c>
      <c r="D1494" s="1" t="s">
        <v>147</v>
      </c>
      <c r="E1494" s="1" t="s">
        <v>215</v>
      </c>
      <c r="F1494" s="83">
        <v>2</v>
      </c>
      <c r="G1494" s="92">
        <v>190</v>
      </c>
      <c r="H1494" s="3">
        <v>9</v>
      </c>
      <c r="I1494" s="3">
        <v>345.8</v>
      </c>
      <c r="J1494" s="1" t="s">
        <v>87</v>
      </c>
      <c r="K1494" s="1" t="s">
        <v>117</v>
      </c>
      <c r="L1494" t="str">
        <f>VLOOKUP(D1494, Products!A:C, 3, FALSE)</f>
        <v>Sports</v>
      </c>
      <c r="M1494" t="str">
        <f>VLOOKUP(C1494, Customers!A:E, 5, FALSE)</f>
        <v>Retail</v>
      </c>
      <c r="N1494">
        <f>VLOOKUP(C1494, Customers!A:E, 3, FALSE)</f>
        <v>55</v>
      </c>
      <c r="O1494" s="93" t="str">
        <f>VLOOKUP(E1494, Sales_Reps!A:C, 3, FALSE)</f>
        <v>North</v>
      </c>
      <c r="P1494">
        <f>VLOOKUP(D1494, Products!A:E, 4, FALSE)</f>
        <v>147</v>
      </c>
      <c r="Q1494">
        <f>IF(COUNTIF($A$2:A1494, A1494)=2, 1, 0)</f>
        <v>0</v>
      </c>
      <c r="R1494">
        <f>IF(ISNA(MATCH(C1494, Customers!$A:$A, 0)), 1, 0)</f>
        <v>0</v>
      </c>
      <c r="S1494" s="94" t="b">
        <f>VLOOKUP(D1494, Products!A:F, 6, FALSE)</f>
        <v>1</v>
      </c>
    </row>
    <row r="1495" spans="1:19">
      <c r="A1495" s="102" t="s">
        <v>1986</v>
      </c>
      <c r="B1495" s="2">
        <v>45415</v>
      </c>
      <c r="C1495" s="1" t="s">
        <v>434</v>
      </c>
      <c r="D1495" s="1" t="s">
        <v>276</v>
      </c>
      <c r="E1495" s="1" t="s">
        <v>121</v>
      </c>
      <c r="F1495" s="83">
        <v>1</v>
      </c>
      <c r="G1495" s="92">
        <v>3020</v>
      </c>
      <c r="H1495" s="3">
        <v>3.6</v>
      </c>
      <c r="I1495" s="3">
        <v>2911.28</v>
      </c>
      <c r="J1495" s="1" t="s">
        <v>144</v>
      </c>
      <c r="K1495" s="1" t="s">
        <v>99</v>
      </c>
      <c r="L1495" t="str">
        <f>VLOOKUP(D1495, Products!A:C, 3, FALSE)</f>
        <v>Beauty</v>
      </c>
      <c r="M1495" t="str">
        <f>VLOOKUP(C1495, Customers!A:E, 5, FALSE)</f>
        <v>Corporate</v>
      </c>
      <c r="N1495">
        <f>VLOOKUP(C1495, Customers!A:E, 3, FALSE)</f>
        <v>31</v>
      </c>
      <c r="O1495" s="93" t="str">
        <f>VLOOKUP(E1495, Sales_Reps!A:C, 3, FALSE)</f>
        <v>East</v>
      </c>
      <c r="P1495">
        <f>VLOOKUP(D1495, Products!A:E, 4, FALSE)</f>
        <v>1626</v>
      </c>
      <c r="Q1495">
        <f>IF(COUNTIF($A$2:A1495, A1495)=2, 1, 0)</f>
        <v>0</v>
      </c>
      <c r="R1495">
        <f>IF(ISNA(MATCH(C1495, Customers!$A:$A, 0)), 1, 0)</f>
        <v>0</v>
      </c>
      <c r="S1495" s="94" t="b">
        <f>VLOOKUP(D1495, Products!A:F, 6, FALSE)</f>
        <v>1</v>
      </c>
    </row>
    <row r="1496" spans="1:19">
      <c r="A1496" s="102" t="s">
        <v>1987</v>
      </c>
      <c r="B1496" s="2">
        <v>45601</v>
      </c>
      <c r="C1496" s="1" t="s">
        <v>119</v>
      </c>
      <c r="D1496" s="1" t="s">
        <v>184</v>
      </c>
      <c r="E1496" s="1" t="s">
        <v>121</v>
      </c>
      <c r="F1496" s="83">
        <v>2</v>
      </c>
      <c r="G1496" s="92">
        <v>4880</v>
      </c>
      <c r="H1496" s="3">
        <v>2</v>
      </c>
      <c r="I1496" s="3">
        <v>9564.7999999999993</v>
      </c>
      <c r="J1496" s="1" t="s">
        <v>140</v>
      </c>
      <c r="K1496" s="1" t="s">
        <v>117</v>
      </c>
      <c r="L1496" t="str">
        <f>VLOOKUP(D1496, Products!A:C, 3, FALSE)</f>
        <v>Beauty</v>
      </c>
      <c r="M1496" t="str">
        <f>VLOOKUP(C1496, Customers!A:E, 5, FALSE)</f>
        <v>Corporate</v>
      </c>
      <c r="N1496">
        <f>VLOOKUP(C1496, Customers!A:E, 3, FALSE)</f>
        <v>57</v>
      </c>
      <c r="O1496" s="93" t="str">
        <f>VLOOKUP(E1496, Sales_Reps!A:C, 3, FALSE)</f>
        <v>East</v>
      </c>
      <c r="P1496">
        <f>VLOOKUP(D1496, Products!A:E, 4, FALSE)</f>
        <v>2768</v>
      </c>
      <c r="Q1496">
        <f>IF(COUNTIF($A$2:A1496, A1496)=2, 1, 0)</f>
        <v>0</v>
      </c>
      <c r="R1496">
        <f>IF(ISNA(MATCH(C1496, Customers!$A:$A, 0)), 1, 0)</f>
        <v>0</v>
      </c>
      <c r="S1496" s="94" t="b">
        <f>VLOOKUP(D1496, Products!A:F, 6, FALSE)</f>
        <v>1</v>
      </c>
    </row>
    <row r="1497" spans="1:19">
      <c r="A1497" s="102" t="s">
        <v>1988</v>
      </c>
      <c r="B1497" s="2">
        <v>45319</v>
      </c>
      <c r="C1497" s="1" t="s">
        <v>841</v>
      </c>
      <c r="D1497" s="1" t="s">
        <v>151</v>
      </c>
      <c r="E1497" s="1" t="s">
        <v>343</v>
      </c>
      <c r="F1497" s="83">
        <v>4</v>
      </c>
      <c r="G1497" s="92">
        <v>2400</v>
      </c>
      <c r="H1497" s="3">
        <v>11.5</v>
      </c>
      <c r="I1497" s="3">
        <v>8496</v>
      </c>
      <c r="J1497" s="1" t="s">
        <v>87</v>
      </c>
      <c r="K1497" s="1" t="s">
        <v>117</v>
      </c>
      <c r="L1497" t="str">
        <f>VLOOKUP(D1497, Products!A:C, 3, FALSE)</f>
        <v>Sports</v>
      </c>
      <c r="M1497" t="str">
        <f>VLOOKUP(C1497, Customers!A:E, 5, FALSE)</f>
        <v>Corporate</v>
      </c>
      <c r="N1497">
        <f>VLOOKUP(C1497, Customers!A:E, 3, FALSE)</f>
        <v>41</v>
      </c>
      <c r="O1497" s="93" t="str">
        <f>VLOOKUP(E1497, Sales_Reps!A:C, 3, FALSE)</f>
        <v>West</v>
      </c>
      <c r="P1497">
        <f>VLOOKUP(D1497, Products!A:E, 4, FALSE)</f>
        <v>974</v>
      </c>
      <c r="Q1497">
        <f>IF(COUNTIF($A$2:A1497, A1497)=2, 1, 0)</f>
        <v>0</v>
      </c>
      <c r="R1497">
        <f>IF(ISNA(MATCH(C1497, Customers!$A:$A, 0)), 1, 0)</f>
        <v>0</v>
      </c>
      <c r="S1497" s="94" t="b">
        <f>VLOOKUP(D1497, Products!A:F, 6, FALSE)</f>
        <v>1</v>
      </c>
    </row>
    <row r="1498" spans="1:19">
      <c r="A1498" s="102" t="s">
        <v>1989</v>
      </c>
      <c r="B1498" s="2">
        <v>45357</v>
      </c>
      <c r="C1498" s="1" t="s">
        <v>557</v>
      </c>
      <c r="D1498" s="1" t="s">
        <v>241</v>
      </c>
      <c r="E1498" s="1" t="s">
        <v>297</v>
      </c>
      <c r="F1498" s="83">
        <v>2</v>
      </c>
      <c r="G1498" s="92">
        <v>6080</v>
      </c>
      <c r="H1498" s="3">
        <v>0.5</v>
      </c>
      <c r="I1498" s="3">
        <v>12099.2</v>
      </c>
      <c r="J1498" s="1" t="s">
        <v>140</v>
      </c>
      <c r="K1498" s="1" t="s">
        <v>112</v>
      </c>
      <c r="L1498" t="str">
        <f>VLOOKUP(D1498, Products!A:C, 3, FALSE)</f>
        <v>Beauty</v>
      </c>
      <c r="M1498" t="str">
        <f>VLOOKUP(C1498, Customers!A:E, 5, FALSE)</f>
        <v>Retail</v>
      </c>
      <c r="N1498">
        <f>VLOOKUP(C1498, Customers!A:E, 3, FALSE)</f>
        <v>65</v>
      </c>
      <c r="O1498" s="93" t="str">
        <f>VLOOKUP(E1498, Sales_Reps!A:C, 3, FALSE)</f>
        <v>North</v>
      </c>
      <c r="P1498">
        <f>VLOOKUP(D1498, Products!A:E, 4, FALSE)</f>
        <v>2617</v>
      </c>
      <c r="Q1498">
        <f>IF(COUNTIF($A$2:A1498, A1498)=2, 1, 0)</f>
        <v>0</v>
      </c>
      <c r="R1498">
        <f>IF(ISNA(MATCH(C1498, Customers!$A:$A, 0)), 1, 0)</f>
        <v>0</v>
      </c>
      <c r="S1498" s="94" t="b">
        <f>VLOOKUP(D1498, Products!A:F, 6, FALSE)</f>
        <v>1</v>
      </c>
    </row>
    <row r="1499" spans="1:19">
      <c r="A1499" s="102" t="s">
        <v>1990</v>
      </c>
      <c r="B1499" s="2">
        <v>45384</v>
      </c>
      <c r="C1499" s="1" t="s">
        <v>823</v>
      </c>
      <c r="D1499" s="1" t="s">
        <v>367</v>
      </c>
      <c r="E1499" s="1" t="s">
        <v>154</v>
      </c>
      <c r="F1499" s="83">
        <v>7</v>
      </c>
      <c r="G1499" s="92">
        <v>2380</v>
      </c>
      <c r="H1499" s="3">
        <v>12.3</v>
      </c>
      <c r="I1499" s="3">
        <v>14610.82</v>
      </c>
      <c r="J1499" s="1" t="s">
        <v>87</v>
      </c>
      <c r="K1499" s="1" t="s">
        <v>94</v>
      </c>
      <c r="L1499" t="str">
        <f>VLOOKUP(D1499, Products!A:C, 3, FALSE)</f>
        <v>Grocery</v>
      </c>
      <c r="M1499" t="str">
        <f>VLOOKUP(C1499, Customers!A:E, 5, FALSE)</f>
        <v>Retail</v>
      </c>
      <c r="N1499">
        <f>VLOOKUP(C1499, Customers!A:E, 3, FALSE)</f>
        <v>32</v>
      </c>
      <c r="O1499" s="93" t="str">
        <f>VLOOKUP(E1499, Sales_Reps!A:C, 3, FALSE)</f>
        <v>East</v>
      </c>
      <c r="P1499">
        <f>VLOOKUP(D1499, Products!A:E, 4, FALSE)</f>
        <v>1182</v>
      </c>
      <c r="Q1499">
        <f>IF(COUNTIF($A$2:A1499, A1499)=2, 1, 0)</f>
        <v>0</v>
      </c>
      <c r="R1499">
        <f>IF(ISNA(MATCH(C1499, Customers!$A:$A, 0)), 1, 0)</f>
        <v>0</v>
      </c>
      <c r="S1499" s="94" t="b">
        <f>VLOOKUP(D1499, Products!A:F, 6, FALSE)</f>
        <v>1</v>
      </c>
    </row>
    <row r="1500" spans="1:19">
      <c r="A1500" s="102" t="s">
        <v>1991</v>
      </c>
      <c r="B1500" s="2">
        <v>45509</v>
      </c>
      <c r="C1500" s="1" t="s">
        <v>369</v>
      </c>
      <c r="D1500" s="1" t="s">
        <v>259</v>
      </c>
      <c r="E1500" s="1" t="s">
        <v>215</v>
      </c>
      <c r="F1500" s="83">
        <v>10</v>
      </c>
      <c r="G1500" s="92">
        <v>1540</v>
      </c>
      <c r="H1500" s="3">
        <v>20.6</v>
      </c>
      <c r="I1500" s="3">
        <v>12227.6</v>
      </c>
      <c r="J1500" s="1" t="s">
        <v>87</v>
      </c>
      <c r="K1500" s="1" t="s">
        <v>94</v>
      </c>
      <c r="L1500" t="str">
        <f>VLOOKUP(D1500, Products!A:C, 3, FALSE)</f>
        <v>Beauty</v>
      </c>
      <c r="M1500" t="str">
        <f>VLOOKUP(C1500, Customers!A:E, 5, FALSE)</f>
        <v>SMB</v>
      </c>
      <c r="N1500">
        <f>VLOOKUP(C1500, Customers!A:E, 3, FALSE)</f>
        <v>62</v>
      </c>
      <c r="O1500" s="93" t="str">
        <f>VLOOKUP(E1500, Sales_Reps!A:C, 3, FALSE)</f>
        <v>North</v>
      </c>
      <c r="P1500">
        <f>VLOOKUP(D1500, Products!A:E, 4, FALSE)</f>
        <v>647</v>
      </c>
      <c r="Q1500">
        <f>IF(COUNTIF($A$2:A1500, A1500)=2, 1, 0)</f>
        <v>0</v>
      </c>
      <c r="R1500">
        <f>IF(ISNA(MATCH(C1500, Customers!$A:$A, 0)), 1, 0)</f>
        <v>0</v>
      </c>
      <c r="S1500" s="94" t="b">
        <f>VLOOKUP(D1500, Products!A:F, 6, FALSE)</f>
        <v>0</v>
      </c>
    </row>
    <row r="1501" spans="1:19">
      <c r="A1501" s="102" t="s">
        <v>1992</v>
      </c>
      <c r="B1501" s="2">
        <v>45520</v>
      </c>
      <c r="C1501" s="1" t="s">
        <v>163</v>
      </c>
      <c r="D1501" s="1" t="s">
        <v>248</v>
      </c>
      <c r="E1501" s="1" t="s">
        <v>128</v>
      </c>
      <c r="F1501" s="83">
        <v>7</v>
      </c>
      <c r="G1501" s="92">
        <v>3870</v>
      </c>
      <c r="H1501" s="3">
        <v>6.1</v>
      </c>
      <c r="I1501" s="3">
        <v>25437.51</v>
      </c>
      <c r="J1501" s="1" t="s">
        <v>87</v>
      </c>
      <c r="K1501" s="1" t="s">
        <v>94</v>
      </c>
      <c r="L1501" t="str">
        <f>VLOOKUP(D1501, Products!A:C, 3, FALSE)</f>
        <v>Electronics</v>
      </c>
      <c r="M1501" t="str">
        <f>VLOOKUP(C1501, Customers!A:E, 5, FALSE)</f>
        <v>Retail</v>
      </c>
      <c r="N1501">
        <f>VLOOKUP(C1501, Customers!A:E, 3, FALSE)</f>
        <v>49</v>
      </c>
      <c r="O1501" s="93" t="str">
        <f>VLOOKUP(E1501, Sales_Reps!A:C, 3, FALSE)</f>
        <v>West</v>
      </c>
      <c r="P1501">
        <f>VLOOKUP(D1501, Products!A:E, 4, FALSE)</f>
        <v>1559</v>
      </c>
      <c r="Q1501">
        <f>IF(COUNTIF($A$2:A1501, A1501)=2, 1, 0)</f>
        <v>0</v>
      </c>
      <c r="R1501">
        <f>IF(ISNA(MATCH(C1501, Customers!$A:$A, 0)), 1, 0)</f>
        <v>0</v>
      </c>
      <c r="S1501" s="94" t="b">
        <f>VLOOKUP(D1501, Products!A:F, 6, FALSE)</f>
        <v>1</v>
      </c>
    </row>
    <row r="1502" spans="1:19">
      <c r="A1502" s="102" t="s">
        <v>1993</v>
      </c>
      <c r="B1502" s="2">
        <v>45383</v>
      </c>
      <c r="C1502" s="1" t="s">
        <v>580</v>
      </c>
      <c r="D1502" s="1" t="s">
        <v>110</v>
      </c>
      <c r="E1502" s="1" t="s">
        <v>158</v>
      </c>
      <c r="F1502" s="83">
        <v>3</v>
      </c>
      <c r="G1502" s="92">
        <v>370</v>
      </c>
      <c r="H1502" s="3">
        <v>13.7</v>
      </c>
      <c r="I1502" s="3">
        <v>957.93</v>
      </c>
      <c r="J1502" s="1" t="s">
        <v>87</v>
      </c>
      <c r="K1502" s="1" t="s">
        <v>88</v>
      </c>
      <c r="L1502" t="str">
        <f>VLOOKUP(D1502, Products!A:C, 3, FALSE)</f>
        <v>Home</v>
      </c>
      <c r="M1502" t="str">
        <f>VLOOKUP(C1502, Customers!A:E, 5, FALSE)</f>
        <v>Corporate</v>
      </c>
      <c r="N1502">
        <f>VLOOKUP(C1502, Customers!A:E, 3, FALSE)</f>
        <v>40</v>
      </c>
      <c r="O1502" s="93" t="str">
        <f>VLOOKUP(E1502, Sales_Reps!A:C, 3, FALSE)</f>
        <v>East</v>
      </c>
      <c r="P1502">
        <f>VLOOKUP(D1502, Products!A:E, 4, FALSE)</f>
        <v>288</v>
      </c>
      <c r="Q1502">
        <f>IF(COUNTIF($A$2:A1502, A1502)=2, 1, 0)</f>
        <v>0</v>
      </c>
      <c r="R1502">
        <f>IF(ISNA(MATCH(C1502, Customers!$A:$A, 0)), 1, 0)</f>
        <v>0</v>
      </c>
      <c r="S1502" s="94" t="b">
        <f>VLOOKUP(D1502, Products!A:F, 6, FALSE)</f>
        <v>1</v>
      </c>
    </row>
    <row r="1503" spans="1:19">
      <c r="A1503" s="102" t="s">
        <v>1994</v>
      </c>
      <c r="B1503" s="2">
        <v>45328</v>
      </c>
      <c r="C1503" s="1" t="s">
        <v>371</v>
      </c>
      <c r="D1503" s="1" t="s">
        <v>147</v>
      </c>
      <c r="E1503" s="1" t="s">
        <v>343</v>
      </c>
      <c r="F1503" s="83">
        <v>8</v>
      </c>
      <c r="G1503" s="92">
        <v>190</v>
      </c>
      <c r="H1503" s="3">
        <v>0.2</v>
      </c>
      <c r="I1503" s="3">
        <v>1516.96</v>
      </c>
      <c r="J1503" s="1" t="s">
        <v>87</v>
      </c>
      <c r="K1503" s="1" t="s">
        <v>112</v>
      </c>
      <c r="L1503" t="str">
        <f>VLOOKUP(D1503, Products!A:C, 3, FALSE)</f>
        <v>Sports</v>
      </c>
      <c r="M1503" t="str">
        <f>VLOOKUP(C1503, Customers!A:E, 5, FALSE)</f>
        <v>Retail</v>
      </c>
      <c r="N1503">
        <f>VLOOKUP(C1503, Customers!A:E, 3, FALSE)</f>
        <v>42</v>
      </c>
      <c r="O1503" s="93" t="str">
        <f>VLOOKUP(E1503, Sales_Reps!A:C, 3, FALSE)</f>
        <v>West</v>
      </c>
      <c r="P1503">
        <f>VLOOKUP(D1503, Products!A:E, 4, FALSE)</f>
        <v>147</v>
      </c>
      <c r="Q1503">
        <f>IF(COUNTIF($A$2:A1503, A1503)=2, 1, 0)</f>
        <v>0</v>
      </c>
      <c r="R1503">
        <f>IF(ISNA(MATCH(C1503, Customers!$A:$A, 0)), 1, 0)</f>
        <v>0</v>
      </c>
      <c r="S1503" s="94" t="b">
        <f>VLOOKUP(D1503, Products!A:F, 6, FALSE)</f>
        <v>1</v>
      </c>
    </row>
    <row r="1504" spans="1:19">
      <c r="A1504" s="102" t="s">
        <v>1995</v>
      </c>
      <c r="B1504" s="2">
        <v>45501</v>
      </c>
      <c r="C1504" s="1" t="s">
        <v>90</v>
      </c>
      <c r="D1504" s="1" t="s">
        <v>120</v>
      </c>
      <c r="E1504" s="1" t="s">
        <v>273</v>
      </c>
      <c r="F1504" s="83">
        <v>6</v>
      </c>
      <c r="G1504" s="92">
        <v>1430</v>
      </c>
      <c r="H1504" s="3">
        <v>0.1</v>
      </c>
      <c r="I1504" s="3">
        <v>8571.42</v>
      </c>
      <c r="J1504" s="1" t="s">
        <v>87</v>
      </c>
      <c r="K1504" s="1" t="s">
        <v>94</v>
      </c>
      <c r="L1504" t="str">
        <f>VLOOKUP(D1504, Products!A:C, 3, FALSE)</f>
        <v>Electronics</v>
      </c>
      <c r="M1504" t="str">
        <f>VLOOKUP(C1504, Customers!A:E, 5, FALSE)</f>
        <v>Retail</v>
      </c>
      <c r="N1504">
        <f>VLOOKUP(C1504, Customers!A:E, 3, FALSE)</f>
        <v>39</v>
      </c>
      <c r="O1504" s="93" t="str">
        <f>VLOOKUP(E1504, Sales_Reps!A:C, 3, FALSE)</f>
        <v>South</v>
      </c>
      <c r="P1504">
        <f>VLOOKUP(D1504, Products!A:E, 4, FALSE)</f>
        <v>861</v>
      </c>
      <c r="Q1504">
        <f>IF(COUNTIF($A$2:A1504, A1504)=2, 1, 0)</f>
        <v>0</v>
      </c>
      <c r="R1504">
        <f>IF(ISNA(MATCH(C1504, Customers!$A:$A, 0)), 1, 0)</f>
        <v>0</v>
      </c>
      <c r="S1504" s="94" t="b">
        <f>VLOOKUP(D1504, Products!A:F, 6, FALSE)</f>
        <v>1</v>
      </c>
    </row>
    <row r="1505" spans="1:19">
      <c r="A1505" s="102" t="s">
        <v>1996</v>
      </c>
      <c r="B1505" s="2">
        <v>45346</v>
      </c>
      <c r="C1505" s="1" t="s">
        <v>472</v>
      </c>
      <c r="D1505" s="1" t="s">
        <v>97</v>
      </c>
      <c r="E1505" s="1" t="s">
        <v>192</v>
      </c>
      <c r="F1505" s="83">
        <v>4</v>
      </c>
      <c r="G1505" s="92">
        <v>470</v>
      </c>
      <c r="H1505" s="3">
        <v>3</v>
      </c>
      <c r="I1505" s="3">
        <v>1823.6</v>
      </c>
      <c r="J1505" s="1" t="s">
        <v>87</v>
      </c>
      <c r="K1505" s="1" t="s">
        <v>94</v>
      </c>
      <c r="L1505" t="str">
        <f>VLOOKUP(D1505, Products!A:C, 3, FALSE)</f>
        <v>Sports</v>
      </c>
      <c r="M1505" t="str">
        <f>VLOOKUP(C1505, Customers!A:E, 5, FALSE)</f>
        <v>Corporate</v>
      </c>
      <c r="N1505">
        <f>VLOOKUP(C1505, Customers!A:E, 3, FALSE)</f>
        <v>35</v>
      </c>
      <c r="O1505" s="93" t="str">
        <f>VLOOKUP(E1505, Sales_Reps!A:C, 3, FALSE)</f>
        <v>East</v>
      </c>
      <c r="P1505">
        <f>VLOOKUP(D1505, Products!A:E, 4, FALSE)</f>
        <v>302</v>
      </c>
      <c r="Q1505">
        <f>IF(COUNTIF($A$2:A1505, A1505)=2, 1, 0)</f>
        <v>0</v>
      </c>
      <c r="R1505">
        <f>IF(ISNA(MATCH(C1505, Customers!$A:$A, 0)), 1, 0)</f>
        <v>0</v>
      </c>
      <c r="S1505" s="94" t="b">
        <f>VLOOKUP(D1505, Products!A:F, 6, FALSE)</f>
        <v>0</v>
      </c>
    </row>
    <row r="1506" spans="1:19">
      <c r="A1506" s="102" t="s">
        <v>1997</v>
      </c>
      <c r="B1506" s="2">
        <v>45446</v>
      </c>
      <c r="C1506" s="1" t="s">
        <v>485</v>
      </c>
      <c r="D1506" s="1" t="s">
        <v>659</v>
      </c>
      <c r="E1506" s="1" t="s">
        <v>139</v>
      </c>
      <c r="F1506" s="83">
        <v>4</v>
      </c>
      <c r="G1506" s="92">
        <v>3560</v>
      </c>
      <c r="H1506" s="3">
        <v>1.1000000000000001</v>
      </c>
      <c r="I1506" s="3">
        <v>14083.36</v>
      </c>
      <c r="J1506" s="1" t="s">
        <v>87</v>
      </c>
      <c r="K1506" s="1" t="s">
        <v>88</v>
      </c>
      <c r="L1506" t="str">
        <f>VLOOKUP(D1506, Products!A:C, 3, FALSE)</f>
        <v>Apparel</v>
      </c>
      <c r="M1506" t="str">
        <f>VLOOKUP(C1506, Customers!A:E, 5, FALSE)</f>
        <v>Retail</v>
      </c>
      <c r="N1506">
        <f>VLOOKUP(C1506, Customers!A:E, 3, FALSE)</f>
        <v>49</v>
      </c>
      <c r="O1506" s="93" t="str">
        <f>VLOOKUP(E1506, Sales_Reps!A:C, 3, FALSE)</f>
        <v>North</v>
      </c>
      <c r="P1506">
        <f>VLOOKUP(D1506, Products!A:E, 4, FALSE)</f>
        <v>2629</v>
      </c>
      <c r="Q1506">
        <f>IF(COUNTIF($A$2:A1506, A1506)=2, 1, 0)</f>
        <v>0</v>
      </c>
      <c r="R1506">
        <f>IF(ISNA(MATCH(C1506, Customers!$A:$A, 0)), 1, 0)</f>
        <v>0</v>
      </c>
      <c r="S1506" s="94" t="b">
        <f>VLOOKUP(D1506, Products!A:F, 6, FALSE)</f>
        <v>1</v>
      </c>
    </row>
    <row r="1507" spans="1:19">
      <c r="A1507" s="102" t="s">
        <v>1998</v>
      </c>
      <c r="B1507" s="2">
        <v>45521</v>
      </c>
      <c r="C1507" s="1" t="s">
        <v>635</v>
      </c>
      <c r="D1507" s="1" t="s">
        <v>184</v>
      </c>
      <c r="E1507" s="1" t="s">
        <v>325</v>
      </c>
      <c r="F1507" s="83">
        <v>5</v>
      </c>
      <c r="G1507" s="92">
        <v>4880</v>
      </c>
      <c r="H1507" s="3">
        <v>17</v>
      </c>
      <c r="I1507" s="3">
        <v>20252</v>
      </c>
      <c r="J1507" s="1" t="s">
        <v>87</v>
      </c>
      <c r="K1507" s="1" t="s">
        <v>99</v>
      </c>
      <c r="L1507" t="str">
        <f>VLOOKUP(D1507, Products!A:C, 3, FALSE)</f>
        <v>Beauty</v>
      </c>
      <c r="M1507" t="str">
        <f>VLOOKUP(C1507, Customers!A:E, 5, FALSE)</f>
        <v>Retail</v>
      </c>
      <c r="N1507">
        <f>VLOOKUP(C1507, Customers!A:E, 3, FALSE)</f>
        <v>49</v>
      </c>
      <c r="O1507" s="93" t="str">
        <f>VLOOKUP(E1507, Sales_Reps!A:C, 3, FALSE)</f>
        <v>South</v>
      </c>
      <c r="P1507">
        <f>VLOOKUP(D1507, Products!A:E, 4, FALSE)</f>
        <v>2768</v>
      </c>
      <c r="Q1507">
        <f>IF(COUNTIF($A$2:A1507, A1507)=2, 1, 0)</f>
        <v>0</v>
      </c>
      <c r="R1507">
        <f>IF(ISNA(MATCH(C1507, Customers!$A:$A, 0)), 1, 0)</f>
        <v>0</v>
      </c>
      <c r="S1507" s="94" t="b">
        <f>VLOOKUP(D1507, Products!A:F, 6, FALSE)</f>
        <v>1</v>
      </c>
    </row>
    <row r="1508" spans="1:19">
      <c r="A1508" s="102" t="s">
        <v>1999</v>
      </c>
      <c r="B1508" s="2">
        <v>45483</v>
      </c>
      <c r="C1508" s="1" t="s">
        <v>680</v>
      </c>
      <c r="D1508" s="1" t="s">
        <v>187</v>
      </c>
      <c r="E1508" s="1" t="s">
        <v>204</v>
      </c>
      <c r="F1508" s="83">
        <v>9</v>
      </c>
      <c r="G1508" s="92">
        <v>3570</v>
      </c>
      <c r="H1508" s="3">
        <v>12</v>
      </c>
      <c r="I1508" s="3">
        <v>28274.400000000001</v>
      </c>
      <c r="J1508" s="1" t="s">
        <v>87</v>
      </c>
      <c r="K1508" s="1" t="s">
        <v>94</v>
      </c>
      <c r="L1508" t="str">
        <f>VLOOKUP(D1508, Products!A:C, 3, FALSE)</f>
        <v>Electronics</v>
      </c>
      <c r="M1508" t="str">
        <f>VLOOKUP(C1508, Customers!A:E, 5, FALSE)</f>
        <v>Retail</v>
      </c>
      <c r="N1508">
        <f>VLOOKUP(C1508, Customers!A:E, 3, FALSE)</f>
        <v>26</v>
      </c>
      <c r="O1508" s="93" t="str">
        <f>VLOOKUP(E1508, Sales_Reps!A:C, 3, FALSE)</f>
        <v>South</v>
      </c>
      <c r="P1508">
        <f>VLOOKUP(D1508, Products!A:E, 4, FALSE)</f>
        <v>1665</v>
      </c>
      <c r="Q1508">
        <f>IF(COUNTIF($A$2:A1508, A1508)=2, 1, 0)</f>
        <v>0</v>
      </c>
      <c r="R1508">
        <f>IF(ISNA(MATCH(C1508, Customers!$A:$A, 0)), 1, 0)</f>
        <v>0</v>
      </c>
      <c r="S1508" s="94" t="b">
        <f>VLOOKUP(D1508, Products!A:F, 6, FALSE)</f>
        <v>1</v>
      </c>
    </row>
    <row r="1509" spans="1:19">
      <c r="A1509" s="102" t="s">
        <v>2000</v>
      </c>
      <c r="B1509" s="2">
        <v>45370</v>
      </c>
      <c r="C1509" s="1" t="s">
        <v>1361</v>
      </c>
      <c r="D1509" s="1" t="s">
        <v>161</v>
      </c>
      <c r="E1509" s="1" t="s">
        <v>111</v>
      </c>
      <c r="F1509" s="83">
        <v>6</v>
      </c>
      <c r="G1509" s="92">
        <v>3450</v>
      </c>
      <c r="H1509" s="3">
        <v>22.7</v>
      </c>
      <c r="I1509" s="3">
        <v>16001.1</v>
      </c>
      <c r="J1509" s="1" t="s">
        <v>140</v>
      </c>
      <c r="K1509" s="1" t="s">
        <v>94</v>
      </c>
      <c r="L1509" t="str">
        <f>VLOOKUP(D1509, Products!A:C, 3, FALSE)</f>
        <v>Sports</v>
      </c>
      <c r="M1509" t="str">
        <f>VLOOKUP(C1509, Customers!A:E, 5, FALSE)</f>
        <v>Retail</v>
      </c>
      <c r="N1509">
        <f>VLOOKUP(C1509, Customers!A:E, 3, FALSE)</f>
        <v>34</v>
      </c>
      <c r="O1509" s="93" t="str">
        <f>VLOOKUP(E1509, Sales_Reps!A:C, 3, FALSE)</f>
        <v>West</v>
      </c>
      <c r="P1509">
        <f>VLOOKUP(D1509, Products!A:E, 4, FALSE)</f>
        <v>2467</v>
      </c>
      <c r="Q1509">
        <f>IF(COUNTIF($A$2:A1509, A1509)=2, 1, 0)</f>
        <v>0</v>
      </c>
      <c r="R1509">
        <f>IF(ISNA(MATCH(C1509, Customers!$A:$A, 0)), 1, 0)</f>
        <v>0</v>
      </c>
      <c r="S1509" s="94" t="b">
        <f>VLOOKUP(D1509, Products!A:F, 6, FALSE)</f>
        <v>1</v>
      </c>
    </row>
    <row r="1510" spans="1:19">
      <c r="A1510" s="102" t="s">
        <v>2001</v>
      </c>
      <c r="B1510" s="2">
        <v>45456</v>
      </c>
      <c r="C1510" s="1" t="s">
        <v>178</v>
      </c>
      <c r="D1510" s="1" t="s">
        <v>164</v>
      </c>
      <c r="E1510" s="1" t="s">
        <v>297</v>
      </c>
      <c r="F1510" s="83">
        <v>10</v>
      </c>
      <c r="G1510" s="92">
        <v>1080</v>
      </c>
      <c r="H1510" s="3">
        <v>27.4</v>
      </c>
      <c r="I1510" s="3">
        <v>7840.8</v>
      </c>
      <c r="J1510" s="1" t="s">
        <v>87</v>
      </c>
      <c r="K1510" s="1" t="s">
        <v>94</v>
      </c>
      <c r="L1510" t="str">
        <f>VLOOKUP(D1510, Products!A:C, 3, FALSE)</f>
        <v>Home</v>
      </c>
      <c r="M1510" t="str">
        <f>VLOOKUP(C1510, Customers!A:E, 5, FALSE)</f>
        <v>Corporate</v>
      </c>
      <c r="N1510">
        <f>VLOOKUP(C1510, Customers!A:E, 3, FALSE)</f>
        <v>55</v>
      </c>
      <c r="O1510" s="93" t="str">
        <f>VLOOKUP(E1510, Sales_Reps!A:C, 3, FALSE)</f>
        <v>North</v>
      </c>
      <c r="P1510">
        <f>VLOOKUP(D1510, Products!A:E, 4, FALSE)</f>
        <v>519</v>
      </c>
      <c r="Q1510">
        <f>IF(COUNTIF($A$2:A1510, A1510)=2, 1, 0)</f>
        <v>0</v>
      </c>
      <c r="R1510">
        <f>IF(ISNA(MATCH(C1510, Customers!$A:$A, 0)), 1, 0)</f>
        <v>0</v>
      </c>
      <c r="S1510" s="94" t="b">
        <f>VLOOKUP(D1510, Products!A:F, 6, FALSE)</f>
        <v>1</v>
      </c>
    </row>
    <row r="1511" spans="1:19">
      <c r="A1511" s="102" t="s">
        <v>2002</v>
      </c>
      <c r="B1511" s="2">
        <v>45605</v>
      </c>
      <c r="C1511" s="1" t="s">
        <v>856</v>
      </c>
      <c r="D1511" s="1" t="s">
        <v>259</v>
      </c>
      <c r="E1511" s="1" t="s">
        <v>111</v>
      </c>
      <c r="F1511" s="83">
        <v>6</v>
      </c>
      <c r="G1511" s="92">
        <v>1540</v>
      </c>
      <c r="H1511" s="3">
        <v>17.100000000000001</v>
      </c>
      <c r="I1511" s="3">
        <v>7659.96</v>
      </c>
      <c r="J1511" s="1" t="s">
        <v>87</v>
      </c>
      <c r="K1511" s="1" t="s">
        <v>88</v>
      </c>
      <c r="L1511" t="str">
        <f>VLOOKUP(D1511, Products!A:C, 3, FALSE)</f>
        <v>Beauty</v>
      </c>
      <c r="M1511" t="str">
        <f>VLOOKUP(C1511, Customers!A:E, 5, FALSE)</f>
        <v>SMB</v>
      </c>
      <c r="N1511">
        <f>VLOOKUP(C1511, Customers!A:E, 3, FALSE)</f>
        <v>59</v>
      </c>
      <c r="O1511" s="93" t="str">
        <f>VLOOKUP(E1511, Sales_Reps!A:C, 3, FALSE)</f>
        <v>West</v>
      </c>
      <c r="P1511">
        <f>VLOOKUP(D1511, Products!A:E, 4, FALSE)</f>
        <v>647</v>
      </c>
      <c r="Q1511">
        <f>IF(COUNTIF($A$2:A1511, A1511)=2, 1, 0)</f>
        <v>0</v>
      </c>
      <c r="R1511">
        <f>IF(ISNA(MATCH(C1511, Customers!$A:$A, 0)), 1, 0)</f>
        <v>0</v>
      </c>
      <c r="S1511" s="94" t="b">
        <f>VLOOKUP(D1511, Products!A:F, 6, FALSE)</f>
        <v>0</v>
      </c>
    </row>
    <row r="1512" spans="1:19">
      <c r="A1512" s="102" t="s">
        <v>2003</v>
      </c>
      <c r="B1512" s="2">
        <v>45556</v>
      </c>
      <c r="C1512" s="1" t="s">
        <v>2004</v>
      </c>
      <c r="D1512" s="1" t="s">
        <v>173</v>
      </c>
      <c r="E1512" s="1" t="s">
        <v>252</v>
      </c>
      <c r="F1512" s="83">
        <v>6</v>
      </c>
      <c r="G1512" s="92">
        <v>2720</v>
      </c>
      <c r="H1512" s="3">
        <v>28.1</v>
      </c>
      <c r="I1512" s="3">
        <v>11734.08</v>
      </c>
      <c r="J1512" s="1" t="s">
        <v>87</v>
      </c>
      <c r="K1512" s="1" t="s">
        <v>112</v>
      </c>
      <c r="L1512" t="str">
        <f>VLOOKUP(D1512, Products!A:C, 3, FALSE)</f>
        <v>Apparel</v>
      </c>
      <c r="M1512" t="e">
        <f>VLOOKUP(C1512, Customers!A:E, 5, FALSE)</f>
        <v>#N/A</v>
      </c>
      <c r="N1512" t="e">
        <f>VLOOKUP(C1512, Customers!A:E, 3, FALSE)</f>
        <v>#N/A</v>
      </c>
      <c r="O1512" s="93" t="str">
        <f>VLOOKUP(E1512, Sales_Reps!A:C, 3, FALSE)</f>
        <v>South</v>
      </c>
      <c r="P1512">
        <f>VLOOKUP(D1512, Products!A:E, 4, FALSE)</f>
        <v>1962</v>
      </c>
      <c r="Q1512">
        <f>IF(COUNTIF($A$2:A1512, A1512)=2, 1, 0)</f>
        <v>0</v>
      </c>
      <c r="R1512">
        <f>IF(ISNA(MATCH(C1512, Customers!$A:$A, 0)), 1, 0)</f>
        <v>1</v>
      </c>
      <c r="S1512" s="94" t="b">
        <f>VLOOKUP(D1512, Products!A:F, 6, FALSE)</f>
        <v>1</v>
      </c>
    </row>
    <row r="1513" spans="1:19">
      <c r="A1513" s="102" t="s">
        <v>2005</v>
      </c>
      <c r="B1513" s="2">
        <v>45569</v>
      </c>
      <c r="C1513" s="1" t="s">
        <v>256</v>
      </c>
      <c r="D1513" s="1" t="s">
        <v>443</v>
      </c>
      <c r="E1513" s="1" t="s">
        <v>92</v>
      </c>
      <c r="F1513" s="83">
        <v>2</v>
      </c>
      <c r="G1513" s="92">
        <v>5080</v>
      </c>
      <c r="H1513" s="3">
        <v>11.1</v>
      </c>
      <c r="I1513" s="3">
        <v>9032.24</v>
      </c>
      <c r="J1513" s="1" t="s">
        <v>87</v>
      </c>
      <c r="K1513" s="1" t="s">
        <v>133</v>
      </c>
      <c r="L1513" t="str">
        <f>VLOOKUP(D1513, Products!A:C, 3, FALSE)</f>
        <v>Home</v>
      </c>
      <c r="M1513" t="str">
        <f>VLOOKUP(C1513, Customers!A:E, 5, FALSE)</f>
        <v>Retail</v>
      </c>
      <c r="N1513">
        <f>VLOOKUP(C1513, Customers!A:E, 3, FALSE)</f>
        <v>27</v>
      </c>
      <c r="O1513" s="93" t="str">
        <f>VLOOKUP(E1513, Sales_Reps!A:C, 3, FALSE)</f>
        <v>North</v>
      </c>
      <c r="P1513">
        <f>VLOOKUP(D1513, Products!A:E, 4, FALSE)</f>
        <v>2459</v>
      </c>
      <c r="Q1513">
        <f>IF(COUNTIF($A$2:A1513, A1513)=2, 1, 0)</f>
        <v>0</v>
      </c>
      <c r="R1513">
        <f>IF(ISNA(MATCH(C1513, Customers!$A:$A, 0)), 1, 0)</f>
        <v>0</v>
      </c>
      <c r="S1513" s="94" t="b">
        <f>VLOOKUP(D1513, Products!A:F, 6, FALSE)</f>
        <v>1</v>
      </c>
    </row>
    <row r="1514" spans="1:19">
      <c r="A1514" s="102" t="s">
        <v>2006</v>
      </c>
      <c r="B1514" s="2">
        <v>45329</v>
      </c>
      <c r="C1514" s="1" t="s">
        <v>2007</v>
      </c>
      <c r="D1514" s="1" t="s">
        <v>292</v>
      </c>
      <c r="E1514" s="1" t="s">
        <v>107</v>
      </c>
      <c r="F1514" s="83">
        <v>5</v>
      </c>
      <c r="G1514" s="92">
        <v>620</v>
      </c>
      <c r="H1514" s="3">
        <v>10.9</v>
      </c>
      <c r="I1514" s="3">
        <v>2762.1</v>
      </c>
      <c r="J1514" s="1" t="s">
        <v>93</v>
      </c>
      <c r="K1514" s="1" t="s">
        <v>94</v>
      </c>
      <c r="L1514" t="str">
        <f>VLOOKUP(D1514, Products!A:C, 3, FALSE)</f>
        <v>Apparel</v>
      </c>
      <c r="M1514" t="e">
        <f>VLOOKUP(C1514, Customers!A:E, 5, FALSE)</f>
        <v>#N/A</v>
      </c>
      <c r="N1514" t="e">
        <f>VLOOKUP(C1514, Customers!A:E, 3, FALSE)</f>
        <v>#N/A</v>
      </c>
      <c r="O1514" s="93" t="str">
        <f>VLOOKUP(E1514, Sales_Reps!A:C, 3, FALSE)</f>
        <v>North</v>
      </c>
      <c r="P1514">
        <f>VLOOKUP(D1514, Products!A:E, 4, FALSE)</f>
        <v>396</v>
      </c>
      <c r="Q1514">
        <f>IF(COUNTIF($A$2:A1514, A1514)=2, 1, 0)</f>
        <v>0</v>
      </c>
      <c r="R1514">
        <f>IF(ISNA(MATCH(C1514, Customers!$A:$A, 0)), 1, 0)</f>
        <v>1</v>
      </c>
      <c r="S1514" s="94" t="b">
        <f>VLOOKUP(D1514, Products!A:F, 6, FALSE)</f>
        <v>1</v>
      </c>
    </row>
    <row r="1515" spans="1:19">
      <c r="A1515" s="102" t="s">
        <v>2008</v>
      </c>
      <c r="B1515" s="2">
        <v>45377</v>
      </c>
      <c r="C1515" s="1" t="s">
        <v>308</v>
      </c>
      <c r="D1515" s="1" t="s">
        <v>167</v>
      </c>
      <c r="E1515" s="1" t="s">
        <v>148</v>
      </c>
      <c r="F1515" s="83">
        <v>3</v>
      </c>
      <c r="G1515" s="92">
        <v>2480</v>
      </c>
      <c r="H1515" s="3">
        <v>5</v>
      </c>
      <c r="I1515" s="3">
        <v>7068</v>
      </c>
      <c r="J1515" s="1" t="s">
        <v>87</v>
      </c>
      <c r="K1515" s="1" t="s">
        <v>88</v>
      </c>
      <c r="L1515" t="str">
        <f>VLOOKUP(D1515, Products!A:C, 3, FALSE)</f>
        <v>Apparel</v>
      </c>
      <c r="M1515" t="str">
        <f>VLOOKUP(C1515, Customers!A:E, 5, FALSE)</f>
        <v>SMB</v>
      </c>
      <c r="N1515">
        <f>VLOOKUP(C1515, Customers!A:E, 3, FALSE)</f>
        <v>54</v>
      </c>
      <c r="O1515" s="93" t="str">
        <f>VLOOKUP(E1515, Sales_Reps!A:C, 3, FALSE)</f>
        <v>North</v>
      </c>
      <c r="P1515">
        <f>VLOOKUP(D1515, Products!A:E, 4, FALSE)</f>
        <v>1173</v>
      </c>
      <c r="Q1515">
        <f>IF(COUNTIF($A$2:A1515, A1515)=2, 1, 0)</f>
        <v>0</v>
      </c>
      <c r="R1515">
        <f>IF(ISNA(MATCH(C1515, Customers!$A:$A, 0)), 1, 0)</f>
        <v>0</v>
      </c>
      <c r="S1515" s="94" t="b">
        <f>VLOOKUP(D1515, Products!A:F, 6, FALSE)</f>
        <v>1</v>
      </c>
    </row>
    <row r="1516" spans="1:19">
      <c r="A1516" s="102" t="s">
        <v>2009</v>
      </c>
      <c r="B1516" s="2">
        <v>45537</v>
      </c>
      <c r="C1516" s="1" t="s">
        <v>524</v>
      </c>
      <c r="D1516" s="1" t="s">
        <v>182</v>
      </c>
      <c r="E1516" s="1" t="s">
        <v>92</v>
      </c>
      <c r="F1516" s="83">
        <v>9</v>
      </c>
      <c r="G1516" s="92">
        <v>1010</v>
      </c>
      <c r="H1516" s="3">
        <v>21.9</v>
      </c>
      <c r="I1516" s="3">
        <v>7099.29</v>
      </c>
      <c r="J1516" s="1" t="s">
        <v>87</v>
      </c>
      <c r="K1516" s="1" t="s">
        <v>112</v>
      </c>
      <c r="L1516" t="str">
        <f>VLOOKUP(D1516, Products!A:C, 3, FALSE)</f>
        <v>Sports</v>
      </c>
      <c r="M1516" t="str">
        <f>VLOOKUP(C1516, Customers!A:E, 5, FALSE)</f>
        <v>Corporate</v>
      </c>
      <c r="N1516">
        <f>VLOOKUP(C1516, Customers!A:E, 3, FALSE)</f>
        <v>55</v>
      </c>
      <c r="O1516" s="93" t="str">
        <f>VLOOKUP(E1516, Sales_Reps!A:C, 3, FALSE)</f>
        <v>North</v>
      </c>
      <c r="P1516">
        <f>VLOOKUP(D1516, Products!A:E, 4, FALSE)</f>
        <v>516</v>
      </c>
      <c r="Q1516">
        <f>IF(COUNTIF($A$2:A1516, A1516)=2, 1, 0)</f>
        <v>0</v>
      </c>
      <c r="R1516">
        <f>IF(ISNA(MATCH(C1516, Customers!$A:$A, 0)), 1, 0)</f>
        <v>0</v>
      </c>
      <c r="S1516" s="94" t="b">
        <f>VLOOKUP(D1516, Products!A:F, 6, FALSE)</f>
        <v>1</v>
      </c>
    </row>
    <row r="1517" spans="1:19">
      <c r="A1517" s="102" t="s">
        <v>2010</v>
      </c>
      <c r="B1517" s="2">
        <v>45550</v>
      </c>
      <c r="C1517" s="1" t="s">
        <v>413</v>
      </c>
      <c r="D1517" s="1" t="s">
        <v>164</v>
      </c>
      <c r="E1517" s="1" t="s">
        <v>139</v>
      </c>
      <c r="F1517" s="83">
        <v>2</v>
      </c>
      <c r="G1517" s="92">
        <v>1080</v>
      </c>
      <c r="H1517" s="3">
        <v>8.5</v>
      </c>
      <c r="I1517" s="3">
        <v>1976.4</v>
      </c>
      <c r="J1517" s="1" t="s">
        <v>87</v>
      </c>
      <c r="K1517" s="1" t="s">
        <v>88</v>
      </c>
      <c r="L1517" t="str">
        <f>VLOOKUP(D1517, Products!A:C, 3, FALSE)</f>
        <v>Home</v>
      </c>
      <c r="M1517" t="str">
        <f>VLOOKUP(C1517, Customers!A:E, 5, FALSE)</f>
        <v>Retail</v>
      </c>
      <c r="N1517">
        <f>VLOOKUP(C1517, Customers!A:E, 3, FALSE)</f>
        <v>22</v>
      </c>
      <c r="O1517" s="93" t="str">
        <f>VLOOKUP(E1517, Sales_Reps!A:C, 3, FALSE)</f>
        <v>North</v>
      </c>
      <c r="P1517">
        <f>VLOOKUP(D1517, Products!A:E, 4, FALSE)</f>
        <v>519</v>
      </c>
      <c r="Q1517">
        <f>IF(COUNTIF($A$2:A1517, A1517)=2, 1, 0)</f>
        <v>0</v>
      </c>
      <c r="R1517">
        <f>IF(ISNA(MATCH(C1517, Customers!$A:$A, 0)), 1, 0)</f>
        <v>0</v>
      </c>
      <c r="S1517" s="94" t="b">
        <f>VLOOKUP(D1517, Products!A:F, 6, FALSE)</f>
        <v>1</v>
      </c>
    </row>
    <row r="1518" spans="1:19">
      <c r="A1518" s="102" t="s">
        <v>2011</v>
      </c>
      <c r="B1518" s="2">
        <v>45325</v>
      </c>
      <c r="C1518" s="1" t="s">
        <v>223</v>
      </c>
      <c r="D1518" s="1" t="s">
        <v>97</v>
      </c>
      <c r="E1518" s="1" t="s">
        <v>111</v>
      </c>
      <c r="F1518" s="83">
        <v>5</v>
      </c>
      <c r="G1518" s="92">
        <v>470</v>
      </c>
      <c r="H1518" s="3">
        <v>8</v>
      </c>
      <c r="I1518" s="3">
        <v>2162</v>
      </c>
      <c r="J1518" s="1" t="s">
        <v>87</v>
      </c>
      <c r="K1518" s="1" t="s">
        <v>99</v>
      </c>
      <c r="L1518" t="str">
        <f>VLOOKUP(D1518, Products!A:C, 3, FALSE)</f>
        <v>Sports</v>
      </c>
      <c r="M1518" t="str">
        <f>VLOOKUP(C1518, Customers!A:E, 5, FALSE)</f>
        <v>Retail</v>
      </c>
      <c r="N1518">
        <f>VLOOKUP(C1518, Customers!A:E, 3, FALSE)</f>
        <v>53</v>
      </c>
      <c r="O1518" s="93" t="str">
        <f>VLOOKUP(E1518, Sales_Reps!A:C, 3, FALSE)</f>
        <v>West</v>
      </c>
      <c r="P1518">
        <f>VLOOKUP(D1518, Products!A:E, 4, FALSE)</f>
        <v>302</v>
      </c>
      <c r="Q1518">
        <f>IF(COUNTIF($A$2:A1518, A1518)=2, 1, 0)</f>
        <v>0</v>
      </c>
      <c r="R1518">
        <f>IF(ISNA(MATCH(C1518, Customers!$A:$A, 0)), 1, 0)</f>
        <v>0</v>
      </c>
      <c r="S1518" s="94" t="b">
        <f>VLOOKUP(D1518, Products!A:F, 6, FALSE)</f>
        <v>0</v>
      </c>
    </row>
    <row r="1519" spans="1:19">
      <c r="A1519" s="102" t="s">
        <v>2012</v>
      </c>
      <c r="B1519" s="2">
        <v>45375</v>
      </c>
      <c r="C1519" s="1" t="s">
        <v>340</v>
      </c>
      <c r="D1519" s="1" t="s">
        <v>408</v>
      </c>
      <c r="E1519" s="1" t="s">
        <v>192</v>
      </c>
      <c r="F1519" s="83">
        <v>9</v>
      </c>
      <c r="G1519" s="92">
        <v>3970</v>
      </c>
      <c r="H1519" s="3">
        <v>18.5</v>
      </c>
      <c r="I1519" s="3">
        <v>29119.95</v>
      </c>
      <c r="J1519" s="1" t="s">
        <v>87</v>
      </c>
      <c r="K1519" s="1" t="s">
        <v>88</v>
      </c>
      <c r="L1519" t="str">
        <f>VLOOKUP(D1519, Products!A:C, 3, FALSE)</f>
        <v>Electronics</v>
      </c>
      <c r="M1519" t="str">
        <f>VLOOKUP(C1519, Customers!A:E, 5, FALSE)</f>
        <v>Retail</v>
      </c>
      <c r="N1519">
        <f>VLOOKUP(C1519, Customers!A:E, 3, FALSE)</f>
        <v>25</v>
      </c>
      <c r="O1519" s="93" t="str">
        <f>VLOOKUP(E1519, Sales_Reps!A:C, 3, FALSE)</f>
        <v>East</v>
      </c>
      <c r="P1519">
        <f>VLOOKUP(D1519, Products!A:E, 4, FALSE)</f>
        <v>2865</v>
      </c>
      <c r="Q1519">
        <f>IF(COUNTIF($A$2:A1519, A1519)=2, 1, 0)</f>
        <v>0</v>
      </c>
      <c r="R1519">
        <f>IF(ISNA(MATCH(C1519, Customers!$A:$A, 0)), 1, 0)</f>
        <v>0</v>
      </c>
      <c r="S1519" s="94" t="b">
        <f>VLOOKUP(D1519, Products!A:F, 6, FALSE)</f>
        <v>1</v>
      </c>
    </row>
    <row r="1520" spans="1:19">
      <c r="A1520" s="102" t="s">
        <v>2013</v>
      </c>
      <c r="B1520" s="2">
        <v>45614</v>
      </c>
      <c r="C1520" s="1" t="s">
        <v>1234</v>
      </c>
      <c r="D1520" s="1" t="s">
        <v>176</v>
      </c>
      <c r="E1520" s="1" t="s">
        <v>132</v>
      </c>
      <c r="F1520" s="83">
        <v>9</v>
      </c>
      <c r="G1520" s="92">
        <v>1650</v>
      </c>
      <c r="H1520" s="3">
        <v>19.5</v>
      </c>
      <c r="I1520" s="3">
        <v>11954.25</v>
      </c>
      <c r="J1520" s="1" t="s">
        <v>87</v>
      </c>
      <c r="K1520" s="1" t="s">
        <v>112</v>
      </c>
      <c r="L1520" t="str">
        <f>VLOOKUP(D1520, Products!A:C, 3, FALSE)</f>
        <v>Beauty</v>
      </c>
      <c r="M1520" t="str">
        <f>VLOOKUP(C1520, Customers!A:E, 5, FALSE)</f>
        <v>Retail</v>
      </c>
      <c r="N1520">
        <f>VLOOKUP(C1520, Customers!A:E, 3, FALSE)</f>
        <v>29</v>
      </c>
      <c r="O1520" s="93" t="str">
        <f>VLOOKUP(E1520, Sales_Reps!A:C, 3, FALSE)</f>
        <v>South</v>
      </c>
      <c r="P1520">
        <f>VLOOKUP(D1520, Products!A:E, 4, FALSE)</f>
        <v>1222</v>
      </c>
      <c r="Q1520">
        <f>IF(COUNTIF($A$2:A1520, A1520)=2, 1, 0)</f>
        <v>0</v>
      </c>
      <c r="R1520">
        <f>IF(ISNA(MATCH(C1520, Customers!$A:$A, 0)), 1, 0)</f>
        <v>0</v>
      </c>
      <c r="S1520" s="94" t="b">
        <f>VLOOKUP(D1520, Products!A:F, 6, FALSE)</f>
        <v>1</v>
      </c>
    </row>
    <row r="1521" spans="1:19">
      <c r="A1521" s="102" t="s">
        <v>2014</v>
      </c>
      <c r="B1521" s="2">
        <v>45364</v>
      </c>
      <c r="C1521" s="1" t="s">
        <v>669</v>
      </c>
      <c r="D1521" s="1" t="s">
        <v>179</v>
      </c>
      <c r="E1521" s="1" t="s">
        <v>103</v>
      </c>
      <c r="F1521" s="83">
        <v>9</v>
      </c>
      <c r="G1521" s="92">
        <v>3350</v>
      </c>
      <c r="H1521" s="3">
        <v>4.0999999999999996</v>
      </c>
      <c r="I1521" s="3">
        <v>28913.85</v>
      </c>
      <c r="J1521" s="1" t="s">
        <v>87</v>
      </c>
      <c r="K1521" s="1" t="s">
        <v>133</v>
      </c>
      <c r="L1521" t="str">
        <f>VLOOKUP(D1521, Products!A:C, 3, FALSE)</f>
        <v>Beauty</v>
      </c>
      <c r="M1521" t="str">
        <f>VLOOKUP(C1521, Customers!A:E, 5, FALSE)</f>
        <v>Retail</v>
      </c>
      <c r="N1521">
        <f>VLOOKUP(C1521, Customers!A:E, 3, FALSE)</f>
        <v>31</v>
      </c>
      <c r="O1521" s="93" t="str">
        <f>VLOOKUP(E1521, Sales_Reps!A:C, 3, FALSE)</f>
        <v>North</v>
      </c>
      <c r="P1521">
        <f>VLOOKUP(D1521, Products!A:E, 4, FALSE)</f>
        <v>1728</v>
      </c>
      <c r="Q1521">
        <f>IF(COUNTIF($A$2:A1521, A1521)=2, 1, 0)</f>
        <v>0</v>
      </c>
      <c r="R1521">
        <f>IF(ISNA(MATCH(C1521, Customers!$A:$A, 0)), 1, 0)</f>
        <v>0</v>
      </c>
      <c r="S1521" s="94" t="b">
        <f>VLOOKUP(D1521, Products!A:F, 6, FALSE)</f>
        <v>1</v>
      </c>
    </row>
    <row r="1522" spans="1:19">
      <c r="A1522" s="102" t="s">
        <v>2015</v>
      </c>
      <c r="B1522" s="2">
        <v>45342</v>
      </c>
      <c r="C1522" s="1" t="s">
        <v>266</v>
      </c>
      <c r="D1522" s="1" t="s">
        <v>408</v>
      </c>
      <c r="E1522" s="1" t="s">
        <v>154</v>
      </c>
      <c r="F1522" s="83">
        <v>7</v>
      </c>
      <c r="G1522" s="92">
        <v>3970</v>
      </c>
      <c r="H1522" s="3">
        <v>15.6</v>
      </c>
      <c r="I1522" s="3">
        <v>23454.76</v>
      </c>
      <c r="J1522" s="1" t="s">
        <v>87</v>
      </c>
      <c r="K1522" s="1" t="s">
        <v>99</v>
      </c>
      <c r="L1522" t="str">
        <f>VLOOKUP(D1522, Products!A:C, 3, FALSE)</f>
        <v>Electronics</v>
      </c>
      <c r="M1522" t="str">
        <f>VLOOKUP(C1522, Customers!A:E, 5, FALSE)</f>
        <v>Corporate</v>
      </c>
      <c r="N1522">
        <f>VLOOKUP(C1522, Customers!A:E, 3, FALSE)</f>
        <v>55</v>
      </c>
      <c r="O1522" s="93" t="str">
        <f>VLOOKUP(E1522, Sales_Reps!A:C, 3, FALSE)</f>
        <v>East</v>
      </c>
      <c r="P1522">
        <f>VLOOKUP(D1522, Products!A:E, 4, FALSE)</f>
        <v>2865</v>
      </c>
      <c r="Q1522">
        <f>IF(COUNTIF($A$2:A1522, A1522)=2, 1, 0)</f>
        <v>0</v>
      </c>
      <c r="R1522">
        <f>IF(ISNA(MATCH(C1522, Customers!$A:$A, 0)), 1, 0)</f>
        <v>0</v>
      </c>
      <c r="S1522" s="94" t="b">
        <f>VLOOKUP(D1522, Products!A:F, 6, FALSE)</f>
        <v>1</v>
      </c>
    </row>
    <row r="1523" spans="1:19">
      <c r="A1523" s="102" t="s">
        <v>2016</v>
      </c>
      <c r="B1523" s="2">
        <v>45454</v>
      </c>
      <c r="C1523" s="1" t="s">
        <v>738</v>
      </c>
      <c r="D1523" s="1" t="s">
        <v>234</v>
      </c>
      <c r="E1523" s="1" t="s">
        <v>303</v>
      </c>
      <c r="F1523" s="83">
        <v>7</v>
      </c>
      <c r="G1523" s="92">
        <v>3780</v>
      </c>
      <c r="H1523" s="3">
        <v>18.7</v>
      </c>
      <c r="I1523" s="3">
        <v>21511.98</v>
      </c>
      <c r="J1523" s="1" t="s">
        <v>87</v>
      </c>
      <c r="K1523" s="1" t="s">
        <v>88</v>
      </c>
      <c r="L1523" t="str">
        <f>VLOOKUP(D1523, Products!A:C, 3, FALSE)</f>
        <v>Grocery</v>
      </c>
      <c r="M1523" t="str">
        <f>VLOOKUP(C1523, Customers!A:E, 5, FALSE)</f>
        <v>Retail</v>
      </c>
      <c r="N1523">
        <f>VLOOKUP(C1523, Customers!A:E, 3, FALSE)</f>
        <v>36</v>
      </c>
      <c r="O1523" s="93" t="str">
        <f>VLOOKUP(E1523, Sales_Reps!A:C, 3, FALSE)</f>
        <v>East</v>
      </c>
      <c r="P1523">
        <f>VLOOKUP(D1523, Products!A:E, 4, FALSE)</f>
        <v>2436</v>
      </c>
      <c r="Q1523">
        <f>IF(COUNTIF($A$2:A1523, A1523)=2, 1, 0)</f>
        <v>0</v>
      </c>
      <c r="R1523">
        <f>IF(ISNA(MATCH(C1523, Customers!$A:$A, 0)), 1, 0)</f>
        <v>0</v>
      </c>
      <c r="S1523" s="94" t="b">
        <f>VLOOKUP(D1523, Products!A:F, 6, FALSE)</f>
        <v>1</v>
      </c>
    </row>
    <row r="1524" spans="1:19">
      <c r="A1524" s="102" t="s">
        <v>2017</v>
      </c>
      <c r="B1524" s="2">
        <v>45625</v>
      </c>
      <c r="C1524" s="1" t="s">
        <v>635</v>
      </c>
      <c r="D1524" s="1" t="s">
        <v>91</v>
      </c>
      <c r="E1524" s="1" t="s">
        <v>252</v>
      </c>
      <c r="F1524" s="83">
        <v>4</v>
      </c>
      <c r="G1524" s="92">
        <v>820</v>
      </c>
      <c r="H1524" s="3">
        <v>18.8</v>
      </c>
      <c r="I1524" s="3">
        <v>2663.36</v>
      </c>
      <c r="J1524" s="1" t="s">
        <v>140</v>
      </c>
      <c r="K1524" s="1" t="s">
        <v>99</v>
      </c>
      <c r="L1524" t="str">
        <f>VLOOKUP(D1524, Products!A:C, 3, FALSE)</f>
        <v>Apparel</v>
      </c>
      <c r="M1524" t="str">
        <f>VLOOKUP(C1524, Customers!A:E, 5, FALSE)</f>
        <v>Retail</v>
      </c>
      <c r="N1524">
        <f>VLOOKUP(C1524, Customers!A:E, 3, FALSE)</f>
        <v>49</v>
      </c>
      <c r="O1524" s="93" t="str">
        <f>VLOOKUP(E1524, Sales_Reps!A:C, 3, FALSE)</f>
        <v>South</v>
      </c>
      <c r="P1524">
        <f>VLOOKUP(D1524, Products!A:E, 4, FALSE)</f>
        <v>391</v>
      </c>
      <c r="Q1524">
        <f>IF(COUNTIF($A$2:A1524, A1524)=2, 1, 0)</f>
        <v>0</v>
      </c>
      <c r="R1524">
        <f>IF(ISNA(MATCH(C1524, Customers!$A:$A, 0)), 1, 0)</f>
        <v>0</v>
      </c>
      <c r="S1524" s="94" t="b">
        <f>VLOOKUP(D1524, Products!A:F, 6, FALSE)</f>
        <v>1</v>
      </c>
    </row>
    <row r="1525" spans="1:19">
      <c r="A1525" s="102" t="s">
        <v>2018</v>
      </c>
      <c r="B1525" s="2">
        <v>45600</v>
      </c>
      <c r="C1525" s="1" t="s">
        <v>729</v>
      </c>
      <c r="D1525" s="1" t="s">
        <v>176</v>
      </c>
      <c r="E1525" s="1" t="s">
        <v>285</v>
      </c>
      <c r="F1525" s="83">
        <v>1</v>
      </c>
      <c r="G1525" s="92">
        <v>1650</v>
      </c>
      <c r="H1525" s="3">
        <v>18.8</v>
      </c>
      <c r="I1525" s="3">
        <v>1339.8</v>
      </c>
      <c r="J1525" s="1" t="s">
        <v>140</v>
      </c>
      <c r="K1525" s="1" t="s">
        <v>112</v>
      </c>
      <c r="L1525" t="str">
        <f>VLOOKUP(D1525, Products!A:C, 3, FALSE)</f>
        <v>Beauty</v>
      </c>
      <c r="M1525" t="str">
        <f>VLOOKUP(C1525, Customers!A:E, 5, FALSE)</f>
        <v>Retail</v>
      </c>
      <c r="N1525">
        <f>VLOOKUP(C1525, Customers!A:E, 3, FALSE)</f>
        <v>56</v>
      </c>
      <c r="O1525" s="93" t="str">
        <f>VLOOKUP(E1525, Sales_Reps!A:C, 3, FALSE)</f>
        <v>East</v>
      </c>
      <c r="P1525">
        <f>VLOOKUP(D1525, Products!A:E, 4, FALSE)</f>
        <v>1222</v>
      </c>
      <c r="Q1525">
        <f>IF(COUNTIF($A$2:A1525, A1525)=2, 1, 0)</f>
        <v>0</v>
      </c>
      <c r="R1525">
        <f>IF(ISNA(MATCH(C1525, Customers!$A:$A, 0)), 1, 0)</f>
        <v>0</v>
      </c>
      <c r="S1525" s="94" t="b">
        <f>VLOOKUP(D1525, Products!A:F, 6, FALSE)</f>
        <v>1</v>
      </c>
    </row>
    <row r="1526" spans="1:19">
      <c r="A1526" s="102" t="s">
        <v>2019</v>
      </c>
      <c r="B1526" s="2">
        <v>45397</v>
      </c>
      <c r="C1526" s="1" t="s">
        <v>340</v>
      </c>
      <c r="D1526" s="1" t="s">
        <v>234</v>
      </c>
      <c r="E1526" s="1" t="s">
        <v>158</v>
      </c>
      <c r="F1526" s="83">
        <v>2</v>
      </c>
      <c r="G1526" s="92">
        <v>3780</v>
      </c>
      <c r="H1526" s="3">
        <v>1</v>
      </c>
      <c r="I1526" s="3">
        <v>7484.4</v>
      </c>
      <c r="J1526" s="1" t="s">
        <v>144</v>
      </c>
      <c r="K1526" s="1" t="s">
        <v>88</v>
      </c>
      <c r="L1526" t="str">
        <f>VLOOKUP(D1526, Products!A:C, 3, FALSE)</f>
        <v>Grocery</v>
      </c>
      <c r="M1526" t="str">
        <f>VLOOKUP(C1526, Customers!A:E, 5, FALSE)</f>
        <v>Retail</v>
      </c>
      <c r="N1526">
        <f>VLOOKUP(C1526, Customers!A:E, 3, FALSE)</f>
        <v>25</v>
      </c>
      <c r="O1526" s="93" t="str">
        <f>VLOOKUP(E1526, Sales_Reps!A:C, 3, FALSE)</f>
        <v>East</v>
      </c>
      <c r="P1526">
        <f>VLOOKUP(D1526, Products!A:E, 4, FALSE)</f>
        <v>2436</v>
      </c>
      <c r="Q1526">
        <f>IF(COUNTIF($A$2:A1526, A1526)=2, 1, 0)</f>
        <v>0</v>
      </c>
      <c r="R1526">
        <f>IF(ISNA(MATCH(C1526, Customers!$A:$A, 0)), 1, 0)</f>
        <v>0</v>
      </c>
      <c r="S1526" s="94" t="b">
        <f>VLOOKUP(D1526, Products!A:F, 6, FALSE)</f>
        <v>1</v>
      </c>
    </row>
    <row r="1527" spans="1:19">
      <c r="A1527" s="102" t="s">
        <v>2020</v>
      </c>
      <c r="B1527" s="2">
        <v>45417</v>
      </c>
      <c r="C1527" s="1" t="s">
        <v>447</v>
      </c>
      <c r="D1527" s="1" t="s">
        <v>338</v>
      </c>
      <c r="E1527" s="1" t="s">
        <v>343</v>
      </c>
      <c r="F1527" s="83">
        <v>5</v>
      </c>
      <c r="G1527" s="92">
        <v>2210</v>
      </c>
      <c r="H1527" s="3">
        <v>16.600000000000001</v>
      </c>
      <c r="I1527" s="3">
        <v>9215.7000000000007</v>
      </c>
      <c r="J1527" s="1" t="s">
        <v>87</v>
      </c>
      <c r="K1527" s="1" t="s">
        <v>112</v>
      </c>
      <c r="L1527" t="str">
        <f>VLOOKUP(D1527, Products!A:C, 3, FALSE)</f>
        <v>Grocery</v>
      </c>
      <c r="M1527" t="str">
        <f>VLOOKUP(C1527, Customers!A:E, 5, FALSE)</f>
        <v>Retail</v>
      </c>
      <c r="N1527">
        <f>VLOOKUP(C1527, Customers!A:E, 3, FALSE)</f>
        <v>41</v>
      </c>
      <c r="O1527" s="93" t="str">
        <f>VLOOKUP(E1527, Sales_Reps!A:C, 3, FALSE)</f>
        <v>West</v>
      </c>
      <c r="P1527">
        <f>VLOOKUP(D1527, Products!A:E, 4, FALSE)</f>
        <v>1010</v>
      </c>
      <c r="Q1527">
        <f>IF(COUNTIF($A$2:A1527, A1527)=2, 1, 0)</f>
        <v>0</v>
      </c>
      <c r="R1527">
        <f>IF(ISNA(MATCH(C1527, Customers!$A:$A, 0)), 1, 0)</f>
        <v>0</v>
      </c>
      <c r="S1527" s="94" t="b">
        <f>VLOOKUP(D1527, Products!A:F, 6, FALSE)</f>
        <v>1</v>
      </c>
    </row>
    <row r="1528" spans="1:19">
      <c r="A1528" s="102" t="s">
        <v>2021</v>
      </c>
      <c r="B1528" s="2">
        <v>45487</v>
      </c>
      <c r="C1528" s="1" t="s">
        <v>655</v>
      </c>
      <c r="D1528" s="1" t="s">
        <v>515</v>
      </c>
      <c r="E1528" s="1" t="s">
        <v>132</v>
      </c>
      <c r="F1528" s="83">
        <v>10</v>
      </c>
      <c r="G1528" s="92">
        <v>6940</v>
      </c>
      <c r="H1528" s="3">
        <v>10.6</v>
      </c>
      <c r="I1528" s="3">
        <v>62043.6</v>
      </c>
      <c r="J1528" s="1" t="s">
        <v>87</v>
      </c>
      <c r="K1528" s="1" t="s">
        <v>133</v>
      </c>
      <c r="L1528" t="str">
        <f>VLOOKUP(D1528, Products!A:C, 3, FALSE)</f>
        <v>Sports</v>
      </c>
      <c r="M1528" t="str">
        <f>VLOOKUP(C1528, Customers!A:E, 5, FALSE)</f>
        <v>Retail</v>
      </c>
      <c r="N1528">
        <f>VLOOKUP(C1528, Customers!A:E, 3, FALSE)</f>
        <v>27</v>
      </c>
      <c r="O1528" s="93" t="str">
        <f>VLOOKUP(E1528, Sales_Reps!A:C, 3, FALSE)</f>
        <v>South</v>
      </c>
      <c r="P1528">
        <f>VLOOKUP(D1528, Products!A:E, 4, FALSE)</f>
        <v>2827</v>
      </c>
      <c r="Q1528">
        <f>IF(COUNTIF($A$2:A1528, A1528)=2, 1, 0)</f>
        <v>0</v>
      </c>
      <c r="R1528">
        <f>IF(ISNA(MATCH(C1528, Customers!$A:$A, 0)), 1, 0)</f>
        <v>0</v>
      </c>
      <c r="S1528" s="94" t="b">
        <f>VLOOKUP(D1528, Products!A:F, 6, FALSE)</f>
        <v>1</v>
      </c>
    </row>
    <row r="1529" spans="1:19">
      <c r="A1529" s="102" t="s">
        <v>2022</v>
      </c>
      <c r="B1529" s="2">
        <v>45454</v>
      </c>
      <c r="C1529" s="1" t="s">
        <v>369</v>
      </c>
      <c r="D1529" s="1" t="s">
        <v>386</v>
      </c>
      <c r="E1529" s="1" t="s">
        <v>92</v>
      </c>
      <c r="F1529" s="83">
        <v>8</v>
      </c>
      <c r="G1529" s="92">
        <v>2290</v>
      </c>
      <c r="H1529" s="3">
        <v>12.2</v>
      </c>
      <c r="I1529" s="3">
        <v>16084.96</v>
      </c>
      <c r="J1529" s="1" t="s">
        <v>87</v>
      </c>
      <c r="K1529" s="1" t="s">
        <v>94</v>
      </c>
      <c r="L1529" t="str">
        <f>VLOOKUP(D1529, Products!A:C, 3, FALSE)</f>
        <v>Beauty</v>
      </c>
      <c r="M1529" t="str">
        <f>VLOOKUP(C1529, Customers!A:E, 5, FALSE)</f>
        <v>SMB</v>
      </c>
      <c r="N1529">
        <f>VLOOKUP(C1529, Customers!A:E, 3, FALSE)</f>
        <v>62</v>
      </c>
      <c r="O1529" s="93" t="str">
        <f>VLOOKUP(E1529, Sales_Reps!A:C, 3, FALSE)</f>
        <v>North</v>
      </c>
      <c r="P1529">
        <f>VLOOKUP(D1529, Products!A:E, 4, FALSE)</f>
        <v>1219</v>
      </c>
      <c r="Q1529">
        <f>IF(COUNTIF($A$2:A1529, A1529)=2, 1, 0)</f>
        <v>0</v>
      </c>
      <c r="R1529">
        <f>IF(ISNA(MATCH(C1529, Customers!$A:$A, 0)), 1, 0)</f>
        <v>0</v>
      </c>
      <c r="S1529" s="94" t="b">
        <f>VLOOKUP(D1529, Products!A:F, 6, FALSE)</f>
        <v>1</v>
      </c>
    </row>
    <row r="1530" spans="1:19">
      <c r="A1530" s="102" t="s">
        <v>2023</v>
      </c>
      <c r="B1530" s="2">
        <v>45529</v>
      </c>
      <c r="C1530" s="1" t="s">
        <v>342</v>
      </c>
      <c r="D1530" s="1" t="s">
        <v>295</v>
      </c>
      <c r="E1530" s="1" t="s">
        <v>111</v>
      </c>
      <c r="F1530" s="83">
        <v>5</v>
      </c>
      <c r="G1530" s="92">
        <v>2030</v>
      </c>
      <c r="H1530" s="3">
        <v>23.8</v>
      </c>
      <c r="I1530" s="3">
        <v>7734.3</v>
      </c>
      <c r="J1530" s="1" t="s">
        <v>140</v>
      </c>
      <c r="K1530" s="1" t="s">
        <v>94</v>
      </c>
      <c r="L1530" t="str">
        <f>VLOOKUP(D1530, Products!A:C, 3, FALSE)</f>
        <v>Home</v>
      </c>
      <c r="M1530" t="str">
        <f>VLOOKUP(C1530, Customers!A:E, 5, FALSE)</f>
        <v>Retail</v>
      </c>
      <c r="N1530">
        <f>VLOOKUP(C1530, Customers!A:E, 3, FALSE)</f>
        <v>26</v>
      </c>
      <c r="O1530" s="93" t="str">
        <f>VLOOKUP(E1530, Sales_Reps!A:C, 3, FALSE)</f>
        <v>West</v>
      </c>
      <c r="P1530">
        <f>VLOOKUP(D1530, Products!A:E, 4, FALSE)</f>
        <v>1143</v>
      </c>
      <c r="Q1530">
        <f>IF(COUNTIF($A$2:A1530, A1530)=2, 1, 0)</f>
        <v>0</v>
      </c>
      <c r="R1530">
        <f>IF(ISNA(MATCH(C1530, Customers!$A:$A, 0)), 1, 0)</f>
        <v>0</v>
      </c>
      <c r="S1530" s="94" t="b">
        <f>VLOOKUP(D1530, Products!A:F, 6, FALSE)</f>
        <v>1</v>
      </c>
    </row>
    <row r="1531" spans="1:19">
      <c r="A1531" s="102" t="s">
        <v>2024</v>
      </c>
      <c r="B1531" s="2">
        <v>45546</v>
      </c>
      <c r="C1531" s="1" t="s">
        <v>440</v>
      </c>
      <c r="D1531" s="1" t="s">
        <v>408</v>
      </c>
      <c r="E1531" s="1" t="s">
        <v>229</v>
      </c>
      <c r="F1531" s="83">
        <v>3</v>
      </c>
      <c r="G1531" s="92">
        <v>3970</v>
      </c>
      <c r="H1531" s="3">
        <v>7.7</v>
      </c>
      <c r="I1531" s="3">
        <v>10992.93</v>
      </c>
      <c r="J1531" s="1" t="s">
        <v>87</v>
      </c>
      <c r="K1531" s="1" t="s">
        <v>88</v>
      </c>
      <c r="L1531" t="str">
        <f>VLOOKUP(D1531, Products!A:C, 3, FALSE)</f>
        <v>Electronics</v>
      </c>
      <c r="M1531" t="str">
        <f>VLOOKUP(C1531, Customers!A:E, 5, FALSE)</f>
        <v>SMB</v>
      </c>
      <c r="N1531">
        <f>VLOOKUP(C1531, Customers!A:E, 3, FALSE)</f>
        <v>30</v>
      </c>
      <c r="O1531" s="93" t="str">
        <f>VLOOKUP(E1531, Sales_Reps!A:C, 3, FALSE)</f>
        <v>West</v>
      </c>
      <c r="P1531">
        <f>VLOOKUP(D1531, Products!A:E, 4, FALSE)</f>
        <v>2865</v>
      </c>
      <c r="Q1531">
        <f>IF(COUNTIF($A$2:A1531, A1531)=2, 1, 0)</f>
        <v>0</v>
      </c>
      <c r="R1531">
        <f>IF(ISNA(MATCH(C1531, Customers!$A:$A, 0)), 1, 0)</f>
        <v>0</v>
      </c>
      <c r="S1531" s="94" t="b">
        <f>VLOOKUP(D1531, Products!A:F, 6, FALSE)</f>
        <v>1</v>
      </c>
    </row>
    <row r="1532" spans="1:19">
      <c r="A1532" s="102" t="s">
        <v>2025</v>
      </c>
      <c r="B1532" s="2">
        <v>45481</v>
      </c>
      <c r="C1532" s="1" t="s">
        <v>712</v>
      </c>
      <c r="D1532" s="1" t="s">
        <v>91</v>
      </c>
      <c r="E1532" s="1" t="s">
        <v>346</v>
      </c>
      <c r="F1532" s="83">
        <v>1</v>
      </c>
      <c r="G1532" s="92">
        <v>820</v>
      </c>
      <c r="H1532" s="3">
        <v>5.4</v>
      </c>
      <c r="I1532" s="3">
        <v>775.72</v>
      </c>
      <c r="J1532" s="1" t="s">
        <v>87</v>
      </c>
      <c r="K1532" s="1" t="s">
        <v>112</v>
      </c>
      <c r="L1532" t="str">
        <f>VLOOKUP(D1532, Products!A:C, 3, FALSE)</f>
        <v>Apparel</v>
      </c>
      <c r="M1532" t="str">
        <f>VLOOKUP(C1532, Customers!A:E, 5, FALSE)</f>
        <v>Corporate</v>
      </c>
      <c r="N1532">
        <f>VLOOKUP(C1532, Customers!A:E, 3, FALSE)</f>
        <v>51</v>
      </c>
      <c r="O1532" s="93" t="str">
        <f>VLOOKUP(E1532, Sales_Reps!A:C, 3, FALSE)</f>
        <v>South</v>
      </c>
      <c r="P1532">
        <f>VLOOKUP(D1532, Products!A:E, 4, FALSE)</f>
        <v>391</v>
      </c>
      <c r="Q1532">
        <f>IF(COUNTIF($A$2:A1532, A1532)=2, 1, 0)</f>
        <v>0</v>
      </c>
      <c r="R1532">
        <f>IF(ISNA(MATCH(C1532, Customers!$A:$A, 0)), 1, 0)</f>
        <v>0</v>
      </c>
      <c r="S1532" s="94" t="b">
        <f>VLOOKUP(D1532, Products!A:F, 6, FALSE)</f>
        <v>1</v>
      </c>
    </row>
    <row r="1533" spans="1:19">
      <c r="A1533" s="102" t="s">
        <v>2026</v>
      </c>
      <c r="B1533" s="2">
        <v>45472</v>
      </c>
      <c r="C1533" s="1" t="s">
        <v>322</v>
      </c>
      <c r="D1533" s="1" t="s">
        <v>248</v>
      </c>
      <c r="E1533" s="1" t="s">
        <v>111</v>
      </c>
      <c r="F1533" s="83">
        <v>3</v>
      </c>
      <c r="G1533" s="92">
        <v>3870</v>
      </c>
      <c r="H1533" s="3">
        <v>1.9</v>
      </c>
      <c r="I1533" s="3">
        <v>11389.41</v>
      </c>
      <c r="J1533" s="1" t="s">
        <v>87</v>
      </c>
      <c r="K1533" s="1" t="s">
        <v>99</v>
      </c>
      <c r="L1533" t="str">
        <f>VLOOKUP(D1533, Products!A:C, 3, FALSE)</f>
        <v>Electronics</v>
      </c>
      <c r="M1533" t="str">
        <f>VLOOKUP(C1533, Customers!A:E, 5, FALSE)</f>
        <v>Retail</v>
      </c>
      <c r="N1533">
        <f>VLOOKUP(C1533, Customers!A:E, 3, FALSE)</f>
        <v>31</v>
      </c>
      <c r="O1533" s="93" t="str">
        <f>VLOOKUP(E1533, Sales_Reps!A:C, 3, FALSE)</f>
        <v>West</v>
      </c>
      <c r="P1533">
        <f>VLOOKUP(D1533, Products!A:E, 4, FALSE)</f>
        <v>1559</v>
      </c>
      <c r="Q1533">
        <f>IF(COUNTIF($A$2:A1533, A1533)=2, 1, 0)</f>
        <v>0</v>
      </c>
      <c r="R1533">
        <f>IF(ISNA(MATCH(C1533, Customers!$A:$A, 0)), 1, 0)</f>
        <v>0</v>
      </c>
      <c r="S1533" s="94" t="b">
        <f>VLOOKUP(D1533, Products!A:F, 6, FALSE)</f>
        <v>1</v>
      </c>
    </row>
    <row r="1534" spans="1:19">
      <c r="A1534" s="102" t="s">
        <v>2027</v>
      </c>
      <c r="B1534" s="2">
        <v>45296</v>
      </c>
      <c r="C1534" s="1" t="s">
        <v>528</v>
      </c>
      <c r="D1534" s="1" t="s">
        <v>127</v>
      </c>
      <c r="E1534" s="1" t="s">
        <v>285</v>
      </c>
      <c r="F1534" s="83">
        <v>6</v>
      </c>
      <c r="G1534" s="92">
        <v>970</v>
      </c>
      <c r="H1534" s="3">
        <v>27.1</v>
      </c>
      <c r="I1534" s="3">
        <v>4242.78</v>
      </c>
      <c r="J1534" s="1" t="s">
        <v>87</v>
      </c>
      <c r="K1534" s="1" t="s">
        <v>112</v>
      </c>
      <c r="L1534" t="str">
        <f>VLOOKUP(D1534, Products!A:C, 3, FALSE)</f>
        <v>Grocery</v>
      </c>
      <c r="M1534" t="str">
        <f>VLOOKUP(C1534, Customers!A:E, 5, FALSE)</f>
        <v>Retail</v>
      </c>
      <c r="N1534">
        <f>VLOOKUP(C1534, Customers!A:E, 3, FALSE)</f>
        <v>44</v>
      </c>
      <c r="O1534" s="93" t="str">
        <f>VLOOKUP(E1534, Sales_Reps!A:C, 3, FALSE)</f>
        <v>East</v>
      </c>
      <c r="P1534">
        <f>VLOOKUP(D1534, Products!A:E, 4, FALSE)</f>
        <v>434</v>
      </c>
      <c r="Q1534">
        <f>IF(COUNTIF($A$2:A1534, A1534)=2, 1, 0)</f>
        <v>0</v>
      </c>
      <c r="R1534">
        <f>IF(ISNA(MATCH(C1534, Customers!$A:$A, 0)), 1, 0)</f>
        <v>0</v>
      </c>
      <c r="S1534" s="94" t="b">
        <f>VLOOKUP(D1534, Products!A:F, 6, FALSE)</f>
        <v>1</v>
      </c>
    </row>
    <row r="1535" spans="1:19">
      <c r="A1535" s="102" t="s">
        <v>2028</v>
      </c>
      <c r="B1535" s="2">
        <v>45567</v>
      </c>
      <c r="C1535" s="1" t="s">
        <v>294</v>
      </c>
      <c r="D1535" s="1" t="s">
        <v>184</v>
      </c>
      <c r="E1535" s="1" t="s">
        <v>111</v>
      </c>
      <c r="F1535" s="83">
        <v>1</v>
      </c>
      <c r="G1535" s="92">
        <v>4880</v>
      </c>
      <c r="H1535" s="3">
        <v>26.8</v>
      </c>
      <c r="I1535" s="3">
        <v>3572.16</v>
      </c>
      <c r="J1535" s="1" t="s">
        <v>87</v>
      </c>
      <c r="K1535" s="1" t="s">
        <v>133</v>
      </c>
      <c r="L1535" t="str">
        <f>VLOOKUP(D1535, Products!A:C, 3, FALSE)</f>
        <v>Beauty</v>
      </c>
      <c r="M1535" t="str">
        <f>VLOOKUP(C1535, Customers!A:E, 5, FALSE)</f>
        <v>SMB</v>
      </c>
      <c r="N1535">
        <f>VLOOKUP(C1535, Customers!A:E, 3, FALSE)</f>
        <v>43</v>
      </c>
      <c r="O1535" s="93" t="str">
        <f>VLOOKUP(E1535, Sales_Reps!A:C, 3, FALSE)</f>
        <v>West</v>
      </c>
      <c r="P1535">
        <f>VLOOKUP(D1535, Products!A:E, 4, FALSE)</f>
        <v>2768</v>
      </c>
      <c r="Q1535">
        <f>IF(COUNTIF($A$2:A1535, A1535)=2, 1, 0)</f>
        <v>0</v>
      </c>
      <c r="R1535">
        <f>IF(ISNA(MATCH(C1535, Customers!$A:$A, 0)), 1, 0)</f>
        <v>0</v>
      </c>
      <c r="S1535" s="94" t="b">
        <f>VLOOKUP(D1535, Products!A:F, 6, FALSE)</f>
        <v>1</v>
      </c>
    </row>
    <row r="1536" spans="1:19">
      <c r="A1536" s="102" t="s">
        <v>2029</v>
      </c>
      <c r="B1536" s="2">
        <v>45337</v>
      </c>
      <c r="C1536" s="1" t="s">
        <v>841</v>
      </c>
      <c r="D1536" s="1" t="s">
        <v>245</v>
      </c>
      <c r="E1536" s="1" t="s">
        <v>154</v>
      </c>
      <c r="F1536" s="83">
        <v>1</v>
      </c>
      <c r="G1536" s="92">
        <v>2270</v>
      </c>
      <c r="H1536" s="3">
        <v>22.2</v>
      </c>
      <c r="I1536" s="3">
        <v>1766.06</v>
      </c>
      <c r="J1536" s="1" t="s">
        <v>87</v>
      </c>
      <c r="K1536" s="1" t="s">
        <v>117</v>
      </c>
      <c r="L1536" t="str">
        <f>VLOOKUP(D1536, Products!A:C, 3, FALSE)</f>
        <v>Grocery</v>
      </c>
      <c r="M1536" t="str">
        <f>VLOOKUP(C1536, Customers!A:E, 5, FALSE)</f>
        <v>Corporate</v>
      </c>
      <c r="N1536">
        <f>VLOOKUP(C1536, Customers!A:E, 3, FALSE)</f>
        <v>41</v>
      </c>
      <c r="O1536" s="93" t="str">
        <f>VLOOKUP(E1536, Sales_Reps!A:C, 3, FALSE)</f>
        <v>East</v>
      </c>
      <c r="P1536">
        <f>VLOOKUP(D1536, Products!A:E, 4, FALSE)</f>
        <v>1412</v>
      </c>
      <c r="Q1536">
        <f>IF(COUNTIF($A$2:A1536, A1536)=2, 1, 0)</f>
        <v>0</v>
      </c>
      <c r="R1536">
        <f>IF(ISNA(MATCH(C1536, Customers!$A:$A, 0)), 1, 0)</f>
        <v>0</v>
      </c>
      <c r="S1536" s="94" t="b">
        <f>VLOOKUP(D1536, Products!A:F, 6, FALSE)</f>
        <v>1</v>
      </c>
    </row>
    <row r="1537" spans="1:19">
      <c r="A1537" s="102" t="s">
        <v>2030</v>
      </c>
      <c r="B1537" s="2">
        <v>45376</v>
      </c>
      <c r="C1537" s="1" t="s">
        <v>153</v>
      </c>
      <c r="D1537" s="1" t="s">
        <v>157</v>
      </c>
      <c r="E1537" s="1" t="s">
        <v>201</v>
      </c>
      <c r="F1537" s="83">
        <v>10</v>
      </c>
      <c r="G1537" s="92">
        <v>3450</v>
      </c>
      <c r="H1537" s="3">
        <v>21.9</v>
      </c>
      <c r="I1537" s="3">
        <v>26944.5</v>
      </c>
      <c r="J1537" s="1" t="s">
        <v>87</v>
      </c>
      <c r="K1537" s="1" t="s">
        <v>117</v>
      </c>
      <c r="L1537" t="str">
        <f>VLOOKUP(D1537, Products!A:C, 3, FALSE)</f>
        <v>Beauty</v>
      </c>
      <c r="M1537" t="str">
        <f>VLOOKUP(C1537, Customers!A:E, 5, FALSE)</f>
        <v>SMB</v>
      </c>
      <c r="N1537">
        <f>VLOOKUP(C1537, Customers!A:E, 3, FALSE)</f>
        <v>46</v>
      </c>
      <c r="O1537" s="93" t="str">
        <f>VLOOKUP(E1537, Sales_Reps!A:C, 3, FALSE)</f>
        <v>West</v>
      </c>
      <c r="P1537">
        <f>VLOOKUP(D1537, Products!A:E, 4, FALSE)</f>
        <v>2420</v>
      </c>
      <c r="Q1537">
        <f>IF(COUNTIF($A$2:A1537, A1537)=2, 1, 0)</f>
        <v>0</v>
      </c>
      <c r="R1537">
        <f>IF(ISNA(MATCH(C1537, Customers!$A:$A, 0)), 1, 0)</f>
        <v>0</v>
      </c>
      <c r="S1537" s="94" t="b">
        <f>VLOOKUP(D1537, Products!A:F, 6, FALSE)</f>
        <v>1</v>
      </c>
    </row>
    <row r="1538" spans="1:19">
      <c r="A1538" s="102" t="s">
        <v>2031</v>
      </c>
      <c r="B1538" s="2">
        <v>45616</v>
      </c>
      <c r="C1538" s="1" t="s">
        <v>561</v>
      </c>
      <c r="D1538" s="1" t="s">
        <v>245</v>
      </c>
      <c r="E1538" s="1" t="s">
        <v>273</v>
      </c>
      <c r="F1538" s="83">
        <v>3</v>
      </c>
      <c r="G1538" s="92">
        <v>2270</v>
      </c>
      <c r="H1538" s="3">
        <v>19.100000000000001</v>
      </c>
      <c r="I1538" s="3">
        <v>5509.29</v>
      </c>
      <c r="J1538" s="1" t="s">
        <v>140</v>
      </c>
      <c r="K1538" s="1" t="s">
        <v>133</v>
      </c>
      <c r="L1538" t="str">
        <f>VLOOKUP(D1538, Products!A:C, 3, FALSE)</f>
        <v>Grocery</v>
      </c>
      <c r="M1538" t="str">
        <f>VLOOKUP(C1538, Customers!A:E, 5, FALSE)</f>
        <v>SMB</v>
      </c>
      <c r="N1538">
        <f>VLOOKUP(C1538, Customers!A:E, 3, FALSE)</f>
        <v>43</v>
      </c>
      <c r="O1538" s="93" t="str">
        <f>VLOOKUP(E1538, Sales_Reps!A:C, 3, FALSE)</f>
        <v>South</v>
      </c>
      <c r="P1538">
        <f>VLOOKUP(D1538, Products!A:E, 4, FALSE)</f>
        <v>1412</v>
      </c>
      <c r="Q1538">
        <f>IF(COUNTIF($A$2:A1538, A1538)=2, 1, 0)</f>
        <v>0</v>
      </c>
      <c r="R1538">
        <f>IF(ISNA(MATCH(C1538, Customers!$A:$A, 0)), 1, 0)</f>
        <v>0</v>
      </c>
      <c r="S1538" s="94" t="b">
        <f>VLOOKUP(D1538, Products!A:F, 6, FALSE)</f>
        <v>1</v>
      </c>
    </row>
    <row r="1539" spans="1:19">
      <c r="A1539" s="102" t="s">
        <v>2032</v>
      </c>
      <c r="B1539" s="2">
        <v>45360</v>
      </c>
      <c r="C1539" s="1" t="s">
        <v>921</v>
      </c>
      <c r="D1539" s="1" t="s">
        <v>338</v>
      </c>
      <c r="E1539" s="1" t="s">
        <v>170</v>
      </c>
      <c r="F1539" s="83">
        <v>10</v>
      </c>
      <c r="G1539" s="92">
        <v>2210</v>
      </c>
      <c r="H1539" s="3">
        <v>22.3</v>
      </c>
      <c r="I1539" s="3">
        <v>17171.7</v>
      </c>
      <c r="J1539" s="1" t="s">
        <v>87</v>
      </c>
      <c r="K1539" s="1" t="s">
        <v>117</v>
      </c>
      <c r="L1539" t="str">
        <f>VLOOKUP(D1539, Products!A:C, 3, FALSE)</f>
        <v>Grocery</v>
      </c>
      <c r="M1539" t="str">
        <f>VLOOKUP(C1539, Customers!A:E, 5, FALSE)</f>
        <v>Retail</v>
      </c>
      <c r="N1539">
        <f>VLOOKUP(C1539, Customers!A:E, 3, FALSE)</f>
        <v>28</v>
      </c>
      <c r="O1539" s="93" t="str">
        <f>VLOOKUP(E1539, Sales_Reps!A:C, 3, FALSE)</f>
        <v>West</v>
      </c>
      <c r="P1539">
        <f>VLOOKUP(D1539, Products!A:E, 4, FALSE)</f>
        <v>1010</v>
      </c>
      <c r="Q1539">
        <f>IF(COUNTIF($A$2:A1539, A1539)=2, 1, 0)</f>
        <v>0</v>
      </c>
      <c r="R1539">
        <f>IF(ISNA(MATCH(C1539, Customers!$A:$A, 0)), 1, 0)</f>
        <v>0</v>
      </c>
      <c r="S1539" s="94" t="b">
        <f>VLOOKUP(D1539, Products!A:F, 6, FALSE)</f>
        <v>1</v>
      </c>
    </row>
    <row r="1540" spans="1:19">
      <c r="A1540" s="102" t="s">
        <v>2033</v>
      </c>
      <c r="B1540" s="2">
        <v>45465</v>
      </c>
      <c r="C1540" s="1" t="s">
        <v>474</v>
      </c>
      <c r="D1540" s="1" t="s">
        <v>295</v>
      </c>
      <c r="E1540" s="1" t="s">
        <v>273</v>
      </c>
      <c r="F1540" s="83">
        <v>9</v>
      </c>
      <c r="G1540" s="92">
        <v>2030</v>
      </c>
      <c r="H1540" s="3">
        <v>24.8</v>
      </c>
      <c r="I1540" s="3">
        <v>13739.04</v>
      </c>
      <c r="J1540" s="1" t="s">
        <v>87</v>
      </c>
      <c r="K1540" s="1" t="s">
        <v>99</v>
      </c>
      <c r="L1540" t="str">
        <f>VLOOKUP(D1540, Products!A:C, 3, FALSE)</f>
        <v>Home</v>
      </c>
      <c r="M1540" t="str">
        <f>VLOOKUP(C1540, Customers!A:E, 5, FALSE)</f>
        <v>SMB</v>
      </c>
      <c r="N1540">
        <f>VLOOKUP(C1540, Customers!A:E, 3, FALSE)</f>
        <v>59</v>
      </c>
      <c r="O1540" s="93" t="str">
        <f>VLOOKUP(E1540, Sales_Reps!A:C, 3, FALSE)</f>
        <v>South</v>
      </c>
      <c r="P1540">
        <f>VLOOKUP(D1540, Products!A:E, 4, FALSE)</f>
        <v>1143</v>
      </c>
      <c r="Q1540">
        <f>IF(COUNTIF($A$2:A1540, A1540)=2, 1, 0)</f>
        <v>0</v>
      </c>
      <c r="R1540">
        <f>IF(ISNA(MATCH(C1540, Customers!$A:$A, 0)), 1, 0)</f>
        <v>0</v>
      </c>
      <c r="S1540" s="94" t="b">
        <f>VLOOKUP(D1540, Products!A:F, 6, FALSE)</f>
        <v>1</v>
      </c>
    </row>
    <row r="1541" spans="1:19">
      <c r="A1541" s="102" t="s">
        <v>2034</v>
      </c>
      <c r="B1541" s="2">
        <v>45380</v>
      </c>
      <c r="C1541" s="1" t="s">
        <v>388</v>
      </c>
      <c r="D1541" s="1" t="s">
        <v>179</v>
      </c>
      <c r="E1541" s="1" t="s">
        <v>154</v>
      </c>
      <c r="F1541" s="83">
        <v>5</v>
      </c>
      <c r="G1541" s="92">
        <v>3350</v>
      </c>
      <c r="H1541" s="3">
        <v>18.2</v>
      </c>
      <c r="I1541" s="3">
        <v>13701.5</v>
      </c>
      <c r="J1541" s="1" t="s">
        <v>87</v>
      </c>
      <c r="K1541" s="1" t="s">
        <v>133</v>
      </c>
      <c r="L1541" t="str">
        <f>VLOOKUP(D1541, Products!A:C, 3, FALSE)</f>
        <v>Beauty</v>
      </c>
      <c r="M1541" t="str">
        <f>VLOOKUP(C1541, Customers!A:E, 5, FALSE)</f>
        <v>Retail</v>
      </c>
      <c r="N1541">
        <f>VLOOKUP(C1541, Customers!A:E, 3, FALSE)</f>
        <v>44</v>
      </c>
      <c r="O1541" s="93" t="str">
        <f>VLOOKUP(E1541, Sales_Reps!A:C, 3, FALSE)</f>
        <v>East</v>
      </c>
      <c r="P1541">
        <f>VLOOKUP(D1541, Products!A:E, 4, FALSE)</f>
        <v>1728</v>
      </c>
      <c r="Q1541">
        <f>IF(COUNTIF($A$2:A1541, A1541)=2, 1, 0)</f>
        <v>0</v>
      </c>
      <c r="R1541">
        <f>IF(ISNA(MATCH(C1541, Customers!$A:$A, 0)), 1, 0)</f>
        <v>0</v>
      </c>
      <c r="S1541" s="94" t="b">
        <f>VLOOKUP(D1541, Products!A:F, 6, FALSE)</f>
        <v>1</v>
      </c>
    </row>
    <row r="1542" spans="1:19">
      <c r="A1542" s="102" t="s">
        <v>2035</v>
      </c>
      <c r="B1542" s="2">
        <v>45358</v>
      </c>
      <c r="C1542" s="1" t="s">
        <v>1628</v>
      </c>
      <c r="D1542" s="1" t="s">
        <v>237</v>
      </c>
      <c r="E1542" s="1" t="s">
        <v>107</v>
      </c>
      <c r="F1542" s="83">
        <v>7</v>
      </c>
      <c r="G1542" s="92">
        <v>3640</v>
      </c>
      <c r="H1542" s="3">
        <v>14.4</v>
      </c>
      <c r="I1542" s="3">
        <v>21810.880000000001</v>
      </c>
      <c r="J1542" s="1" t="s">
        <v>87</v>
      </c>
      <c r="K1542" s="1" t="s">
        <v>94</v>
      </c>
      <c r="L1542" t="str">
        <f>VLOOKUP(D1542, Products!A:C, 3, FALSE)</f>
        <v>Apparel</v>
      </c>
      <c r="M1542" t="str">
        <f>VLOOKUP(C1542, Customers!A:E, 5, FALSE)</f>
        <v>Retail</v>
      </c>
      <c r="N1542">
        <f>VLOOKUP(C1542, Customers!A:E, 3, FALSE)</f>
        <v>35</v>
      </c>
      <c r="O1542" s="93" t="str">
        <f>VLOOKUP(E1542, Sales_Reps!A:C, 3, FALSE)</f>
        <v>North</v>
      </c>
      <c r="P1542">
        <f>VLOOKUP(D1542, Products!A:E, 4, FALSE)</f>
        <v>2611</v>
      </c>
      <c r="Q1542">
        <f>IF(COUNTIF($A$2:A1542, A1542)=2, 1, 0)</f>
        <v>0</v>
      </c>
      <c r="R1542">
        <f>IF(ISNA(MATCH(C1542, Customers!$A:$A, 0)), 1, 0)</f>
        <v>0</v>
      </c>
      <c r="S1542" s="94" t="b">
        <f>VLOOKUP(D1542, Products!A:F, 6, FALSE)</f>
        <v>1</v>
      </c>
    </row>
    <row r="1543" spans="1:19">
      <c r="A1543" s="102" t="s">
        <v>2036</v>
      </c>
      <c r="B1543" s="2">
        <v>45385</v>
      </c>
      <c r="C1543" s="1" t="s">
        <v>902</v>
      </c>
      <c r="D1543" s="1" t="s">
        <v>161</v>
      </c>
      <c r="E1543" s="1" t="s">
        <v>303</v>
      </c>
      <c r="F1543" s="83">
        <v>9</v>
      </c>
      <c r="G1543" s="92">
        <v>3450</v>
      </c>
      <c r="H1543" s="3">
        <v>20.100000000000001</v>
      </c>
      <c r="I1543" s="3">
        <v>24808.95</v>
      </c>
      <c r="J1543" s="1" t="s">
        <v>87</v>
      </c>
      <c r="K1543" s="1" t="s">
        <v>112</v>
      </c>
      <c r="L1543" t="str">
        <f>VLOOKUP(D1543, Products!A:C, 3, FALSE)</f>
        <v>Sports</v>
      </c>
      <c r="M1543" t="str">
        <f>VLOOKUP(C1543, Customers!A:E, 5, FALSE)</f>
        <v>Retail</v>
      </c>
      <c r="N1543">
        <f>VLOOKUP(C1543, Customers!A:E, 3, FALSE)</f>
        <v>37</v>
      </c>
      <c r="O1543" s="93" t="str">
        <f>VLOOKUP(E1543, Sales_Reps!A:C, 3, FALSE)</f>
        <v>East</v>
      </c>
      <c r="P1543">
        <f>VLOOKUP(D1543, Products!A:E, 4, FALSE)</f>
        <v>2467</v>
      </c>
      <c r="Q1543">
        <f>IF(COUNTIF($A$2:A1543, A1543)=2, 1, 0)</f>
        <v>0</v>
      </c>
      <c r="R1543">
        <f>IF(ISNA(MATCH(C1543, Customers!$A:$A, 0)), 1, 0)</f>
        <v>0</v>
      </c>
      <c r="S1543" s="94" t="b">
        <f>VLOOKUP(D1543, Products!A:F, 6, FALSE)</f>
        <v>1</v>
      </c>
    </row>
    <row r="1544" spans="1:19">
      <c r="A1544" s="102" t="s">
        <v>2037</v>
      </c>
      <c r="B1544" s="2">
        <v>45443</v>
      </c>
      <c r="C1544" s="1" t="s">
        <v>868</v>
      </c>
      <c r="D1544" s="1" t="s">
        <v>157</v>
      </c>
      <c r="E1544" s="1" t="s">
        <v>148</v>
      </c>
      <c r="F1544" s="83">
        <v>6</v>
      </c>
      <c r="G1544" s="92">
        <v>3450</v>
      </c>
      <c r="H1544" s="3">
        <v>19.899999999999999</v>
      </c>
      <c r="I1544" s="3">
        <v>16580.7</v>
      </c>
      <c r="J1544" s="1" t="s">
        <v>93</v>
      </c>
      <c r="K1544" s="1" t="s">
        <v>99</v>
      </c>
      <c r="L1544" t="str">
        <f>VLOOKUP(D1544, Products!A:C, 3, FALSE)</f>
        <v>Beauty</v>
      </c>
      <c r="M1544" t="str">
        <f>VLOOKUP(C1544, Customers!A:E, 5, FALSE)</f>
        <v>SMB</v>
      </c>
      <c r="N1544">
        <f>VLOOKUP(C1544, Customers!A:E, 3, FALSE)</f>
        <v>38</v>
      </c>
      <c r="O1544" s="93" t="str">
        <f>VLOOKUP(E1544, Sales_Reps!A:C, 3, FALSE)</f>
        <v>North</v>
      </c>
      <c r="P1544">
        <f>VLOOKUP(D1544, Products!A:E, 4, FALSE)</f>
        <v>2420</v>
      </c>
      <c r="Q1544">
        <f>IF(COUNTIF($A$2:A1544, A1544)=2, 1, 0)</f>
        <v>0</v>
      </c>
      <c r="R1544">
        <f>IF(ISNA(MATCH(C1544, Customers!$A:$A, 0)), 1, 0)</f>
        <v>0</v>
      </c>
      <c r="S1544" s="94" t="b">
        <f>VLOOKUP(D1544, Products!A:F, 6, FALSE)</f>
        <v>1</v>
      </c>
    </row>
    <row r="1545" spans="1:19">
      <c r="A1545" s="102" t="s">
        <v>2038</v>
      </c>
      <c r="B1545" s="2">
        <v>45599</v>
      </c>
      <c r="C1545" s="1" t="s">
        <v>181</v>
      </c>
      <c r="D1545" s="1" t="s">
        <v>386</v>
      </c>
      <c r="E1545" s="1" t="s">
        <v>285</v>
      </c>
      <c r="F1545" s="83">
        <v>4</v>
      </c>
      <c r="G1545" s="92">
        <v>2290</v>
      </c>
      <c r="H1545" s="3">
        <v>4.8</v>
      </c>
      <c r="I1545" s="3">
        <v>8720.32</v>
      </c>
      <c r="J1545" s="1" t="s">
        <v>93</v>
      </c>
      <c r="K1545" s="1" t="s">
        <v>99</v>
      </c>
      <c r="L1545" t="str">
        <f>VLOOKUP(D1545, Products!A:C, 3, FALSE)</f>
        <v>Beauty</v>
      </c>
      <c r="M1545" t="str">
        <f>VLOOKUP(C1545, Customers!A:E, 5, FALSE)</f>
        <v>Retail</v>
      </c>
      <c r="N1545">
        <f>VLOOKUP(C1545, Customers!A:E, 3, FALSE)</f>
        <v>31</v>
      </c>
      <c r="O1545" s="93" t="str">
        <f>VLOOKUP(E1545, Sales_Reps!A:C, 3, FALSE)</f>
        <v>East</v>
      </c>
      <c r="P1545">
        <f>VLOOKUP(D1545, Products!A:E, 4, FALSE)</f>
        <v>1219</v>
      </c>
      <c r="Q1545">
        <f>IF(COUNTIF($A$2:A1545, A1545)=2, 1, 0)</f>
        <v>0</v>
      </c>
      <c r="R1545">
        <f>IF(ISNA(MATCH(C1545, Customers!$A:$A, 0)), 1, 0)</f>
        <v>0</v>
      </c>
      <c r="S1545" s="94" t="b">
        <f>VLOOKUP(D1545, Products!A:F, 6, FALSE)</f>
        <v>1</v>
      </c>
    </row>
    <row r="1546" spans="1:19">
      <c r="A1546" s="102" t="s">
        <v>2039</v>
      </c>
      <c r="B1546" s="2">
        <v>45479</v>
      </c>
      <c r="C1546" s="1" t="s">
        <v>697</v>
      </c>
      <c r="D1546" s="1" t="s">
        <v>115</v>
      </c>
      <c r="E1546" s="1" t="s">
        <v>132</v>
      </c>
      <c r="F1546" s="83">
        <v>9</v>
      </c>
      <c r="G1546" s="92">
        <v>960</v>
      </c>
      <c r="H1546" s="3">
        <v>2.4</v>
      </c>
      <c r="I1546" s="3">
        <v>8432.64</v>
      </c>
      <c r="J1546" s="1" t="s">
        <v>87</v>
      </c>
      <c r="K1546" s="1" t="s">
        <v>133</v>
      </c>
      <c r="L1546" t="str">
        <f>VLOOKUP(D1546, Products!A:C, 3, FALSE)</f>
        <v>Sports</v>
      </c>
      <c r="M1546" t="str">
        <f>VLOOKUP(C1546, Customers!A:E, 5, FALSE)</f>
        <v>Retail</v>
      </c>
      <c r="N1546">
        <f>VLOOKUP(C1546, Customers!A:E, 3, FALSE)</f>
        <v>65</v>
      </c>
      <c r="O1546" s="93" t="str">
        <f>VLOOKUP(E1546, Sales_Reps!A:C, 3, FALSE)</f>
        <v>South</v>
      </c>
      <c r="P1546">
        <f>VLOOKUP(D1546, Products!A:E, 4, FALSE)</f>
        <v>705</v>
      </c>
      <c r="Q1546">
        <f>IF(COUNTIF($A$2:A1546, A1546)=2, 1, 0)</f>
        <v>0</v>
      </c>
      <c r="R1546">
        <f>IF(ISNA(MATCH(C1546, Customers!$A:$A, 0)), 1, 0)</f>
        <v>0</v>
      </c>
      <c r="S1546" s="94" t="b">
        <f>VLOOKUP(D1546, Products!A:F, 6, FALSE)</f>
        <v>1</v>
      </c>
    </row>
    <row r="1547" spans="1:19">
      <c r="A1547" s="102" t="s">
        <v>2040</v>
      </c>
      <c r="B1547" s="2">
        <v>45489</v>
      </c>
      <c r="C1547" s="1" t="s">
        <v>725</v>
      </c>
      <c r="D1547" s="1" t="s">
        <v>270</v>
      </c>
      <c r="E1547" s="1" t="s">
        <v>111</v>
      </c>
      <c r="F1547" s="83">
        <v>9</v>
      </c>
      <c r="G1547" s="92">
        <v>4610</v>
      </c>
      <c r="H1547" s="3">
        <v>21.3</v>
      </c>
      <c r="I1547" s="3">
        <v>32652.63</v>
      </c>
      <c r="J1547" s="1" t="s">
        <v>87</v>
      </c>
      <c r="K1547" s="1" t="s">
        <v>99</v>
      </c>
      <c r="L1547" t="str">
        <f>VLOOKUP(D1547, Products!A:C, 3, FALSE)</f>
        <v>Home</v>
      </c>
      <c r="M1547" t="str">
        <f>VLOOKUP(C1547, Customers!A:E, 5, FALSE)</f>
        <v>SMB</v>
      </c>
      <c r="N1547">
        <f>VLOOKUP(C1547, Customers!A:E, 3, FALSE)</f>
        <v>26</v>
      </c>
      <c r="O1547" s="93" t="str">
        <f>VLOOKUP(E1547, Sales_Reps!A:C, 3, FALSE)</f>
        <v>West</v>
      </c>
      <c r="P1547">
        <f>VLOOKUP(D1547, Products!A:E, 4, FALSE)</f>
        <v>1850</v>
      </c>
      <c r="Q1547">
        <f>IF(COUNTIF($A$2:A1547, A1547)=2, 1, 0)</f>
        <v>0</v>
      </c>
      <c r="R1547">
        <f>IF(ISNA(MATCH(C1547, Customers!$A:$A, 0)), 1, 0)</f>
        <v>0</v>
      </c>
      <c r="S1547" s="94" t="b">
        <f>VLOOKUP(D1547, Products!A:F, 6, FALSE)</f>
        <v>1</v>
      </c>
    </row>
    <row r="1548" spans="1:19">
      <c r="A1548" s="102" t="s">
        <v>2041</v>
      </c>
      <c r="B1548" s="2">
        <v>45514</v>
      </c>
      <c r="C1548" s="1" t="s">
        <v>1072</v>
      </c>
      <c r="D1548" s="1" t="s">
        <v>102</v>
      </c>
      <c r="E1548" s="1" t="s">
        <v>148</v>
      </c>
      <c r="F1548" s="83">
        <v>1</v>
      </c>
      <c r="G1548" s="92">
        <v>3660</v>
      </c>
      <c r="H1548" s="3">
        <v>15.6</v>
      </c>
      <c r="I1548" s="3">
        <v>3089.04</v>
      </c>
      <c r="J1548" s="1" t="s">
        <v>87</v>
      </c>
      <c r="K1548" s="1" t="s">
        <v>112</v>
      </c>
      <c r="L1548" t="str">
        <f>VLOOKUP(D1548, Products!A:C, 3, FALSE)</f>
        <v>Grocery</v>
      </c>
      <c r="M1548" t="str">
        <f>VLOOKUP(C1548, Customers!A:E, 5, FALSE)</f>
        <v>SMB</v>
      </c>
      <c r="N1548">
        <f>VLOOKUP(C1548, Customers!A:E, 3, FALSE)</f>
        <v>53</v>
      </c>
      <c r="O1548" s="93" t="str">
        <f>VLOOKUP(E1548, Sales_Reps!A:C, 3, FALSE)</f>
        <v>North</v>
      </c>
      <c r="P1548">
        <f>VLOOKUP(D1548, Products!A:E, 4, FALSE)</f>
        <v>2214</v>
      </c>
      <c r="Q1548">
        <f>IF(COUNTIF($A$2:A1548, A1548)=2, 1, 0)</f>
        <v>0</v>
      </c>
      <c r="R1548">
        <f>IF(ISNA(MATCH(C1548, Customers!$A:$A, 0)), 1, 0)</f>
        <v>0</v>
      </c>
      <c r="S1548" s="94" t="b">
        <f>VLOOKUP(D1548, Products!A:F, 6, FALSE)</f>
        <v>0</v>
      </c>
    </row>
    <row r="1549" spans="1:19">
      <c r="A1549" s="102" t="s">
        <v>2042</v>
      </c>
      <c r="B1549" s="2">
        <v>45653</v>
      </c>
      <c r="C1549" s="1" t="s">
        <v>305</v>
      </c>
      <c r="D1549" s="1" t="s">
        <v>279</v>
      </c>
      <c r="E1549" s="1" t="s">
        <v>325</v>
      </c>
      <c r="F1549" s="83">
        <v>5</v>
      </c>
      <c r="G1549" s="92">
        <v>2660</v>
      </c>
      <c r="H1549" s="3">
        <v>20.399999999999999</v>
      </c>
      <c r="I1549" s="3">
        <v>10586.8</v>
      </c>
      <c r="J1549" s="1" t="s">
        <v>87</v>
      </c>
      <c r="K1549" s="1" t="s">
        <v>133</v>
      </c>
      <c r="L1549" t="str">
        <f>VLOOKUP(D1549, Products!A:C, 3, FALSE)</f>
        <v>Electronics</v>
      </c>
      <c r="M1549" t="str">
        <f>VLOOKUP(C1549, Customers!A:E, 5, FALSE)</f>
        <v>Corporate</v>
      </c>
      <c r="N1549">
        <f>VLOOKUP(C1549, Customers!A:E, 3, FALSE)</f>
        <v>46</v>
      </c>
      <c r="O1549" s="93" t="str">
        <f>VLOOKUP(E1549, Sales_Reps!A:C, 3, FALSE)</f>
        <v>South</v>
      </c>
      <c r="P1549">
        <f>VLOOKUP(D1549, Products!A:E, 4, FALSE)</f>
        <v>1259</v>
      </c>
      <c r="Q1549">
        <f>IF(COUNTIF($A$2:A1549, A1549)=2, 1, 0)</f>
        <v>0</v>
      </c>
      <c r="R1549">
        <f>IF(ISNA(MATCH(C1549, Customers!$A:$A, 0)), 1, 0)</f>
        <v>0</v>
      </c>
      <c r="S1549" s="94" t="b">
        <f>VLOOKUP(D1549, Products!A:F, 6, FALSE)</f>
        <v>0</v>
      </c>
    </row>
    <row r="1550" spans="1:19">
      <c r="A1550" s="102" t="s">
        <v>2043</v>
      </c>
      <c r="B1550" s="2">
        <v>45401</v>
      </c>
      <c r="C1550" s="1" t="s">
        <v>868</v>
      </c>
      <c r="D1550" s="1" t="s">
        <v>259</v>
      </c>
      <c r="E1550" s="1" t="s">
        <v>201</v>
      </c>
      <c r="F1550" s="83">
        <v>8</v>
      </c>
      <c r="G1550" s="92">
        <v>1540</v>
      </c>
      <c r="H1550" s="3">
        <v>0.5</v>
      </c>
      <c r="I1550" s="3">
        <v>12258.4</v>
      </c>
      <c r="J1550" s="1" t="s">
        <v>87</v>
      </c>
      <c r="K1550" s="1" t="s">
        <v>99</v>
      </c>
      <c r="L1550" t="str">
        <f>VLOOKUP(D1550, Products!A:C, 3, FALSE)</f>
        <v>Beauty</v>
      </c>
      <c r="M1550" t="str">
        <f>VLOOKUP(C1550, Customers!A:E, 5, FALSE)</f>
        <v>SMB</v>
      </c>
      <c r="N1550">
        <f>VLOOKUP(C1550, Customers!A:E, 3, FALSE)</f>
        <v>38</v>
      </c>
      <c r="O1550" s="93" t="str">
        <f>VLOOKUP(E1550, Sales_Reps!A:C, 3, FALSE)</f>
        <v>West</v>
      </c>
      <c r="P1550">
        <f>VLOOKUP(D1550, Products!A:E, 4, FALSE)</f>
        <v>647</v>
      </c>
      <c r="Q1550">
        <f>IF(COUNTIF($A$2:A1550, A1550)=2, 1, 0)</f>
        <v>0</v>
      </c>
      <c r="R1550">
        <f>IF(ISNA(MATCH(C1550, Customers!$A:$A, 0)), 1, 0)</f>
        <v>0</v>
      </c>
      <c r="S1550" s="94" t="b">
        <f>VLOOKUP(D1550, Products!A:F, 6, FALSE)</f>
        <v>0</v>
      </c>
    </row>
    <row r="1551" spans="1:19">
      <c r="A1551" s="102" t="s">
        <v>2044</v>
      </c>
      <c r="B1551" s="2">
        <v>45621</v>
      </c>
      <c r="C1551" s="1" t="s">
        <v>507</v>
      </c>
      <c r="D1551" s="1" t="s">
        <v>408</v>
      </c>
      <c r="E1551" s="1" t="s">
        <v>139</v>
      </c>
      <c r="F1551" s="83">
        <v>4</v>
      </c>
      <c r="G1551" s="92">
        <v>3970</v>
      </c>
      <c r="H1551" s="3">
        <v>22.5</v>
      </c>
      <c r="I1551" s="3">
        <v>12307</v>
      </c>
      <c r="J1551" s="1" t="s">
        <v>87</v>
      </c>
      <c r="K1551" s="1" t="s">
        <v>88</v>
      </c>
      <c r="L1551" t="str">
        <f>VLOOKUP(D1551, Products!A:C, 3, FALSE)</f>
        <v>Electronics</v>
      </c>
      <c r="M1551" t="str">
        <f>VLOOKUP(C1551, Customers!A:E, 5, FALSE)</f>
        <v>Retail</v>
      </c>
      <c r="N1551">
        <f>VLOOKUP(C1551, Customers!A:E, 3, FALSE)</f>
        <v>59</v>
      </c>
      <c r="O1551" s="93" t="str">
        <f>VLOOKUP(E1551, Sales_Reps!A:C, 3, FALSE)</f>
        <v>North</v>
      </c>
      <c r="P1551">
        <f>VLOOKUP(D1551, Products!A:E, 4, FALSE)</f>
        <v>2865</v>
      </c>
      <c r="Q1551">
        <f>IF(COUNTIF($A$2:A1551, A1551)=2, 1, 0)</f>
        <v>0</v>
      </c>
      <c r="R1551">
        <f>IF(ISNA(MATCH(C1551, Customers!$A:$A, 0)), 1, 0)</f>
        <v>0</v>
      </c>
      <c r="S1551" s="94" t="b">
        <f>VLOOKUP(D1551, Products!A:F, 6, FALSE)</f>
        <v>1</v>
      </c>
    </row>
    <row r="1552" spans="1:19">
      <c r="A1552" s="102" t="s">
        <v>2045</v>
      </c>
      <c r="B1552" s="2">
        <v>45368</v>
      </c>
      <c r="C1552" s="1" t="s">
        <v>369</v>
      </c>
      <c r="D1552" s="1" t="s">
        <v>461</v>
      </c>
      <c r="E1552" s="1" t="s">
        <v>86</v>
      </c>
      <c r="F1552" s="83">
        <v>8</v>
      </c>
      <c r="G1552" s="92">
        <v>3780</v>
      </c>
      <c r="H1552" s="3">
        <v>3.8</v>
      </c>
      <c r="I1552" s="3">
        <v>29090.880000000001</v>
      </c>
      <c r="J1552" s="1" t="s">
        <v>87</v>
      </c>
      <c r="K1552" s="1" t="s">
        <v>94</v>
      </c>
      <c r="L1552" t="str">
        <f>VLOOKUP(D1552, Products!A:C, 3, FALSE)</f>
        <v>Sports</v>
      </c>
      <c r="M1552" t="str">
        <f>VLOOKUP(C1552, Customers!A:E, 5, FALSE)</f>
        <v>SMB</v>
      </c>
      <c r="N1552">
        <f>VLOOKUP(C1552, Customers!A:E, 3, FALSE)</f>
        <v>62</v>
      </c>
      <c r="O1552" s="93" t="str">
        <f>VLOOKUP(E1552, Sales_Reps!A:C, 3, FALSE)</f>
        <v>North</v>
      </c>
      <c r="P1552">
        <f>VLOOKUP(D1552, Products!A:E, 4, FALSE)</f>
        <v>1860</v>
      </c>
      <c r="Q1552">
        <f>IF(COUNTIF($A$2:A1552, A1552)=2, 1, 0)</f>
        <v>0</v>
      </c>
      <c r="R1552">
        <f>IF(ISNA(MATCH(C1552, Customers!$A:$A, 0)), 1, 0)</f>
        <v>0</v>
      </c>
      <c r="S1552" s="94" t="b">
        <f>VLOOKUP(D1552, Products!A:F, 6, FALSE)</f>
        <v>1</v>
      </c>
    </row>
    <row r="1553" spans="1:19">
      <c r="A1553" s="102" t="s">
        <v>2046</v>
      </c>
      <c r="B1553" s="2">
        <v>45550</v>
      </c>
      <c r="C1553" s="1" t="s">
        <v>394</v>
      </c>
      <c r="D1553" s="1" t="s">
        <v>245</v>
      </c>
      <c r="E1553" s="1" t="s">
        <v>139</v>
      </c>
      <c r="F1553" s="83">
        <v>4</v>
      </c>
      <c r="G1553" s="92">
        <v>2270</v>
      </c>
      <c r="H1553" s="3">
        <v>3.8</v>
      </c>
      <c r="I1553" s="3">
        <v>8734.9599999999991</v>
      </c>
      <c r="J1553" s="1" t="s">
        <v>140</v>
      </c>
      <c r="K1553" s="1" t="s">
        <v>117</v>
      </c>
      <c r="L1553" t="str">
        <f>VLOOKUP(D1553, Products!A:C, 3, FALSE)</f>
        <v>Grocery</v>
      </c>
      <c r="M1553" t="str">
        <f>VLOOKUP(C1553, Customers!A:E, 5, FALSE)</f>
        <v>SMB</v>
      </c>
      <c r="N1553">
        <f>VLOOKUP(C1553, Customers!A:E, 3, FALSE)</f>
        <v>28</v>
      </c>
      <c r="O1553" s="93" t="str">
        <f>VLOOKUP(E1553, Sales_Reps!A:C, 3, FALSE)</f>
        <v>North</v>
      </c>
      <c r="P1553">
        <f>VLOOKUP(D1553, Products!A:E, 4, FALSE)</f>
        <v>1412</v>
      </c>
      <c r="Q1553">
        <f>IF(COUNTIF($A$2:A1553, A1553)=2, 1, 0)</f>
        <v>0</v>
      </c>
      <c r="R1553">
        <f>IF(ISNA(MATCH(C1553, Customers!$A:$A, 0)), 1, 0)</f>
        <v>0</v>
      </c>
      <c r="S1553" s="94" t="b">
        <f>VLOOKUP(D1553, Products!A:F, 6, FALSE)</f>
        <v>1</v>
      </c>
    </row>
    <row r="1554" spans="1:19">
      <c r="A1554" s="102" t="s">
        <v>2047</v>
      </c>
      <c r="B1554" s="2">
        <v>45304</v>
      </c>
      <c r="C1554" s="1" t="s">
        <v>333</v>
      </c>
      <c r="D1554" s="1" t="s">
        <v>267</v>
      </c>
      <c r="E1554" s="1" t="s">
        <v>204</v>
      </c>
      <c r="F1554" s="83">
        <v>10</v>
      </c>
      <c r="G1554" s="92">
        <v>1220</v>
      </c>
      <c r="H1554" s="3">
        <v>19.5</v>
      </c>
      <c r="I1554" s="3">
        <v>9821</v>
      </c>
      <c r="J1554" s="1" t="s">
        <v>87</v>
      </c>
      <c r="K1554" s="1" t="s">
        <v>133</v>
      </c>
      <c r="L1554" t="str">
        <f>VLOOKUP(D1554, Products!A:C, 3, FALSE)</f>
        <v>Electronics</v>
      </c>
      <c r="M1554" t="str">
        <f>VLOOKUP(C1554, Customers!A:E, 5, FALSE)</f>
        <v>SMB</v>
      </c>
      <c r="N1554">
        <f>VLOOKUP(C1554, Customers!A:E, 3, FALSE)</f>
        <v>65</v>
      </c>
      <c r="O1554" s="93" t="str">
        <f>VLOOKUP(E1554, Sales_Reps!A:C, 3, FALSE)</f>
        <v>South</v>
      </c>
      <c r="P1554">
        <f>VLOOKUP(D1554, Products!A:E, 4, FALSE)</f>
        <v>517</v>
      </c>
      <c r="Q1554">
        <f>IF(COUNTIF($A$2:A1554, A1554)=2, 1, 0)</f>
        <v>0</v>
      </c>
      <c r="R1554">
        <f>IF(ISNA(MATCH(C1554, Customers!$A:$A, 0)), 1, 0)</f>
        <v>0</v>
      </c>
      <c r="S1554" s="94" t="b">
        <f>VLOOKUP(D1554, Products!A:F, 6, FALSE)</f>
        <v>1</v>
      </c>
    </row>
    <row r="1555" spans="1:19">
      <c r="A1555" s="102" t="s">
        <v>2048</v>
      </c>
      <c r="B1555" s="2">
        <v>45321</v>
      </c>
      <c r="C1555" s="1" t="s">
        <v>299</v>
      </c>
      <c r="D1555" s="1" t="s">
        <v>179</v>
      </c>
      <c r="E1555" s="1" t="s">
        <v>188</v>
      </c>
      <c r="F1555" s="83">
        <v>10</v>
      </c>
      <c r="G1555" s="92">
        <v>3350</v>
      </c>
      <c r="H1555" s="3">
        <v>7.8</v>
      </c>
      <c r="I1555" s="3">
        <v>30887</v>
      </c>
      <c r="J1555" s="1" t="s">
        <v>87</v>
      </c>
      <c r="K1555" s="1" t="s">
        <v>133</v>
      </c>
      <c r="L1555" t="str">
        <f>VLOOKUP(D1555, Products!A:C, 3, FALSE)</f>
        <v>Beauty</v>
      </c>
      <c r="M1555" t="str">
        <f>VLOOKUP(C1555, Customers!A:E, 5, FALSE)</f>
        <v>Retail</v>
      </c>
      <c r="N1555">
        <f>VLOOKUP(C1555, Customers!A:E, 3, FALSE)</f>
        <v>29</v>
      </c>
      <c r="O1555" s="93" t="str">
        <f>VLOOKUP(E1555, Sales_Reps!A:C, 3, FALSE)</f>
        <v>South</v>
      </c>
      <c r="P1555">
        <f>VLOOKUP(D1555, Products!A:E, 4, FALSE)</f>
        <v>1728</v>
      </c>
      <c r="Q1555">
        <f>IF(COUNTIF($A$2:A1555, A1555)=2, 1, 0)</f>
        <v>0</v>
      </c>
      <c r="R1555">
        <f>IF(ISNA(MATCH(C1555, Customers!$A:$A, 0)), 1, 0)</f>
        <v>0</v>
      </c>
      <c r="S1555" s="94" t="b">
        <f>VLOOKUP(D1555, Products!A:F, 6, FALSE)</f>
        <v>1</v>
      </c>
    </row>
    <row r="1556" spans="1:19">
      <c r="A1556" s="102" t="s">
        <v>2049</v>
      </c>
      <c r="B1556" s="2">
        <v>45358</v>
      </c>
      <c r="C1556" s="1" t="s">
        <v>2050</v>
      </c>
      <c r="D1556" s="1" t="s">
        <v>179</v>
      </c>
      <c r="E1556" s="1" t="s">
        <v>170</v>
      </c>
      <c r="F1556" s="83">
        <v>7</v>
      </c>
      <c r="G1556" s="92">
        <v>3350</v>
      </c>
      <c r="H1556" s="3">
        <v>14.5</v>
      </c>
      <c r="I1556" s="3">
        <v>20049.75</v>
      </c>
      <c r="J1556" s="1" t="s">
        <v>87</v>
      </c>
      <c r="K1556" s="1" t="s">
        <v>117</v>
      </c>
      <c r="L1556" t="str">
        <f>VLOOKUP(D1556, Products!A:C, 3, FALSE)</f>
        <v>Beauty</v>
      </c>
      <c r="M1556" t="e">
        <f>VLOOKUP(C1556, Customers!A:E, 5, FALSE)</f>
        <v>#N/A</v>
      </c>
      <c r="N1556" t="e">
        <f>VLOOKUP(C1556, Customers!A:E, 3, FALSE)</f>
        <v>#N/A</v>
      </c>
      <c r="O1556" s="93" t="str">
        <f>VLOOKUP(E1556, Sales_Reps!A:C, 3, FALSE)</f>
        <v>West</v>
      </c>
      <c r="P1556">
        <f>VLOOKUP(D1556, Products!A:E, 4, FALSE)</f>
        <v>1728</v>
      </c>
      <c r="Q1556">
        <f>IF(COUNTIF($A$2:A1556, A1556)=2, 1, 0)</f>
        <v>0</v>
      </c>
      <c r="R1556">
        <f>IF(ISNA(MATCH(C1556, Customers!$A:$A, 0)), 1, 0)</f>
        <v>1</v>
      </c>
      <c r="S1556" s="94" t="b">
        <f>VLOOKUP(D1556, Products!A:F, 6, FALSE)</f>
        <v>1</v>
      </c>
    </row>
    <row r="1557" spans="1:19">
      <c r="A1557" s="102" t="s">
        <v>2051</v>
      </c>
      <c r="B1557" s="2">
        <v>45440</v>
      </c>
      <c r="C1557" s="1" t="s">
        <v>217</v>
      </c>
      <c r="D1557" s="1" t="s">
        <v>124</v>
      </c>
      <c r="E1557" s="1" t="s">
        <v>98</v>
      </c>
      <c r="F1557" s="83">
        <v>6</v>
      </c>
      <c r="G1557" s="92">
        <v>5490</v>
      </c>
      <c r="H1557" s="3">
        <v>8</v>
      </c>
      <c r="I1557" s="3">
        <v>30304.799999999999</v>
      </c>
      <c r="J1557" s="1" t="s">
        <v>87</v>
      </c>
      <c r="K1557" s="1" t="s">
        <v>94</v>
      </c>
      <c r="L1557" t="str">
        <f>VLOOKUP(D1557, Products!A:C, 3, FALSE)</f>
        <v>Home</v>
      </c>
      <c r="M1557" t="str">
        <f>VLOOKUP(C1557, Customers!A:E, 5, FALSE)</f>
        <v>Retail</v>
      </c>
      <c r="N1557">
        <f>VLOOKUP(C1557, Customers!A:E, 3, FALSE)</f>
        <v>51</v>
      </c>
      <c r="O1557" s="93" t="str">
        <f>VLOOKUP(E1557, Sales_Reps!A:C, 3, FALSE)</f>
        <v>South</v>
      </c>
      <c r="P1557">
        <f>VLOOKUP(D1557, Products!A:E, 4, FALSE)</f>
        <v>2549</v>
      </c>
      <c r="Q1557">
        <f>IF(COUNTIF($A$2:A1557, A1557)=2, 1, 0)</f>
        <v>0</v>
      </c>
      <c r="R1557">
        <f>IF(ISNA(MATCH(C1557, Customers!$A:$A, 0)), 1, 0)</f>
        <v>0</v>
      </c>
      <c r="S1557" s="94" t="b">
        <f>VLOOKUP(D1557, Products!A:F, 6, FALSE)</f>
        <v>1</v>
      </c>
    </row>
    <row r="1558" spans="1:19">
      <c r="A1558" s="102" t="s">
        <v>2052</v>
      </c>
      <c r="B1558" s="2">
        <v>45618</v>
      </c>
      <c r="C1558" s="1" t="s">
        <v>2053</v>
      </c>
      <c r="D1558" s="1" t="s">
        <v>195</v>
      </c>
      <c r="E1558" s="1" t="s">
        <v>303</v>
      </c>
      <c r="F1558" s="83">
        <v>3</v>
      </c>
      <c r="G1558" s="92">
        <v>2860</v>
      </c>
      <c r="H1558" s="3">
        <v>19.899999999999999</v>
      </c>
      <c r="I1558" s="3">
        <v>6872.58</v>
      </c>
      <c r="J1558" s="1" t="s">
        <v>87</v>
      </c>
      <c r="K1558" s="1" t="s">
        <v>133</v>
      </c>
      <c r="L1558" t="str">
        <f>VLOOKUP(D1558, Products!A:C, 3, FALSE)</f>
        <v>Sports</v>
      </c>
      <c r="M1558" t="str">
        <f>VLOOKUP(C1558, Customers!A:E, 5, FALSE)</f>
        <v>SMB</v>
      </c>
      <c r="N1558">
        <f>VLOOKUP(C1558, Customers!A:E, 3, FALSE)</f>
        <v>39</v>
      </c>
      <c r="O1558" s="93" t="str">
        <f>VLOOKUP(E1558, Sales_Reps!A:C, 3, FALSE)</f>
        <v>East</v>
      </c>
      <c r="P1558">
        <f>VLOOKUP(D1558, Products!A:E, 4, FALSE)</f>
        <v>2028</v>
      </c>
      <c r="Q1558">
        <f>IF(COUNTIF($A$2:A1558, A1558)=2, 1, 0)</f>
        <v>0</v>
      </c>
      <c r="R1558">
        <f>IF(ISNA(MATCH(C1558, Customers!$A:$A, 0)), 1, 0)</f>
        <v>0</v>
      </c>
      <c r="S1558" s="94" t="b">
        <f>VLOOKUP(D1558, Products!A:F, 6, FALSE)</f>
        <v>1</v>
      </c>
    </row>
    <row r="1559" spans="1:19">
      <c r="A1559" s="102" t="s">
        <v>2054</v>
      </c>
      <c r="B1559" s="2">
        <v>45295</v>
      </c>
      <c r="C1559" s="1" t="s">
        <v>717</v>
      </c>
      <c r="D1559" s="1" t="s">
        <v>135</v>
      </c>
      <c r="E1559" s="1" t="s">
        <v>116</v>
      </c>
      <c r="F1559" s="83">
        <v>3</v>
      </c>
      <c r="G1559" s="92">
        <v>2640</v>
      </c>
      <c r="H1559" s="3">
        <v>29.3</v>
      </c>
      <c r="I1559" s="3">
        <v>5599.44</v>
      </c>
      <c r="J1559" s="1" t="s">
        <v>87</v>
      </c>
      <c r="K1559" s="1" t="s">
        <v>94</v>
      </c>
      <c r="L1559" t="str">
        <f>VLOOKUP(D1559, Products!A:C, 3, FALSE)</f>
        <v>Electronics</v>
      </c>
      <c r="M1559" t="str">
        <f>VLOOKUP(C1559, Customers!A:E, 5, FALSE)</f>
        <v>Retail</v>
      </c>
      <c r="N1559">
        <f>VLOOKUP(C1559, Customers!A:E, 3, FALSE)</f>
        <v>24</v>
      </c>
      <c r="O1559" s="93" t="str">
        <f>VLOOKUP(E1559, Sales_Reps!A:C, 3, FALSE)</f>
        <v>West</v>
      </c>
      <c r="P1559">
        <f>VLOOKUP(D1559, Products!A:E, 4, FALSE)</f>
        <v>1149</v>
      </c>
      <c r="Q1559">
        <f>IF(COUNTIF($A$2:A1559, A1559)=2, 1, 0)</f>
        <v>0</v>
      </c>
      <c r="R1559">
        <f>IF(ISNA(MATCH(C1559, Customers!$A:$A, 0)), 1, 0)</f>
        <v>0</v>
      </c>
      <c r="S1559" s="94" t="b">
        <f>VLOOKUP(D1559, Products!A:F, 6, FALSE)</f>
        <v>1</v>
      </c>
    </row>
    <row r="1560" spans="1:19">
      <c r="A1560" s="102" t="s">
        <v>2055</v>
      </c>
      <c r="B1560" s="2">
        <v>45384</v>
      </c>
      <c r="C1560" s="1" t="s">
        <v>541</v>
      </c>
      <c r="D1560" s="1" t="s">
        <v>452</v>
      </c>
      <c r="E1560" s="1" t="s">
        <v>229</v>
      </c>
      <c r="F1560" s="83">
        <v>8</v>
      </c>
      <c r="G1560" s="92">
        <v>3450</v>
      </c>
      <c r="H1560" s="3">
        <v>15.2</v>
      </c>
      <c r="I1560" s="3">
        <v>23404.799999999999</v>
      </c>
      <c r="J1560" s="1" t="s">
        <v>140</v>
      </c>
      <c r="K1560" s="1" t="s">
        <v>94</v>
      </c>
      <c r="L1560" t="str">
        <f>VLOOKUP(D1560, Products!A:C, 3, FALSE)</f>
        <v>Apparel</v>
      </c>
      <c r="M1560" t="str">
        <f>VLOOKUP(C1560, Customers!A:E, 5, FALSE)</f>
        <v>Corporate</v>
      </c>
      <c r="N1560">
        <f>VLOOKUP(C1560, Customers!A:E, 3, FALSE)</f>
        <v>34</v>
      </c>
      <c r="O1560" s="93" t="str">
        <f>VLOOKUP(E1560, Sales_Reps!A:C, 3, FALSE)</f>
        <v>West</v>
      </c>
      <c r="P1560">
        <f>VLOOKUP(D1560, Products!A:E, 4, FALSE)</f>
        <v>1748</v>
      </c>
      <c r="Q1560">
        <f>IF(COUNTIF($A$2:A1560, A1560)=2, 1, 0)</f>
        <v>0</v>
      </c>
      <c r="R1560">
        <f>IF(ISNA(MATCH(C1560, Customers!$A:$A, 0)), 1, 0)</f>
        <v>0</v>
      </c>
      <c r="S1560" s="94" t="b">
        <f>VLOOKUP(D1560, Products!A:F, 6, FALSE)</f>
        <v>1</v>
      </c>
    </row>
    <row r="1561" spans="1:19">
      <c r="A1561" s="102" t="s">
        <v>2056</v>
      </c>
      <c r="B1561" s="2">
        <v>45349</v>
      </c>
      <c r="C1561" s="1" t="s">
        <v>868</v>
      </c>
      <c r="D1561" s="1" t="s">
        <v>110</v>
      </c>
      <c r="E1561" s="1" t="s">
        <v>111</v>
      </c>
      <c r="F1561" s="83">
        <v>6</v>
      </c>
      <c r="G1561" s="92">
        <v>370</v>
      </c>
      <c r="H1561" s="3">
        <v>7</v>
      </c>
      <c r="I1561" s="3">
        <v>2064.6</v>
      </c>
      <c r="J1561" s="1" t="s">
        <v>87</v>
      </c>
      <c r="K1561" s="1" t="s">
        <v>99</v>
      </c>
      <c r="L1561" t="str">
        <f>VLOOKUP(D1561, Products!A:C, 3, FALSE)</f>
        <v>Home</v>
      </c>
      <c r="M1561" t="str">
        <f>VLOOKUP(C1561, Customers!A:E, 5, FALSE)</f>
        <v>SMB</v>
      </c>
      <c r="N1561">
        <f>VLOOKUP(C1561, Customers!A:E, 3, FALSE)</f>
        <v>38</v>
      </c>
      <c r="O1561" s="93" t="str">
        <f>VLOOKUP(E1561, Sales_Reps!A:C, 3, FALSE)</f>
        <v>West</v>
      </c>
      <c r="P1561">
        <f>VLOOKUP(D1561, Products!A:E, 4, FALSE)</f>
        <v>288</v>
      </c>
      <c r="Q1561">
        <f>IF(COUNTIF($A$2:A1561, A1561)=2, 1, 0)</f>
        <v>0</v>
      </c>
      <c r="R1561">
        <f>IF(ISNA(MATCH(C1561, Customers!$A:$A, 0)), 1, 0)</f>
        <v>0</v>
      </c>
      <c r="S1561" s="94" t="b">
        <f>VLOOKUP(D1561, Products!A:F, 6, FALSE)</f>
        <v>1</v>
      </c>
    </row>
    <row r="1562" spans="1:19">
      <c r="A1562" s="102" t="s">
        <v>2057</v>
      </c>
      <c r="B1562" s="2">
        <v>45439</v>
      </c>
      <c r="C1562" s="1" t="s">
        <v>350</v>
      </c>
      <c r="D1562" s="1" t="s">
        <v>351</v>
      </c>
      <c r="E1562" s="1" t="s">
        <v>229</v>
      </c>
      <c r="F1562" s="83">
        <v>10</v>
      </c>
      <c r="G1562" s="92">
        <v>4060</v>
      </c>
      <c r="H1562" s="3">
        <v>4.7</v>
      </c>
      <c r="I1562" s="3">
        <v>38691.800000000003</v>
      </c>
      <c r="J1562" s="1" t="s">
        <v>140</v>
      </c>
      <c r="K1562" s="1" t="s">
        <v>112</v>
      </c>
      <c r="L1562" t="str">
        <f>VLOOKUP(D1562, Products!A:C, 3, FALSE)</f>
        <v>Grocery</v>
      </c>
      <c r="M1562" t="str">
        <f>VLOOKUP(C1562, Customers!A:E, 5, FALSE)</f>
        <v>SMB</v>
      </c>
      <c r="N1562">
        <f>VLOOKUP(C1562, Customers!A:E, 3, FALSE)</f>
        <v>22</v>
      </c>
      <c r="O1562" s="93" t="str">
        <f>VLOOKUP(E1562, Sales_Reps!A:C, 3, FALSE)</f>
        <v>West</v>
      </c>
      <c r="P1562">
        <f>VLOOKUP(D1562, Products!A:E, 4, FALSE)</f>
        <v>2911</v>
      </c>
      <c r="Q1562">
        <f>IF(COUNTIF($A$2:A1562, A1562)=2, 1, 0)</f>
        <v>0</v>
      </c>
      <c r="R1562">
        <f>IF(ISNA(MATCH(C1562, Customers!$A:$A, 0)), 1, 0)</f>
        <v>0</v>
      </c>
      <c r="S1562" s="94" t="b">
        <f>VLOOKUP(D1562, Products!A:F, 6, FALSE)</f>
        <v>1</v>
      </c>
    </row>
    <row r="1563" spans="1:19">
      <c r="A1563" s="102" t="s">
        <v>2058</v>
      </c>
      <c r="B1563" s="2">
        <v>45426</v>
      </c>
      <c r="C1563" s="1" t="s">
        <v>1038</v>
      </c>
      <c r="D1563" s="1" t="s">
        <v>248</v>
      </c>
      <c r="E1563" s="1" t="s">
        <v>116</v>
      </c>
      <c r="F1563" s="83">
        <v>1</v>
      </c>
      <c r="G1563" s="92">
        <v>3870</v>
      </c>
      <c r="H1563" s="3">
        <v>18.2</v>
      </c>
      <c r="I1563" s="3">
        <v>3165.66</v>
      </c>
      <c r="J1563" s="1" t="s">
        <v>93</v>
      </c>
      <c r="K1563" s="1" t="s">
        <v>117</v>
      </c>
      <c r="L1563" t="str">
        <f>VLOOKUP(D1563, Products!A:C, 3, FALSE)</f>
        <v>Electronics</v>
      </c>
      <c r="M1563" t="str">
        <f>VLOOKUP(C1563, Customers!A:E, 5, FALSE)</f>
        <v>Corporate</v>
      </c>
      <c r="N1563">
        <f>VLOOKUP(C1563, Customers!A:E, 3, FALSE)</f>
        <v>55</v>
      </c>
      <c r="O1563" s="93" t="str">
        <f>VLOOKUP(E1563, Sales_Reps!A:C, 3, FALSE)</f>
        <v>West</v>
      </c>
      <c r="P1563">
        <f>VLOOKUP(D1563, Products!A:E, 4, FALSE)</f>
        <v>1559</v>
      </c>
      <c r="Q1563">
        <f>IF(COUNTIF($A$2:A1563, A1563)=2, 1, 0)</f>
        <v>0</v>
      </c>
      <c r="R1563">
        <f>IF(ISNA(MATCH(C1563, Customers!$A:$A, 0)), 1, 0)</f>
        <v>0</v>
      </c>
      <c r="S1563" s="94" t="b">
        <f>VLOOKUP(D1563, Products!A:F, 6, FALSE)</f>
        <v>1</v>
      </c>
    </row>
    <row r="1564" spans="1:19">
      <c r="A1564" s="102" t="s">
        <v>2059</v>
      </c>
      <c r="B1564" s="2">
        <v>45385</v>
      </c>
      <c r="C1564" s="1" t="s">
        <v>1096</v>
      </c>
      <c r="D1564" s="1" t="s">
        <v>364</v>
      </c>
      <c r="E1564" s="1" t="s">
        <v>103</v>
      </c>
      <c r="F1564" s="83">
        <v>1</v>
      </c>
      <c r="G1564" s="92">
        <v>5330</v>
      </c>
      <c r="H1564" s="3">
        <v>3.9</v>
      </c>
      <c r="I1564" s="3">
        <v>5122.13</v>
      </c>
      <c r="J1564" s="1" t="s">
        <v>144</v>
      </c>
      <c r="K1564" s="1" t="s">
        <v>88</v>
      </c>
      <c r="L1564" t="str">
        <f>VLOOKUP(D1564, Products!A:C, 3, FALSE)</f>
        <v>Electronics</v>
      </c>
      <c r="M1564" t="str">
        <f>VLOOKUP(C1564, Customers!A:E, 5, FALSE)</f>
        <v>Corporate</v>
      </c>
      <c r="N1564">
        <f>VLOOKUP(C1564, Customers!A:E, 3, FALSE)</f>
        <v>42</v>
      </c>
      <c r="O1564" s="93" t="str">
        <f>VLOOKUP(E1564, Sales_Reps!A:C, 3, FALSE)</f>
        <v>North</v>
      </c>
      <c r="P1564">
        <f>VLOOKUP(D1564, Products!A:E, 4, FALSE)</f>
        <v>2405</v>
      </c>
      <c r="Q1564">
        <f>IF(COUNTIF($A$2:A1564, A1564)=2, 1, 0)</f>
        <v>0</v>
      </c>
      <c r="R1564">
        <f>IF(ISNA(MATCH(C1564, Customers!$A:$A, 0)), 1, 0)</f>
        <v>0</v>
      </c>
      <c r="S1564" s="94" t="b">
        <f>VLOOKUP(D1564, Products!A:F, 6, FALSE)</f>
        <v>1</v>
      </c>
    </row>
    <row r="1565" spans="1:19">
      <c r="A1565" s="102" t="s">
        <v>2060</v>
      </c>
      <c r="B1565" s="2">
        <v>45312</v>
      </c>
      <c r="C1565" s="1" t="s">
        <v>655</v>
      </c>
      <c r="D1565" s="1" t="s">
        <v>110</v>
      </c>
      <c r="E1565" s="1" t="s">
        <v>192</v>
      </c>
      <c r="F1565" s="83">
        <v>8</v>
      </c>
      <c r="G1565" s="92">
        <v>370</v>
      </c>
      <c r="H1565" s="3">
        <v>1.3</v>
      </c>
      <c r="I1565" s="3">
        <v>2921.52</v>
      </c>
      <c r="J1565" s="1" t="s">
        <v>87</v>
      </c>
      <c r="K1565" s="1" t="s">
        <v>133</v>
      </c>
      <c r="L1565" t="str">
        <f>VLOOKUP(D1565, Products!A:C, 3, FALSE)</f>
        <v>Home</v>
      </c>
      <c r="M1565" t="str">
        <f>VLOOKUP(C1565, Customers!A:E, 5, FALSE)</f>
        <v>Retail</v>
      </c>
      <c r="N1565">
        <f>VLOOKUP(C1565, Customers!A:E, 3, FALSE)</f>
        <v>27</v>
      </c>
      <c r="O1565" s="93" t="str">
        <f>VLOOKUP(E1565, Sales_Reps!A:C, 3, FALSE)</f>
        <v>East</v>
      </c>
      <c r="P1565">
        <f>VLOOKUP(D1565, Products!A:E, 4, FALSE)</f>
        <v>288</v>
      </c>
      <c r="Q1565">
        <f>IF(COUNTIF($A$2:A1565, A1565)=2, 1, 0)</f>
        <v>0</v>
      </c>
      <c r="R1565">
        <f>IF(ISNA(MATCH(C1565, Customers!$A:$A, 0)), 1, 0)</f>
        <v>0</v>
      </c>
      <c r="S1565" s="94" t="b">
        <f>VLOOKUP(D1565, Products!A:F, 6, FALSE)</f>
        <v>1</v>
      </c>
    </row>
    <row r="1566" spans="1:19">
      <c r="A1566" s="102" t="s">
        <v>2061</v>
      </c>
      <c r="B1566" s="2">
        <v>45622</v>
      </c>
      <c r="C1566" s="1" t="s">
        <v>465</v>
      </c>
      <c r="D1566" s="1" t="s">
        <v>282</v>
      </c>
      <c r="E1566" s="1" t="s">
        <v>192</v>
      </c>
      <c r="F1566" s="83">
        <v>7</v>
      </c>
      <c r="G1566" s="92">
        <v>300</v>
      </c>
      <c r="H1566" s="3">
        <v>7.1</v>
      </c>
      <c r="I1566" s="3">
        <v>1950.9</v>
      </c>
      <c r="J1566" s="1" t="s">
        <v>87</v>
      </c>
      <c r="K1566" s="1" t="s">
        <v>112</v>
      </c>
      <c r="L1566" t="str">
        <f>VLOOKUP(D1566, Products!A:C, 3, FALSE)</f>
        <v>Electronics</v>
      </c>
      <c r="M1566" t="str">
        <f>VLOOKUP(C1566, Customers!A:E, 5, FALSE)</f>
        <v>Retail</v>
      </c>
      <c r="N1566">
        <f>VLOOKUP(C1566, Customers!A:E, 3, FALSE)</f>
        <v>61</v>
      </c>
      <c r="O1566" s="93" t="str">
        <f>VLOOKUP(E1566, Sales_Reps!A:C, 3, FALSE)</f>
        <v>East</v>
      </c>
      <c r="P1566">
        <f>VLOOKUP(D1566, Products!A:E, 4, FALSE)</f>
        <v>128</v>
      </c>
      <c r="Q1566">
        <f>IF(COUNTIF($A$2:A1566, A1566)=2, 1, 0)</f>
        <v>0</v>
      </c>
      <c r="R1566">
        <f>IF(ISNA(MATCH(C1566, Customers!$A:$A, 0)), 1, 0)</f>
        <v>0</v>
      </c>
      <c r="S1566" s="94" t="b">
        <f>VLOOKUP(D1566, Products!A:F, 6, FALSE)</f>
        <v>1</v>
      </c>
    </row>
    <row r="1567" spans="1:19">
      <c r="A1567" s="102" t="s">
        <v>2062</v>
      </c>
      <c r="B1567" s="2">
        <v>45508</v>
      </c>
      <c r="C1567" s="1" t="s">
        <v>615</v>
      </c>
      <c r="D1567" s="1" t="s">
        <v>179</v>
      </c>
      <c r="E1567" s="1" t="s">
        <v>325</v>
      </c>
      <c r="F1567" s="83">
        <v>8</v>
      </c>
      <c r="G1567" s="92">
        <v>3350</v>
      </c>
      <c r="H1567" s="3">
        <v>11.2</v>
      </c>
      <c r="I1567" s="3">
        <v>23798.400000000001</v>
      </c>
      <c r="J1567" s="1" t="s">
        <v>87</v>
      </c>
      <c r="K1567" s="1" t="s">
        <v>112</v>
      </c>
      <c r="L1567" t="str">
        <f>VLOOKUP(D1567, Products!A:C, 3, FALSE)</f>
        <v>Beauty</v>
      </c>
      <c r="M1567" t="str">
        <f>VLOOKUP(C1567, Customers!A:E, 5, FALSE)</f>
        <v>Retail</v>
      </c>
      <c r="N1567">
        <f>VLOOKUP(C1567, Customers!A:E, 3, FALSE)</f>
        <v>53</v>
      </c>
      <c r="O1567" s="93" t="str">
        <f>VLOOKUP(E1567, Sales_Reps!A:C, 3, FALSE)</f>
        <v>South</v>
      </c>
      <c r="P1567">
        <f>VLOOKUP(D1567, Products!A:E, 4, FALSE)</f>
        <v>1728</v>
      </c>
      <c r="Q1567">
        <f>IF(COUNTIF($A$2:A1567, A1567)=2, 1, 0)</f>
        <v>0</v>
      </c>
      <c r="R1567">
        <f>IF(ISNA(MATCH(C1567, Customers!$A:$A, 0)), 1, 0)</f>
        <v>0</v>
      </c>
      <c r="S1567" s="94" t="b">
        <f>VLOOKUP(D1567, Products!A:F, 6, FALSE)</f>
        <v>1</v>
      </c>
    </row>
    <row r="1568" spans="1:19">
      <c r="A1568" s="102" t="s">
        <v>2063</v>
      </c>
      <c r="B1568" s="2">
        <v>45528</v>
      </c>
      <c r="C1568" s="1" t="s">
        <v>1308</v>
      </c>
      <c r="D1568" s="1" t="s">
        <v>515</v>
      </c>
      <c r="E1568" s="1" t="s">
        <v>204</v>
      </c>
      <c r="F1568" s="83">
        <v>6</v>
      </c>
      <c r="G1568" s="92">
        <v>6940</v>
      </c>
      <c r="H1568" s="3">
        <v>0.3</v>
      </c>
      <c r="I1568" s="3">
        <v>41515.08</v>
      </c>
      <c r="J1568" s="1" t="s">
        <v>87</v>
      </c>
      <c r="K1568" s="1" t="s">
        <v>94</v>
      </c>
      <c r="L1568" t="str">
        <f>VLOOKUP(D1568, Products!A:C, 3, FALSE)</f>
        <v>Sports</v>
      </c>
      <c r="M1568" t="str">
        <f>VLOOKUP(C1568, Customers!A:E, 5, FALSE)</f>
        <v>SMB</v>
      </c>
      <c r="N1568">
        <f>VLOOKUP(C1568, Customers!A:E, 3, FALSE)</f>
        <v>51</v>
      </c>
      <c r="O1568" s="93" t="str">
        <f>VLOOKUP(E1568, Sales_Reps!A:C, 3, FALSE)</f>
        <v>South</v>
      </c>
      <c r="P1568">
        <f>VLOOKUP(D1568, Products!A:E, 4, FALSE)</f>
        <v>2827</v>
      </c>
      <c r="Q1568">
        <f>IF(COUNTIF($A$2:A1568, A1568)=2, 1, 0)</f>
        <v>0</v>
      </c>
      <c r="R1568">
        <f>IF(ISNA(MATCH(C1568, Customers!$A:$A, 0)), 1, 0)</f>
        <v>0</v>
      </c>
      <c r="S1568" s="94" t="b">
        <f>VLOOKUP(D1568, Products!A:F, 6, FALSE)</f>
        <v>1</v>
      </c>
    </row>
    <row r="1569" spans="1:19">
      <c r="A1569" s="102" t="s">
        <v>2064</v>
      </c>
      <c r="B1569" s="2">
        <v>45483</v>
      </c>
      <c r="C1569" s="1" t="s">
        <v>752</v>
      </c>
      <c r="D1569" s="1" t="s">
        <v>380</v>
      </c>
      <c r="E1569" s="1" t="s">
        <v>107</v>
      </c>
      <c r="F1569" s="83">
        <v>10</v>
      </c>
      <c r="G1569" s="92">
        <v>960</v>
      </c>
      <c r="H1569" s="3">
        <v>9.3000000000000007</v>
      </c>
      <c r="I1569" s="3">
        <v>8707.2000000000007</v>
      </c>
      <c r="J1569" s="1" t="s">
        <v>140</v>
      </c>
      <c r="K1569" s="1" t="s">
        <v>117</v>
      </c>
      <c r="L1569" t="str">
        <f>VLOOKUP(D1569, Products!A:C, 3, FALSE)</f>
        <v>Beauty</v>
      </c>
      <c r="M1569" t="str">
        <f>VLOOKUP(C1569, Customers!A:E, 5, FALSE)</f>
        <v>Retail</v>
      </c>
      <c r="N1569">
        <f>VLOOKUP(C1569, Customers!A:E, 3, FALSE)</f>
        <v>32</v>
      </c>
      <c r="O1569" s="93" t="str">
        <f>VLOOKUP(E1569, Sales_Reps!A:C, 3, FALSE)</f>
        <v>North</v>
      </c>
      <c r="P1569">
        <f>VLOOKUP(D1569, Products!A:E, 4, FALSE)</f>
        <v>675</v>
      </c>
      <c r="Q1569">
        <f>IF(COUNTIF($A$2:A1569, A1569)=2, 1, 0)</f>
        <v>0</v>
      </c>
      <c r="R1569">
        <f>IF(ISNA(MATCH(C1569, Customers!$A:$A, 0)), 1, 0)</f>
        <v>0</v>
      </c>
      <c r="S1569" s="94" t="b">
        <f>VLOOKUP(D1569, Products!A:F, 6, FALSE)</f>
        <v>1</v>
      </c>
    </row>
    <row r="1570" spans="1:19">
      <c r="A1570" s="102" t="s">
        <v>2065</v>
      </c>
      <c r="B1570" s="2">
        <v>45625</v>
      </c>
      <c r="C1570" s="1" t="s">
        <v>1350</v>
      </c>
      <c r="D1570" s="1" t="s">
        <v>200</v>
      </c>
      <c r="E1570" s="1" t="s">
        <v>158</v>
      </c>
      <c r="F1570" s="83">
        <v>10</v>
      </c>
      <c r="G1570" s="92">
        <v>2760</v>
      </c>
      <c r="H1570" s="3">
        <v>17.2</v>
      </c>
      <c r="I1570" s="3">
        <v>22852.799999999999</v>
      </c>
      <c r="J1570" s="1" t="s">
        <v>87</v>
      </c>
      <c r="K1570" s="1" t="s">
        <v>112</v>
      </c>
      <c r="L1570" t="str">
        <f>VLOOKUP(D1570, Products!A:C, 3, FALSE)</f>
        <v>Grocery</v>
      </c>
      <c r="M1570" t="str">
        <f>VLOOKUP(C1570, Customers!A:E, 5, FALSE)</f>
        <v>Retail</v>
      </c>
      <c r="N1570">
        <f>VLOOKUP(C1570, Customers!A:E, 3, FALSE)</f>
        <v>38</v>
      </c>
      <c r="O1570" s="93" t="str">
        <f>VLOOKUP(E1570, Sales_Reps!A:C, 3, FALSE)</f>
        <v>East</v>
      </c>
      <c r="P1570">
        <f>VLOOKUP(D1570, Products!A:E, 4, FALSE)</f>
        <v>1435</v>
      </c>
      <c r="Q1570">
        <f>IF(COUNTIF($A$2:A1570, A1570)=2, 1, 0)</f>
        <v>0</v>
      </c>
      <c r="R1570">
        <f>IF(ISNA(MATCH(C1570, Customers!$A:$A, 0)), 1, 0)</f>
        <v>0</v>
      </c>
      <c r="S1570" s="94" t="b">
        <f>VLOOKUP(D1570, Products!A:F, 6, FALSE)</f>
        <v>1</v>
      </c>
    </row>
    <row r="1571" spans="1:19">
      <c r="A1571" s="102" t="s">
        <v>2066</v>
      </c>
      <c r="B1571" s="2">
        <v>45358</v>
      </c>
      <c r="C1571" s="1" t="s">
        <v>231</v>
      </c>
      <c r="D1571" s="1" t="s">
        <v>131</v>
      </c>
      <c r="E1571" s="1" t="s">
        <v>201</v>
      </c>
      <c r="F1571" s="83">
        <v>4</v>
      </c>
      <c r="G1571" s="92">
        <v>2270</v>
      </c>
      <c r="H1571" s="3">
        <v>26.8</v>
      </c>
      <c r="I1571" s="3">
        <v>6646.56</v>
      </c>
      <c r="J1571" s="1" t="s">
        <v>87</v>
      </c>
      <c r="K1571" s="1" t="s">
        <v>117</v>
      </c>
      <c r="L1571" t="str">
        <f>VLOOKUP(D1571, Products!A:C, 3, FALSE)</f>
        <v>Grocery</v>
      </c>
      <c r="M1571" t="str">
        <f>VLOOKUP(C1571, Customers!A:E, 5, FALSE)</f>
        <v>SMB</v>
      </c>
      <c r="N1571">
        <f>VLOOKUP(C1571, Customers!A:E, 3, FALSE)</f>
        <v>64</v>
      </c>
      <c r="O1571" s="93" t="str">
        <f>VLOOKUP(E1571, Sales_Reps!A:C, 3, FALSE)</f>
        <v>West</v>
      </c>
      <c r="P1571">
        <f>VLOOKUP(D1571, Products!A:E, 4, FALSE)</f>
        <v>1203</v>
      </c>
      <c r="Q1571">
        <f>IF(COUNTIF($A$2:A1571, A1571)=2, 1, 0)</f>
        <v>0</v>
      </c>
      <c r="R1571">
        <f>IF(ISNA(MATCH(C1571, Customers!$A:$A, 0)), 1, 0)</f>
        <v>0</v>
      </c>
      <c r="S1571" s="94" t="b">
        <f>VLOOKUP(D1571, Products!A:F, 6, FALSE)</f>
        <v>1</v>
      </c>
    </row>
    <row r="1572" spans="1:19">
      <c r="A1572" s="102" t="s">
        <v>2067</v>
      </c>
      <c r="B1572" s="2">
        <v>45342</v>
      </c>
      <c r="C1572" s="1" t="s">
        <v>418</v>
      </c>
      <c r="D1572" s="1" t="s">
        <v>138</v>
      </c>
      <c r="E1572" s="1" t="s">
        <v>158</v>
      </c>
      <c r="F1572" s="83">
        <v>2</v>
      </c>
      <c r="G1572" s="92">
        <v>2600</v>
      </c>
      <c r="H1572" s="3">
        <v>27</v>
      </c>
      <c r="I1572" s="3">
        <v>3796</v>
      </c>
      <c r="J1572" s="1" t="s">
        <v>87</v>
      </c>
      <c r="K1572" s="1" t="s">
        <v>133</v>
      </c>
      <c r="L1572" t="str">
        <f>VLOOKUP(D1572, Products!A:C, 3, FALSE)</f>
        <v>Electronics</v>
      </c>
      <c r="M1572" t="str">
        <f>VLOOKUP(C1572, Customers!A:E, 5, FALSE)</f>
        <v>Retail</v>
      </c>
      <c r="N1572">
        <f>VLOOKUP(C1572, Customers!A:E, 3, FALSE)</f>
        <v>22</v>
      </c>
      <c r="O1572" s="93" t="str">
        <f>VLOOKUP(E1572, Sales_Reps!A:C, 3, FALSE)</f>
        <v>East</v>
      </c>
      <c r="P1572">
        <f>VLOOKUP(D1572, Products!A:E, 4, FALSE)</f>
        <v>1052</v>
      </c>
      <c r="Q1572">
        <f>IF(COUNTIF($A$2:A1572, A1572)=2, 1, 0)</f>
        <v>0</v>
      </c>
      <c r="R1572">
        <f>IF(ISNA(MATCH(C1572, Customers!$A:$A, 0)), 1, 0)</f>
        <v>0</v>
      </c>
      <c r="S1572" s="94" t="b">
        <f>VLOOKUP(D1572, Products!A:F, 6, FALSE)</f>
        <v>1</v>
      </c>
    </row>
    <row r="1573" spans="1:19">
      <c r="A1573" s="102" t="s">
        <v>2068</v>
      </c>
      <c r="B1573" s="2">
        <v>45304</v>
      </c>
      <c r="C1573" s="1" t="s">
        <v>983</v>
      </c>
      <c r="D1573" s="1" t="s">
        <v>187</v>
      </c>
      <c r="E1573" s="1" t="s">
        <v>116</v>
      </c>
      <c r="F1573" s="83">
        <v>4</v>
      </c>
      <c r="G1573" s="92">
        <v>3570</v>
      </c>
      <c r="H1573" s="3">
        <v>12.3</v>
      </c>
      <c r="I1573" s="3">
        <v>12523.56</v>
      </c>
      <c r="J1573" s="1" t="s">
        <v>87</v>
      </c>
      <c r="K1573" s="1" t="s">
        <v>117</v>
      </c>
      <c r="L1573" t="str">
        <f>VLOOKUP(D1573, Products!A:C, 3, FALSE)</f>
        <v>Electronics</v>
      </c>
      <c r="M1573" t="str">
        <f>VLOOKUP(C1573, Customers!A:E, 5, FALSE)</f>
        <v>SMB</v>
      </c>
      <c r="N1573">
        <f>VLOOKUP(C1573, Customers!A:E, 3, FALSE)</f>
        <v>36</v>
      </c>
      <c r="O1573" s="93" t="str">
        <f>VLOOKUP(E1573, Sales_Reps!A:C, 3, FALSE)</f>
        <v>West</v>
      </c>
      <c r="P1573">
        <f>VLOOKUP(D1573, Products!A:E, 4, FALSE)</f>
        <v>1665</v>
      </c>
      <c r="Q1573">
        <f>IF(COUNTIF($A$2:A1573, A1573)=2, 1, 0)</f>
        <v>0</v>
      </c>
      <c r="R1573">
        <f>IF(ISNA(MATCH(C1573, Customers!$A:$A, 0)), 1, 0)</f>
        <v>0</v>
      </c>
      <c r="S1573" s="94" t="b">
        <f>VLOOKUP(D1573, Products!A:F, 6, FALSE)</f>
        <v>1</v>
      </c>
    </row>
    <row r="1574" spans="1:19">
      <c r="A1574" s="102" t="s">
        <v>2069</v>
      </c>
      <c r="B1574" s="2">
        <v>45316</v>
      </c>
      <c r="C1574" s="1" t="s">
        <v>553</v>
      </c>
      <c r="D1574" s="1" t="s">
        <v>443</v>
      </c>
      <c r="E1574" s="1" t="s">
        <v>346</v>
      </c>
      <c r="F1574" s="83">
        <v>5</v>
      </c>
      <c r="G1574" s="92">
        <v>5080</v>
      </c>
      <c r="H1574" s="3">
        <v>1.3</v>
      </c>
      <c r="I1574" s="3">
        <v>25069.8</v>
      </c>
      <c r="J1574" s="1" t="s">
        <v>87</v>
      </c>
      <c r="K1574" s="1" t="s">
        <v>112</v>
      </c>
      <c r="L1574" t="str">
        <f>VLOOKUP(D1574, Products!A:C, 3, FALSE)</f>
        <v>Home</v>
      </c>
      <c r="M1574" t="str">
        <f>VLOOKUP(C1574, Customers!A:E, 5, FALSE)</f>
        <v>Retail</v>
      </c>
      <c r="N1574">
        <f>VLOOKUP(C1574, Customers!A:E, 3, FALSE)</f>
        <v>65</v>
      </c>
      <c r="O1574" s="93" t="str">
        <f>VLOOKUP(E1574, Sales_Reps!A:C, 3, FALSE)</f>
        <v>South</v>
      </c>
      <c r="P1574">
        <f>VLOOKUP(D1574, Products!A:E, 4, FALSE)</f>
        <v>2459</v>
      </c>
      <c r="Q1574">
        <f>IF(COUNTIF($A$2:A1574, A1574)=2, 1, 0)</f>
        <v>0</v>
      </c>
      <c r="R1574">
        <f>IF(ISNA(MATCH(C1574, Customers!$A:$A, 0)), 1, 0)</f>
        <v>0</v>
      </c>
      <c r="S1574" s="94" t="b">
        <f>VLOOKUP(D1574, Products!A:F, 6, FALSE)</f>
        <v>1</v>
      </c>
    </row>
    <row r="1575" spans="1:19">
      <c r="A1575" s="102" t="s">
        <v>2070</v>
      </c>
      <c r="B1575" s="2">
        <v>45340</v>
      </c>
      <c r="C1575" s="1" t="s">
        <v>970</v>
      </c>
      <c r="D1575" s="1" t="s">
        <v>380</v>
      </c>
      <c r="E1575" s="1" t="s">
        <v>346</v>
      </c>
      <c r="F1575" s="83">
        <v>5</v>
      </c>
      <c r="G1575" s="92">
        <v>960</v>
      </c>
      <c r="H1575" s="3">
        <v>25.2</v>
      </c>
      <c r="I1575" s="3">
        <v>3590.4</v>
      </c>
      <c r="J1575" s="1" t="s">
        <v>87</v>
      </c>
      <c r="K1575" s="1" t="s">
        <v>112</v>
      </c>
      <c r="L1575" t="str">
        <f>VLOOKUP(D1575, Products!A:C, 3, FALSE)</f>
        <v>Beauty</v>
      </c>
      <c r="M1575" t="str">
        <f>VLOOKUP(C1575, Customers!A:E, 5, FALSE)</f>
        <v>Retail</v>
      </c>
      <c r="N1575">
        <f>VLOOKUP(C1575, Customers!A:E, 3, FALSE)</f>
        <v>40</v>
      </c>
      <c r="O1575" s="93" t="str">
        <f>VLOOKUP(E1575, Sales_Reps!A:C, 3, FALSE)</f>
        <v>South</v>
      </c>
      <c r="P1575">
        <f>VLOOKUP(D1575, Products!A:E, 4, FALSE)</f>
        <v>675</v>
      </c>
      <c r="Q1575">
        <f>IF(COUNTIF($A$2:A1575, A1575)=2, 1, 0)</f>
        <v>0</v>
      </c>
      <c r="R1575">
        <f>IF(ISNA(MATCH(C1575, Customers!$A:$A, 0)), 1, 0)</f>
        <v>0</v>
      </c>
      <c r="S1575" s="94" t="b">
        <f>VLOOKUP(D1575, Products!A:F, 6, FALSE)</f>
        <v>1</v>
      </c>
    </row>
    <row r="1576" spans="1:19">
      <c r="A1576" s="102" t="s">
        <v>2071</v>
      </c>
      <c r="B1576" s="2">
        <v>45604</v>
      </c>
      <c r="C1576" s="1" t="s">
        <v>878</v>
      </c>
      <c r="D1576" s="1" t="s">
        <v>97</v>
      </c>
      <c r="E1576" s="1" t="s">
        <v>132</v>
      </c>
      <c r="F1576" s="83">
        <v>7</v>
      </c>
      <c r="G1576" s="92">
        <v>470</v>
      </c>
      <c r="H1576" s="3">
        <v>21.6</v>
      </c>
      <c r="I1576" s="3">
        <v>2579.36</v>
      </c>
      <c r="J1576" s="1" t="s">
        <v>87</v>
      </c>
      <c r="K1576" s="1" t="s">
        <v>112</v>
      </c>
      <c r="L1576" t="str">
        <f>VLOOKUP(D1576, Products!A:C, 3, FALSE)</f>
        <v>Sports</v>
      </c>
      <c r="M1576" t="str">
        <f>VLOOKUP(C1576, Customers!A:E, 5, FALSE)</f>
        <v>Corporate</v>
      </c>
      <c r="N1576">
        <f>VLOOKUP(C1576, Customers!A:E, 3, FALSE)</f>
        <v>62</v>
      </c>
      <c r="O1576" s="93" t="str">
        <f>VLOOKUP(E1576, Sales_Reps!A:C, 3, FALSE)</f>
        <v>South</v>
      </c>
      <c r="P1576">
        <f>VLOOKUP(D1576, Products!A:E, 4, FALSE)</f>
        <v>302</v>
      </c>
      <c r="Q1576">
        <f>IF(COUNTIF($A$2:A1576, A1576)=2, 1, 0)</f>
        <v>0</v>
      </c>
      <c r="R1576">
        <f>IF(ISNA(MATCH(C1576, Customers!$A:$A, 0)), 1, 0)</f>
        <v>0</v>
      </c>
      <c r="S1576" s="94" t="b">
        <f>VLOOKUP(D1576, Products!A:F, 6, FALSE)</f>
        <v>0</v>
      </c>
    </row>
    <row r="1577" spans="1:19">
      <c r="A1577" s="102" t="s">
        <v>2072</v>
      </c>
      <c r="B1577" s="2">
        <v>45625</v>
      </c>
      <c r="C1577" s="1" t="s">
        <v>705</v>
      </c>
      <c r="D1577" s="1" t="s">
        <v>267</v>
      </c>
      <c r="E1577" s="1" t="s">
        <v>343</v>
      </c>
      <c r="F1577" s="83">
        <v>4</v>
      </c>
      <c r="G1577" s="92">
        <v>1220</v>
      </c>
      <c r="H1577" s="3">
        <v>12.6</v>
      </c>
      <c r="I1577" s="3">
        <v>4265.12</v>
      </c>
      <c r="J1577" s="1" t="s">
        <v>87</v>
      </c>
      <c r="K1577" s="1" t="s">
        <v>99</v>
      </c>
      <c r="L1577" t="str">
        <f>VLOOKUP(D1577, Products!A:C, 3, FALSE)</f>
        <v>Electronics</v>
      </c>
      <c r="M1577" t="str">
        <f>VLOOKUP(C1577, Customers!A:E, 5, FALSE)</f>
        <v>Retail</v>
      </c>
      <c r="N1577">
        <f>VLOOKUP(C1577, Customers!A:E, 3, FALSE)</f>
        <v>53</v>
      </c>
      <c r="O1577" s="93" t="str">
        <f>VLOOKUP(E1577, Sales_Reps!A:C, 3, FALSE)</f>
        <v>West</v>
      </c>
      <c r="P1577">
        <f>VLOOKUP(D1577, Products!A:E, 4, FALSE)</f>
        <v>517</v>
      </c>
      <c r="Q1577">
        <f>IF(COUNTIF($A$2:A1577, A1577)=2, 1, 0)</f>
        <v>0</v>
      </c>
      <c r="R1577">
        <f>IF(ISNA(MATCH(C1577, Customers!$A:$A, 0)), 1, 0)</f>
        <v>0</v>
      </c>
      <c r="S1577" s="94" t="b">
        <f>VLOOKUP(D1577, Products!A:F, 6, FALSE)</f>
        <v>1</v>
      </c>
    </row>
    <row r="1578" spans="1:19">
      <c r="A1578" s="102" t="s">
        <v>2073</v>
      </c>
      <c r="B1578" s="2">
        <v>45293</v>
      </c>
      <c r="C1578" s="1" t="s">
        <v>613</v>
      </c>
      <c r="D1578" s="1" t="s">
        <v>182</v>
      </c>
      <c r="E1578" s="1" t="s">
        <v>107</v>
      </c>
      <c r="F1578" s="83">
        <v>4</v>
      </c>
      <c r="G1578" s="92">
        <v>1010</v>
      </c>
      <c r="H1578" s="3">
        <v>11.3</v>
      </c>
      <c r="I1578" s="3">
        <v>3583.48</v>
      </c>
      <c r="J1578" s="1" t="s">
        <v>87</v>
      </c>
      <c r="K1578" s="1" t="s">
        <v>112</v>
      </c>
      <c r="L1578" t="str">
        <f>VLOOKUP(D1578, Products!A:C, 3, FALSE)</f>
        <v>Sports</v>
      </c>
      <c r="M1578" t="str">
        <f>VLOOKUP(C1578, Customers!A:E, 5, FALSE)</f>
        <v>Retail</v>
      </c>
      <c r="N1578">
        <f>VLOOKUP(C1578, Customers!A:E, 3, FALSE)</f>
        <v>44</v>
      </c>
      <c r="O1578" s="93" t="str">
        <f>VLOOKUP(E1578, Sales_Reps!A:C, 3, FALSE)</f>
        <v>North</v>
      </c>
      <c r="P1578">
        <f>VLOOKUP(D1578, Products!A:E, 4, FALSE)</f>
        <v>516</v>
      </c>
      <c r="Q1578">
        <f>IF(COUNTIF($A$2:A1578, A1578)=2, 1, 0)</f>
        <v>0</v>
      </c>
      <c r="R1578">
        <f>IF(ISNA(MATCH(C1578, Customers!$A:$A, 0)), 1, 0)</f>
        <v>0</v>
      </c>
      <c r="S1578" s="94" t="b">
        <f>VLOOKUP(D1578, Products!A:F, 6, FALSE)</f>
        <v>1</v>
      </c>
    </row>
    <row r="1579" spans="1:19">
      <c r="A1579" s="102" t="s">
        <v>2074</v>
      </c>
      <c r="B1579" s="2">
        <v>45454</v>
      </c>
      <c r="C1579" s="1" t="s">
        <v>333</v>
      </c>
      <c r="D1579" s="1" t="s">
        <v>102</v>
      </c>
      <c r="E1579" s="1" t="s">
        <v>92</v>
      </c>
      <c r="F1579" s="83">
        <v>4</v>
      </c>
      <c r="G1579" s="92">
        <v>3660</v>
      </c>
      <c r="H1579" s="3">
        <v>7.2</v>
      </c>
      <c r="I1579" s="3">
        <v>13585.92</v>
      </c>
      <c r="J1579" s="1" t="s">
        <v>87</v>
      </c>
      <c r="K1579" s="1" t="s">
        <v>133</v>
      </c>
      <c r="L1579" t="str">
        <f>VLOOKUP(D1579, Products!A:C, 3, FALSE)</f>
        <v>Grocery</v>
      </c>
      <c r="M1579" t="str">
        <f>VLOOKUP(C1579, Customers!A:E, 5, FALSE)</f>
        <v>SMB</v>
      </c>
      <c r="N1579">
        <f>VLOOKUP(C1579, Customers!A:E, 3, FALSE)</f>
        <v>65</v>
      </c>
      <c r="O1579" s="93" t="str">
        <f>VLOOKUP(E1579, Sales_Reps!A:C, 3, FALSE)</f>
        <v>North</v>
      </c>
      <c r="P1579">
        <f>VLOOKUP(D1579, Products!A:E, 4, FALSE)</f>
        <v>2214</v>
      </c>
      <c r="Q1579">
        <f>IF(COUNTIF($A$2:A1579, A1579)=2, 1, 0)</f>
        <v>0</v>
      </c>
      <c r="R1579">
        <f>IF(ISNA(MATCH(C1579, Customers!$A:$A, 0)), 1, 0)</f>
        <v>0</v>
      </c>
      <c r="S1579" s="94" t="b">
        <f>VLOOKUP(D1579, Products!A:F, 6, FALSE)</f>
        <v>0</v>
      </c>
    </row>
    <row r="1580" spans="1:19">
      <c r="A1580" s="102" t="s">
        <v>2075</v>
      </c>
      <c r="B1580" s="2">
        <v>45345</v>
      </c>
      <c r="C1580" s="1" t="s">
        <v>795</v>
      </c>
      <c r="D1580" s="1" t="s">
        <v>124</v>
      </c>
      <c r="E1580" s="1" t="s">
        <v>132</v>
      </c>
      <c r="F1580" s="83">
        <v>4</v>
      </c>
      <c r="G1580" s="92">
        <v>5490</v>
      </c>
      <c r="H1580" s="3">
        <v>8</v>
      </c>
      <c r="I1580" s="3">
        <v>20203.2</v>
      </c>
      <c r="J1580" s="1" t="s">
        <v>87</v>
      </c>
      <c r="K1580" s="1" t="s">
        <v>94</v>
      </c>
      <c r="L1580" t="str">
        <f>VLOOKUP(D1580, Products!A:C, 3, FALSE)</f>
        <v>Home</v>
      </c>
      <c r="M1580" t="str">
        <f>VLOOKUP(C1580, Customers!A:E, 5, FALSE)</f>
        <v>Retail</v>
      </c>
      <c r="N1580">
        <f>VLOOKUP(C1580, Customers!A:E, 3, FALSE)</f>
        <v>22</v>
      </c>
      <c r="O1580" s="93" t="str">
        <f>VLOOKUP(E1580, Sales_Reps!A:C, 3, FALSE)</f>
        <v>South</v>
      </c>
      <c r="P1580">
        <f>VLOOKUP(D1580, Products!A:E, 4, FALSE)</f>
        <v>2549</v>
      </c>
      <c r="Q1580">
        <f>IF(COUNTIF($A$2:A1580, A1580)=2, 1, 0)</f>
        <v>0</v>
      </c>
      <c r="R1580">
        <f>IF(ISNA(MATCH(C1580, Customers!$A:$A, 0)), 1, 0)</f>
        <v>0</v>
      </c>
      <c r="S1580" s="94" t="b">
        <f>VLOOKUP(D1580, Products!A:F, 6, FALSE)</f>
        <v>1</v>
      </c>
    </row>
    <row r="1581" spans="1:19">
      <c r="A1581" s="102" t="s">
        <v>2076</v>
      </c>
      <c r="B1581" s="2">
        <v>45645</v>
      </c>
      <c r="C1581" s="1" t="s">
        <v>427</v>
      </c>
      <c r="D1581" s="1" t="s">
        <v>245</v>
      </c>
      <c r="E1581" s="1" t="s">
        <v>148</v>
      </c>
      <c r="F1581" s="83">
        <v>6</v>
      </c>
      <c r="G1581" s="92">
        <v>2270</v>
      </c>
      <c r="H1581" s="3">
        <v>17.100000000000001</v>
      </c>
      <c r="I1581" s="3">
        <v>11290.98</v>
      </c>
      <c r="J1581" s="1" t="s">
        <v>87</v>
      </c>
      <c r="K1581" s="1" t="s">
        <v>88</v>
      </c>
      <c r="L1581" t="str">
        <f>VLOOKUP(D1581, Products!A:C, 3, FALSE)</f>
        <v>Grocery</v>
      </c>
      <c r="M1581" t="str">
        <f>VLOOKUP(C1581, Customers!A:E, 5, FALSE)</f>
        <v>Corporate</v>
      </c>
      <c r="N1581">
        <f>VLOOKUP(C1581, Customers!A:E, 3, FALSE)</f>
        <v>48</v>
      </c>
      <c r="O1581" s="93" t="str">
        <f>VLOOKUP(E1581, Sales_Reps!A:C, 3, FALSE)</f>
        <v>North</v>
      </c>
      <c r="P1581">
        <f>VLOOKUP(D1581, Products!A:E, 4, FALSE)</f>
        <v>1412</v>
      </c>
      <c r="Q1581">
        <f>IF(COUNTIF($A$2:A1581, A1581)=2, 1, 0)</f>
        <v>0</v>
      </c>
      <c r="R1581">
        <f>IF(ISNA(MATCH(C1581, Customers!$A:$A, 0)), 1, 0)</f>
        <v>0</v>
      </c>
      <c r="S1581" s="94" t="b">
        <f>VLOOKUP(D1581, Products!A:F, 6, FALSE)</f>
        <v>1</v>
      </c>
    </row>
    <row r="1582" spans="1:19">
      <c r="A1582" s="102" t="s">
        <v>2077</v>
      </c>
      <c r="B1582" s="2">
        <v>45588</v>
      </c>
      <c r="C1582" s="1" t="s">
        <v>281</v>
      </c>
      <c r="D1582" s="1" t="s">
        <v>245</v>
      </c>
      <c r="E1582" s="1" t="s">
        <v>188</v>
      </c>
      <c r="F1582" s="83">
        <v>8</v>
      </c>
      <c r="G1582" s="92">
        <v>2270</v>
      </c>
      <c r="H1582" s="3">
        <v>11.9</v>
      </c>
      <c r="I1582" s="3">
        <v>15998.96</v>
      </c>
      <c r="J1582" s="1" t="s">
        <v>93</v>
      </c>
      <c r="K1582" s="1" t="s">
        <v>88</v>
      </c>
      <c r="L1582" t="str">
        <f>VLOOKUP(D1582, Products!A:C, 3, FALSE)</f>
        <v>Grocery</v>
      </c>
      <c r="M1582" t="str">
        <f>VLOOKUP(C1582, Customers!A:E, 5, FALSE)</f>
        <v>Retail</v>
      </c>
      <c r="N1582">
        <f>VLOOKUP(C1582, Customers!A:E, 3, FALSE)</f>
        <v>25</v>
      </c>
      <c r="O1582" s="93" t="str">
        <f>VLOOKUP(E1582, Sales_Reps!A:C, 3, FALSE)</f>
        <v>South</v>
      </c>
      <c r="P1582">
        <f>VLOOKUP(D1582, Products!A:E, 4, FALSE)</f>
        <v>1412</v>
      </c>
      <c r="Q1582">
        <f>IF(COUNTIF($A$2:A1582, A1582)=2, 1, 0)</f>
        <v>0</v>
      </c>
      <c r="R1582">
        <f>IF(ISNA(MATCH(C1582, Customers!$A:$A, 0)), 1, 0)</f>
        <v>0</v>
      </c>
      <c r="S1582" s="94" t="b">
        <f>VLOOKUP(D1582, Products!A:F, 6, FALSE)</f>
        <v>1</v>
      </c>
    </row>
    <row r="1583" spans="1:19">
      <c r="A1583" s="102" t="s">
        <v>2078</v>
      </c>
      <c r="B1583" s="2">
        <v>45592</v>
      </c>
      <c r="C1583" s="1" t="s">
        <v>316</v>
      </c>
      <c r="D1583" s="1" t="s">
        <v>138</v>
      </c>
      <c r="E1583" s="1" t="s">
        <v>303</v>
      </c>
      <c r="F1583" s="83">
        <v>6</v>
      </c>
      <c r="G1583" s="92">
        <v>2600</v>
      </c>
      <c r="H1583" s="3">
        <v>5.0999999999999996</v>
      </c>
      <c r="I1583" s="3">
        <v>14804.4</v>
      </c>
      <c r="J1583" s="1" t="s">
        <v>87</v>
      </c>
      <c r="K1583" s="1" t="s">
        <v>88</v>
      </c>
      <c r="L1583" t="str">
        <f>VLOOKUP(D1583, Products!A:C, 3, FALSE)</f>
        <v>Electronics</v>
      </c>
      <c r="M1583" t="str">
        <f>VLOOKUP(C1583, Customers!A:E, 5, FALSE)</f>
        <v>SMB</v>
      </c>
      <c r="N1583">
        <f>VLOOKUP(C1583, Customers!A:E, 3, FALSE)</f>
        <v>60</v>
      </c>
      <c r="O1583" s="93" t="str">
        <f>VLOOKUP(E1583, Sales_Reps!A:C, 3, FALSE)</f>
        <v>East</v>
      </c>
      <c r="P1583">
        <f>VLOOKUP(D1583, Products!A:E, 4, FALSE)</f>
        <v>1052</v>
      </c>
      <c r="Q1583">
        <f>IF(COUNTIF($A$2:A1583, A1583)=2, 1, 0)</f>
        <v>0</v>
      </c>
      <c r="R1583">
        <f>IF(ISNA(MATCH(C1583, Customers!$A:$A, 0)), 1, 0)</f>
        <v>0</v>
      </c>
      <c r="S1583" s="94" t="b">
        <f>VLOOKUP(D1583, Products!A:F, 6, FALSE)</f>
        <v>1</v>
      </c>
    </row>
    <row r="1584" spans="1:19">
      <c r="A1584" s="102" t="s">
        <v>2079</v>
      </c>
      <c r="B1584" s="2">
        <v>45403</v>
      </c>
      <c r="C1584" s="1" t="s">
        <v>169</v>
      </c>
      <c r="D1584" s="1" t="s">
        <v>248</v>
      </c>
      <c r="E1584" s="1" t="s">
        <v>343</v>
      </c>
      <c r="F1584" s="83">
        <v>9</v>
      </c>
      <c r="G1584" s="92">
        <v>3870</v>
      </c>
      <c r="H1584" s="3">
        <v>1.8</v>
      </c>
      <c r="I1584" s="3">
        <v>34203.06</v>
      </c>
      <c r="J1584" s="1" t="s">
        <v>140</v>
      </c>
      <c r="K1584" s="1" t="s">
        <v>112</v>
      </c>
      <c r="L1584" t="str">
        <f>VLOOKUP(D1584, Products!A:C, 3, FALSE)</f>
        <v>Electronics</v>
      </c>
      <c r="M1584" t="str">
        <f>VLOOKUP(C1584, Customers!A:E, 5, FALSE)</f>
        <v>Retail</v>
      </c>
      <c r="N1584">
        <f>VLOOKUP(C1584, Customers!A:E, 3, FALSE)</f>
        <v>34</v>
      </c>
      <c r="O1584" s="93" t="str">
        <f>VLOOKUP(E1584, Sales_Reps!A:C, 3, FALSE)</f>
        <v>West</v>
      </c>
      <c r="P1584">
        <f>VLOOKUP(D1584, Products!A:E, 4, FALSE)</f>
        <v>1559</v>
      </c>
      <c r="Q1584">
        <f>IF(COUNTIF($A$2:A1584, A1584)=2, 1, 0)</f>
        <v>0</v>
      </c>
      <c r="R1584">
        <f>IF(ISNA(MATCH(C1584, Customers!$A:$A, 0)), 1, 0)</f>
        <v>0</v>
      </c>
      <c r="S1584" s="94" t="b">
        <f>VLOOKUP(D1584, Products!A:F, 6, FALSE)</f>
        <v>1</v>
      </c>
    </row>
    <row r="1585" spans="1:19">
      <c r="A1585" s="102" t="s">
        <v>2080</v>
      </c>
      <c r="B1585" s="2">
        <v>45459</v>
      </c>
      <c r="C1585" s="1" t="s">
        <v>407</v>
      </c>
      <c r="D1585" s="1" t="s">
        <v>408</v>
      </c>
      <c r="E1585" s="1" t="s">
        <v>103</v>
      </c>
      <c r="F1585" s="83">
        <v>3</v>
      </c>
      <c r="G1585" s="92">
        <v>3970</v>
      </c>
      <c r="H1585" s="3">
        <v>8.1999999999999993</v>
      </c>
      <c r="I1585" s="3">
        <v>10933.38</v>
      </c>
      <c r="J1585" s="1" t="s">
        <v>87</v>
      </c>
      <c r="K1585" s="1" t="s">
        <v>88</v>
      </c>
      <c r="L1585" t="str">
        <f>VLOOKUP(D1585, Products!A:C, 3, FALSE)</f>
        <v>Electronics</v>
      </c>
      <c r="M1585" t="str">
        <f>VLOOKUP(C1585, Customers!A:E, 5, FALSE)</f>
        <v>SMB</v>
      </c>
      <c r="N1585">
        <f>VLOOKUP(C1585, Customers!A:E, 3, FALSE)</f>
        <v>53</v>
      </c>
      <c r="O1585" s="93" t="str">
        <f>VLOOKUP(E1585, Sales_Reps!A:C, 3, FALSE)</f>
        <v>North</v>
      </c>
      <c r="P1585">
        <f>VLOOKUP(D1585, Products!A:E, 4, FALSE)</f>
        <v>2865</v>
      </c>
      <c r="Q1585">
        <f>IF(COUNTIF($A$2:A1585, A1585)=2, 1, 0)</f>
        <v>0</v>
      </c>
      <c r="R1585">
        <f>IF(ISNA(MATCH(C1585, Customers!$A:$A, 0)), 1, 0)</f>
        <v>0</v>
      </c>
      <c r="S1585" s="94" t="b">
        <f>VLOOKUP(D1585, Products!A:F, 6, FALSE)</f>
        <v>1</v>
      </c>
    </row>
    <row r="1586" spans="1:19">
      <c r="A1586" s="102" t="s">
        <v>2081</v>
      </c>
      <c r="B1586" s="2">
        <v>45438</v>
      </c>
      <c r="C1586" s="1" t="s">
        <v>284</v>
      </c>
      <c r="D1586" s="1" t="s">
        <v>380</v>
      </c>
      <c r="E1586" s="1" t="s">
        <v>128</v>
      </c>
      <c r="F1586" s="83">
        <v>9</v>
      </c>
      <c r="G1586" s="92">
        <v>960</v>
      </c>
      <c r="H1586" s="3">
        <v>21.7</v>
      </c>
      <c r="I1586" s="3">
        <v>6765.12</v>
      </c>
      <c r="J1586" s="1" t="s">
        <v>140</v>
      </c>
      <c r="K1586" s="1" t="s">
        <v>94</v>
      </c>
      <c r="L1586" t="str">
        <f>VLOOKUP(D1586, Products!A:C, 3, FALSE)</f>
        <v>Beauty</v>
      </c>
      <c r="M1586" t="str">
        <f>VLOOKUP(C1586, Customers!A:E, 5, FALSE)</f>
        <v>Retail</v>
      </c>
      <c r="N1586">
        <f>VLOOKUP(C1586, Customers!A:E, 3, FALSE)</f>
        <v>28</v>
      </c>
      <c r="O1586" s="93" t="str">
        <f>VLOOKUP(E1586, Sales_Reps!A:C, 3, FALSE)</f>
        <v>West</v>
      </c>
      <c r="P1586">
        <f>VLOOKUP(D1586, Products!A:E, 4, FALSE)</f>
        <v>675</v>
      </c>
      <c r="Q1586">
        <f>IF(COUNTIF($A$2:A1586, A1586)=2, 1, 0)</f>
        <v>0</v>
      </c>
      <c r="R1586">
        <f>IF(ISNA(MATCH(C1586, Customers!$A:$A, 0)), 1, 0)</f>
        <v>0</v>
      </c>
      <c r="S1586" s="94" t="b">
        <f>VLOOKUP(D1586, Products!A:F, 6, FALSE)</f>
        <v>1</v>
      </c>
    </row>
    <row r="1587" spans="1:19">
      <c r="A1587" s="102" t="s">
        <v>2082</v>
      </c>
      <c r="B1587" s="2">
        <v>45632</v>
      </c>
      <c r="C1587" s="1" t="s">
        <v>797</v>
      </c>
      <c r="D1587" s="1" t="s">
        <v>360</v>
      </c>
      <c r="E1587" s="1" t="s">
        <v>111</v>
      </c>
      <c r="F1587" s="83">
        <v>3</v>
      </c>
      <c r="G1587" s="92">
        <v>5410</v>
      </c>
      <c r="H1587" s="3">
        <v>20.3</v>
      </c>
      <c r="I1587" s="3">
        <v>12935.31</v>
      </c>
      <c r="J1587" s="1" t="s">
        <v>87</v>
      </c>
      <c r="K1587" s="1" t="s">
        <v>99</v>
      </c>
      <c r="L1587" t="str">
        <f>VLOOKUP(D1587, Products!A:C, 3, FALSE)</f>
        <v>Sports</v>
      </c>
      <c r="M1587" t="str">
        <f>VLOOKUP(C1587, Customers!A:E, 5, FALSE)</f>
        <v>Retail</v>
      </c>
      <c r="N1587">
        <f>VLOOKUP(C1587, Customers!A:E, 3, FALSE)</f>
        <v>63</v>
      </c>
      <c r="O1587" s="93" t="str">
        <f>VLOOKUP(E1587, Sales_Reps!A:C, 3, FALSE)</f>
        <v>West</v>
      </c>
      <c r="P1587">
        <f>VLOOKUP(D1587, Products!A:E, 4, FALSE)</f>
        <v>2265</v>
      </c>
      <c r="Q1587">
        <f>IF(COUNTIF($A$2:A1587, A1587)=2, 1, 0)</f>
        <v>0</v>
      </c>
      <c r="R1587">
        <f>IF(ISNA(MATCH(C1587, Customers!$A:$A, 0)), 1, 0)</f>
        <v>0</v>
      </c>
      <c r="S1587" s="94" t="b">
        <f>VLOOKUP(D1587, Products!A:F, 6, FALSE)</f>
        <v>1</v>
      </c>
    </row>
    <row r="1588" spans="1:19">
      <c r="A1588" s="102" t="s">
        <v>2083</v>
      </c>
      <c r="B1588" s="2">
        <v>45579</v>
      </c>
      <c r="C1588" s="1" t="s">
        <v>886</v>
      </c>
      <c r="D1588" s="1" t="s">
        <v>452</v>
      </c>
      <c r="E1588" s="1" t="s">
        <v>92</v>
      </c>
      <c r="F1588" s="83">
        <v>3</v>
      </c>
      <c r="G1588" s="92">
        <v>3450</v>
      </c>
      <c r="H1588" s="3">
        <v>11.6</v>
      </c>
      <c r="I1588" s="3">
        <v>9149.4</v>
      </c>
      <c r="J1588" s="1" t="s">
        <v>87</v>
      </c>
      <c r="K1588" s="1" t="s">
        <v>94</v>
      </c>
      <c r="L1588" t="str">
        <f>VLOOKUP(D1588, Products!A:C, 3, FALSE)</f>
        <v>Apparel</v>
      </c>
      <c r="M1588" t="str">
        <f>VLOOKUP(C1588, Customers!A:E, 5, FALSE)</f>
        <v>Corporate</v>
      </c>
      <c r="N1588">
        <f>VLOOKUP(C1588, Customers!A:E, 3, FALSE)</f>
        <v>44</v>
      </c>
      <c r="O1588" s="93" t="str">
        <f>VLOOKUP(E1588, Sales_Reps!A:C, 3, FALSE)</f>
        <v>North</v>
      </c>
      <c r="P1588">
        <f>VLOOKUP(D1588, Products!A:E, 4, FALSE)</f>
        <v>1748</v>
      </c>
      <c r="Q1588">
        <f>IF(COUNTIF($A$2:A1588, A1588)=2, 1, 0)</f>
        <v>0</v>
      </c>
      <c r="R1588">
        <f>IF(ISNA(MATCH(C1588, Customers!$A:$A, 0)), 1, 0)</f>
        <v>0</v>
      </c>
      <c r="S1588" s="94" t="b">
        <f>VLOOKUP(D1588, Products!A:F, 6, FALSE)</f>
        <v>1</v>
      </c>
    </row>
    <row r="1589" spans="1:19">
      <c r="A1589" s="102" t="s">
        <v>2084</v>
      </c>
      <c r="B1589" s="2">
        <v>45392</v>
      </c>
      <c r="C1589" s="1" t="s">
        <v>223</v>
      </c>
      <c r="D1589" s="1" t="s">
        <v>276</v>
      </c>
      <c r="E1589" s="1" t="s">
        <v>107</v>
      </c>
      <c r="F1589" s="83">
        <v>2</v>
      </c>
      <c r="G1589" s="92">
        <v>3020</v>
      </c>
      <c r="H1589" s="3">
        <v>20.8</v>
      </c>
      <c r="I1589" s="3">
        <v>4783.68</v>
      </c>
      <c r="J1589" s="1" t="s">
        <v>93</v>
      </c>
      <c r="K1589" s="1" t="s">
        <v>99</v>
      </c>
      <c r="L1589" t="str">
        <f>VLOOKUP(D1589, Products!A:C, 3, FALSE)</f>
        <v>Beauty</v>
      </c>
      <c r="M1589" t="str">
        <f>VLOOKUP(C1589, Customers!A:E, 5, FALSE)</f>
        <v>Retail</v>
      </c>
      <c r="N1589">
        <f>VLOOKUP(C1589, Customers!A:E, 3, FALSE)</f>
        <v>53</v>
      </c>
      <c r="O1589" s="93" t="str">
        <f>VLOOKUP(E1589, Sales_Reps!A:C, 3, FALSE)</f>
        <v>North</v>
      </c>
      <c r="P1589">
        <f>VLOOKUP(D1589, Products!A:E, 4, FALSE)</f>
        <v>1626</v>
      </c>
      <c r="Q1589">
        <f>IF(COUNTIF($A$2:A1589, A1589)=2, 1, 0)</f>
        <v>0</v>
      </c>
      <c r="R1589">
        <f>IF(ISNA(MATCH(C1589, Customers!$A:$A, 0)), 1, 0)</f>
        <v>0</v>
      </c>
      <c r="S1589" s="94" t="b">
        <f>VLOOKUP(D1589, Products!A:F, 6, FALSE)</f>
        <v>1</v>
      </c>
    </row>
    <row r="1590" spans="1:19">
      <c r="A1590" s="102" t="s">
        <v>2085</v>
      </c>
      <c r="B1590" s="2">
        <v>45563</v>
      </c>
      <c r="C1590" s="1" t="s">
        <v>1062</v>
      </c>
      <c r="D1590" s="1" t="s">
        <v>147</v>
      </c>
      <c r="E1590" s="1" t="s">
        <v>297</v>
      </c>
      <c r="F1590" s="83">
        <v>3</v>
      </c>
      <c r="G1590" s="92">
        <v>190</v>
      </c>
      <c r="H1590" s="3">
        <v>10.7</v>
      </c>
      <c r="I1590" s="3">
        <v>509.01</v>
      </c>
      <c r="J1590" s="1" t="s">
        <v>87</v>
      </c>
      <c r="K1590" s="1" t="s">
        <v>112</v>
      </c>
      <c r="L1590" t="str">
        <f>VLOOKUP(D1590, Products!A:C, 3, FALSE)</f>
        <v>Sports</v>
      </c>
      <c r="M1590" t="str">
        <f>VLOOKUP(C1590, Customers!A:E, 5, FALSE)</f>
        <v>SMB</v>
      </c>
      <c r="N1590">
        <f>VLOOKUP(C1590, Customers!A:E, 3, FALSE)</f>
        <v>54</v>
      </c>
      <c r="O1590" s="93" t="str">
        <f>VLOOKUP(E1590, Sales_Reps!A:C, 3, FALSE)</f>
        <v>North</v>
      </c>
      <c r="P1590">
        <f>VLOOKUP(D1590, Products!A:E, 4, FALSE)</f>
        <v>147</v>
      </c>
      <c r="Q1590">
        <f>IF(COUNTIF($A$2:A1590, A1590)=2, 1, 0)</f>
        <v>0</v>
      </c>
      <c r="R1590">
        <f>IF(ISNA(MATCH(C1590, Customers!$A:$A, 0)), 1, 0)</f>
        <v>0</v>
      </c>
      <c r="S1590" s="94" t="b">
        <f>VLOOKUP(D1590, Products!A:F, 6, FALSE)</f>
        <v>1</v>
      </c>
    </row>
    <row r="1591" spans="1:19">
      <c r="A1591" s="102" t="s">
        <v>2086</v>
      </c>
      <c r="B1591" s="2">
        <v>45294</v>
      </c>
      <c r="C1591" s="1" t="s">
        <v>194</v>
      </c>
      <c r="D1591" s="1" t="s">
        <v>226</v>
      </c>
      <c r="E1591" s="1" t="s">
        <v>325</v>
      </c>
      <c r="F1591" s="83">
        <v>4</v>
      </c>
      <c r="G1591" s="92">
        <v>3730</v>
      </c>
      <c r="H1591" s="3">
        <v>6.9</v>
      </c>
      <c r="I1591" s="3">
        <v>13890.52</v>
      </c>
      <c r="J1591" s="1" t="s">
        <v>87</v>
      </c>
      <c r="K1591" s="1" t="s">
        <v>88</v>
      </c>
      <c r="L1591" t="str">
        <f>VLOOKUP(D1591, Products!A:C, 3, FALSE)</f>
        <v>Home</v>
      </c>
      <c r="M1591" t="str">
        <f>VLOOKUP(C1591, Customers!A:E, 5, FALSE)</f>
        <v>SMB</v>
      </c>
      <c r="N1591">
        <f>VLOOKUP(C1591, Customers!A:E, 3, FALSE)</f>
        <v>44</v>
      </c>
      <c r="O1591" s="93" t="str">
        <f>VLOOKUP(E1591, Sales_Reps!A:C, 3, FALSE)</f>
        <v>South</v>
      </c>
      <c r="P1591">
        <f>VLOOKUP(D1591, Products!A:E, 4, FALSE)</f>
        <v>2135</v>
      </c>
      <c r="Q1591">
        <f>IF(COUNTIF($A$2:A1591, A1591)=2, 1, 0)</f>
        <v>0</v>
      </c>
      <c r="R1591">
        <f>IF(ISNA(MATCH(C1591, Customers!$A:$A, 0)), 1, 0)</f>
        <v>0</v>
      </c>
      <c r="S1591" s="94" t="b">
        <f>VLOOKUP(D1591, Products!A:F, 6, FALSE)</f>
        <v>1</v>
      </c>
    </row>
    <row r="1592" spans="1:19">
      <c r="A1592" s="102" t="s">
        <v>2087</v>
      </c>
      <c r="B1592" s="2">
        <v>45503</v>
      </c>
      <c r="C1592" s="1" t="s">
        <v>1027</v>
      </c>
      <c r="D1592" s="1" t="s">
        <v>161</v>
      </c>
      <c r="E1592" s="1" t="s">
        <v>111</v>
      </c>
      <c r="F1592" s="83">
        <v>9</v>
      </c>
      <c r="G1592" s="92">
        <v>3450</v>
      </c>
      <c r="H1592" s="3">
        <v>22.2</v>
      </c>
      <c r="I1592" s="3">
        <v>24156.9</v>
      </c>
      <c r="J1592" s="1" t="s">
        <v>140</v>
      </c>
      <c r="K1592" s="1" t="s">
        <v>112</v>
      </c>
      <c r="L1592" t="str">
        <f>VLOOKUP(D1592, Products!A:C, 3, FALSE)</f>
        <v>Sports</v>
      </c>
      <c r="M1592" t="str">
        <f>VLOOKUP(C1592, Customers!A:E, 5, FALSE)</f>
        <v>SMB</v>
      </c>
      <c r="N1592">
        <f>VLOOKUP(C1592, Customers!A:E, 3, FALSE)</f>
        <v>47</v>
      </c>
      <c r="O1592" s="93" t="str">
        <f>VLOOKUP(E1592, Sales_Reps!A:C, 3, FALSE)</f>
        <v>West</v>
      </c>
      <c r="P1592">
        <f>VLOOKUP(D1592, Products!A:E, 4, FALSE)</f>
        <v>2467</v>
      </c>
      <c r="Q1592">
        <f>IF(COUNTIF($A$2:A1592, A1592)=2, 1, 0)</f>
        <v>0</v>
      </c>
      <c r="R1592">
        <f>IF(ISNA(MATCH(C1592, Customers!$A:$A, 0)), 1, 0)</f>
        <v>0</v>
      </c>
      <c r="S1592" s="94" t="b">
        <f>VLOOKUP(D1592, Products!A:F, 6, FALSE)</f>
        <v>1</v>
      </c>
    </row>
    <row r="1593" spans="1:19">
      <c r="A1593" s="102" t="s">
        <v>2088</v>
      </c>
      <c r="B1593" s="2">
        <v>45336</v>
      </c>
      <c r="C1593" s="1" t="s">
        <v>504</v>
      </c>
      <c r="D1593" s="1" t="s">
        <v>408</v>
      </c>
      <c r="E1593" s="1" t="s">
        <v>297</v>
      </c>
      <c r="F1593" s="83">
        <v>3</v>
      </c>
      <c r="G1593" s="92">
        <v>3970</v>
      </c>
      <c r="H1593" s="3">
        <v>6.8</v>
      </c>
      <c r="I1593" s="3">
        <v>11100.12</v>
      </c>
      <c r="J1593" s="1" t="s">
        <v>87</v>
      </c>
      <c r="K1593" s="1" t="s">
        <v>117</v>
      </c>
      <c r="L1593" t="str">
        <f>VLOOKUP(D1593, Products!A:C, 3, FALSE)</f>
        <v>Electronics</v>
      </c>
      <c r="M1593" t="str">
        <f>VLOOKUP(C1593, Customers!A:E, 5, FALSE)</f>
        <v>Corporate</v>
      </c>
      <c r="N1593">
        <f>VLOOKUP(C1593, Customers!A:E, 3, FALSE)</f>
        <v>36</v>
      </c>
      <c r="O1593" s="93" t="str">
        <f>VLOOKUP(E1593, Sales_Reps!A:C, 3, FALSE)</f>
        <v>North</v>
      </c>
      <c r="P1593">
        <f>VLOOKUP(D1593, Products!A:E, 4, FALSE)</f>
        <v>2865</v>
      </c>
      <c r="Q1593">
        <f>IF(COUNTIF($A$2:A1593, A1593)=2, 1, 0)</f>
        <v>0</v>
      </c>
      <c r="R1593">
        <f>IF(ISNA(MATCH(C1593, Customers!$A:$A, 0)), 1, 0)</f>
        <v>0</v>
      </c>
      <c r="S1593" s="94" t="b">
        <f>VLOOKUP(D1593, Products!A:F, 6, FALSE)</f>
        <v>1</v>
      </c>
    </row>
    <row r="1594" spans="1:19">
      <c r="A1594" s="102" t="s">
        <v>2089</v>
      </c>
      <c r="B1594" s="2">
        <v>45462</v>
      </c>
      <c r="C1594" s="1" t="s">
        <v>606</v>
      </c>
      <c r="D1594" s="1" t="s">
        <v>502</v>
      </c>
      <c r="E1594" s="1" t="s">
        <v>285</v>
      </c>
      <c r="F1594" s="83">
        <v>3</v>
      </c>
      <c r="G1594" s="92">
        <v>1090</v>
      </c>
      <c r="H1594" s="3">
        <v>23.7</v>
      </c>
      <c r="I1594" s="3">
        <v>2495.0100000000002</v>
      </c>
      <c r="J1594" s="1" t="s">
        <v>87</v>
      </c>
      <c r="K1594" s="1" t="s">
        <v>112</v>
      </c>
      <c r="L1594" t="str">
        <f>VLOOKUP(D1594, Products!A:C, 3, FALSE)</f>
        <v>Home</v>
      </c>
      <c r="M1594" t="str">
        <f>VLOOKUP(C1594, Customers!A:E, 5, FALSE)</f>
        <v>Retail</v>
      </c>
      <c r="N1594">
        <f>VLOOKUP(C1594, Customers!A:E, 3, FALSE)</f>
        <v>52</v>
      </c>
      <c r="O1594" s="93" t="str">
        <f>VLOOKUP(E1594, Sales_Reps!A:C, 3, FALSE)</f>
        <v>East</v>
      </c>
      <c r="P1594">
        <f>VLOOKUP(D1594, Products!A:E, 4, FALSE)</f>
        <v>464</v>
      </c>
      <c r="Q1594">
        <f>IF(COUNTIF($A$2:A1594, A1594)=2, 1, 0)</f>
        <v>0</v>
      </c>
      <c r="R1594">
        <f>IF(ISNA(MATCH(C1594, Customers!$A:$A, 0)), 1, 0)</f>
        <v>0</v>
      </c>
      <c r="S1594" s="94" t="b">
        <f>VLOOKUP(D1594, Products!A:F, 6, FALSE)</f>
        <v>1</v>
      </c>
    </row>
    <row r="1595" spans="1:19">
      <c r="A1595" s="102" t="s">
        <v>2090</v>
      </c>
      <c r="B1595" s="2">
        <v>45300</v>
      </c>
      <c r="C1595" s="1" t="s">
        <v>479</v>
      </c>
      <c r="D1595" s="1" t="s">
        <v>295</v>
      </c>
      <c r="E1595" s="1" t="s">
        <v>154</v>
      </c>
      <c r="F1595" s="83">
        <v>3</v>
      </c>
      <c r="G1595" s="92">
        <v>2030</v>
      </c>
      <c r="H1595" s="3">
        <v>18.8</v>
      </c>
      <c r="I1595" s="3">
        <v>4945.08</v>
      </c>
      <c r="J1595" s="1" t="s">
        <v>87</v>
      </c>
      <c r="K1595" s="1" t="s">
        <v>88</v>
      </c>
      <c r="L1595" t="str">
        <f>VLOOKUP(D1595, Products!A:C, 3, FALSE)</f>
        <v>Home</v>
      </c>
      <c r="M1595" t="str">
        <f>VLOOKUP(C1595, Customers!A:E, 5, FALSE)</f>
        <v>SMB</v>
      </c>
      <c r="N1595">
        <f>VLOOKUP(C1595, Customers!A:E, 3, FALSE)</f>
        <v>49</v>
      </c>
      <c r="O1595" s="93" t="str">
        <f>VLOOKUP(E1595, Sales_Reps!A:C, 3, FALSE)</f>
        <v>East</v>
      </c>
      <c r="P1595">
        <f>VLOOKUP(D1595, Products!A:E, 4, FALSE)</f>
        <v>1143</v>
      </c>
      <c r="Q1595">
        <f>IF(COUNTIF($A$2:A1595, A1595)=2, 1, 0)</f>
        <v>0</v>
      </c>
      <c r="R1595">
        <f>IF(ISNA(MATCH(C1595, Customers!$A:$A, 0)), 1, 0)</f>
        <v>0</v>
      </c>
      <c r="S1595" s="94" t="b">
        <f>VLOOKUP(D1595, Products!A:F, 6, FALSE)</f>
        <v>1</v>
      </c>
    </row>
    <row r="1596" spans="1:19">
      <c r="A1596" s="102" t="s">
        <v>2091</v>
      </c>
      <c r="B1596" s="2">
        <v>45367</v>
      </c>
      <c r="C1596" s="1" t="s">
        <v>621</v>
      </c>
      <c r="D1596" s="1" t="s">
        <v>264</v>
      </c>
      <c r="E1596" s="1" t="s">
        <v>107</v>
      </c>
      <c r="F1596" s="83">
        <v>2</v>
      </c>
      <c r="G1596" s="92">
        <v>4070</v>
      </c>
      <c r="H1596" s="3">
        <v>14.3</v>
      </c>
      <c r="I1596" s="3">
        <v>6975.98</v>
      </c>
      <c r="J1596" s="1" t="s">
        <v>87</v>
      </c>
      <c r="K1596" s="1" t="s">
        <v>2092</v>
      </c>
      <c r="L1596" t="str">
        <f>VLOOKUP(D1596, Products!A:C, 3, FALSE)</f>
        <v>Grocery</v>
      </c>
      <c r="M1596" t="str">
        <f>VLOOKUP(C1596, Customers!A:E, 5, FALSE)</f>
        <v>Corporate</v>
      </c>
      <c r="N1596">
        <f>VLOOKUP(C1596, Customers!A:E, 3, FALSE)</f>
        <v>22</v>
      </c>
      <c r="O1596" s="93" t="str">
        <f>VLOOKUP(E1596, Sales_Reps!A:C, 3, FALSE)</f>
        <v>North</v>
      </c>
      <c r="P1596">
        <f>VLOOKUP(D1596, Products!A:E, 4, FALSE)</f>
        <v>2027</v>
      </c>
      <c r="Q1596">
        <f>IF(COUNTIF($A$2:A1596, A1596)=2, 1, 0)</f>
        <v>0</v>
      </c>
      <c r="R1596">
        <f>IF(ISNA(MATCH(C1596, Customers!$A:$A, 0)), 1, 0)</f>
        <v>0</v>
      </c>
      <c r="S1596" s="94" t="b">
        <f>VLOOKUP(D1596, Products!A:F, 6, FALSE)</f>
        <v>1</v>
      </c>
    </row>
    <row r="1597" spans="1:19">
      <c r="A1597" s="102" t="s">
        <v>2093</v>
      </c>
      <c r="B1597" s="2">
        <v>45410</v>
      </c>
      <c r="C1597" s="1" t="s">
        <v>1180</v>
      </c>
      <c r="D1597" s="1" t="s">
        <v>85</v>
      </c>
      <c r="E1597" s="1" t="s">
        <v>128</v>
      </c>
      <c r="F1597" s="83">
        <v>3</v>
      </c>
      <c r="G1597" s="92">
        <v>3620</v>
      </c>
      <c r="H1597" s="3">
        <v>13.5</v>
      </c>
      <c r="I1597" s="3">
        <v>9393.9</v>
      </c>
      <c r="J1597" s="1" t="s">
        <v>87</v>
      </c>
      <c r="K1597" s="1" t="s">
        <v>94</v>
      </c>
      <c r="L1597" t="str">
        <f>VLOOKUP(D1597, Products!A:C, 3, FALSE)</f>
        <v>Apparel</v>
      </c>
      <c r="M1597" t="str">
        <f>VLOOKUP(C1597, Customers!A:E, 5, FALSE)</f>
        <v>Corporate</v>
      </c>
      <c r="N1597">
        <f>VLOOKUP(C1597, Customers!A:E, 3, FALSE)</f>
        <v>49</v>
      </c>
      <c r="O1597" s="93" t="str">
        <f>VLOOKUP(E1597, Sales_Reps!A:C, 3, FALSE)</f>
        <v>West</v>
      </c>
      <c r="P1597">
        <f>VLOOKUP(D1597, Products!A:E, 4, FALSE)</f>
        <v>2509</v>
      </c>
      <c r="Q1597">
        <f>IF(COUNTIF($A$2:A1597, A1597)=2, 1, 0)</f>
        <v>0</v>
      </c>
      <c r="R1597">
        <f>IF(ISNA(MATCH(C1597, Customers!$A:$A, 0)), 1, 0)</f>
        <v>0</v>
      </c>
      <c r="S1597" s="94" t="b">
        <f>VLOOKUP(D1597, Products!A:F, 6, FALSE)</f>
        <v>1</v>
      </c>
    </row>
    <row r="1598" spans="1:19">
      <c r="A1598" s="102" t="s">
        <v>2094</v>
      </c>
      <c r="B1598" s="2">
        <v>45623</v>
      </c>
      <c r="C1598" s="1" t="s">
        <v>785</v>
      </c>
      <c r="D1598" s="1" t="s">
        <v>182</v>
      </c>
      <c r="E1598" s="1" t="s">
        <v>215</v>
      </c>
      <c r="F1598" s="83">
        <v>4</v>
      </c>
      <c r="G1598" s="92">
        <v>1010</v>
      </c>
      <c r="H1598" s="3">
        <v>3.3</v>
      </c>
      <c r="I1598" s="3">
        <v>3906.68</v>
      </c>
      <c r="J1598" s="1" t="s">
        <v>87</v>
      </c>
      <c r="K1598" s="1" t="s">
        <v>88</v>
      </c>
      <c r="L1598" t="str">
        <f>VLOOKUP(D1598, Products!A:C, 3, FALSE)</f>
        <v>Sports</v>
      </c>
      <c r="M1598" t="str">
        <f>VLOOKUP(C1598, Customers!A:E, 5, FALSE)</f>
        <v>Retail</v>
      </c>
      <c r="N1598">
        <f>VLOOKUP(C1598, Customers!A:E, 3, FALSE)</f>
        <v>31</v>
      </c>
      <c r="O1598" s="93" t="str">
        <f>VLOOKUP(E1598, Sales_Reps!A:C, 3, FALSE)</f>
        <v>North</v>
      </c>
      <c r="P1598">
        <f>VLOOKUP(D1598, Products!A:E, 4, FALSE)</f>
        <v>516</v>
      </c>
      <c r="Q1598">
        <f>IF(COUNTIF($A$2:A1598, A1598)=2, 1, 0)</f>
        <v>0</v>
      </c>
      <c r="R1598">
        <f>IF(ISNA(MATCH(C1598, Customers!$A:$A, 0)), 1, 0)</f>
        <v>0</v>
      </c>
      <c r="S1598" s="94" t="b">
        <f>VLOOKUP(D1598, Products!A:F, 6, FALSE)</f>
        <v>1</v>
      </c>
    </row>
    <row r="1599" spans="1:19">
      <c r="A1599" s="102" t="s">
        <v>2095</v>
      </c>
      <c r="B1599" s="2">
        <v>45491</v>
      </c>
      <c r="C1599" s="1" t="s">
        <v>357</v>
      </c>
      <c r="D1599" s="1" t="s">
        <v>127</v>
      </c>
      <c r="E1599" s="1" t="s">
        <v>92</v>
      </c>
      <c r="F1599" s="83">
        <v>7</v>
      </c>
      <c r="G1599" s="92">
        <v>970</v>
      </c>
      <c r="H1599" s="3">
        <v>0.1</v>
      </c>
      <c r="I1599" s="3">
        <v>6783.21</v>
      </c>
      <c r="J1599" s="1" t="s">
        <v>87</v>
      </c>
      <c r="K1599" s="1" t="s">
        <v>99</v>
      </c>
      <c r="L1599" t="str">
        <f>VLOOKUP(D1599, Products!A:C, 3, FALSE)</f>
        <v>Grocery</v>
      </c>
      <c r="M1599" t="str">
        <f>VLOOKUP(C1599, Customers!A:E, 5, FALSE)</f>
        <v>SMB</v>
      </c>
      <c r="N1599">
        <f>VLOOKUP(C1599, Customers!A:E, 3, FALSE)</f>
        <v>38</v>
      </c>
      <c r="O1599" s="93" t="str">
        <f>VLOOKUP(E1599, Sales_Reps!A:C, 3, FALSE)</f>
        <v>North</v>
      </c>
      <c r="P1599">
        <f>VLOOKUP(D1599, Products!A:E, 4, FALSE)</f>
        <v>434</v>
      </c>
      <c r="Q1599">
        <f>IF(COUNTIF($A$2:A1599, A1599)=2, 1, 0)</f>
        <v>0</v>
      </c>
      <c r="R1599">
        <f>IF(ISNA(MATCH(C1599, Customers!$A:$A, 0)), 1, 0)</f>
        <v>0</v>
      </c>
      <c r="S1599" s="94" t="b">
        <f>VLOOKUP(D1599, Products!A:F, 6, FALSE)</f>
        <v>1</v>
      </c>
    </row>
    <row r="1600" spans="1:19">
      <c r="A1600" s="102" t="s">
        <v>2096</v>
      </c>
      <c r="B1600" s="2">
        <v>45571</v>
      </c>
      <c r="C1600" s="1" t="s">
        <v>870</v>
      </c>
      <c r="D1600" s="1" t="s">
        <v>97</v>
      </c>
      <c r="E1600" s="1" t="s">
        <v>343</v>
      </c>
      <c r="F1600" s="83">
        <v>5</v>
      </c>
      <c r="G1600" s="92">
        <v>470</v>
      </c>
      <c r="H1600" s="3">
        <v>18.3</v>
      </c>
      <c r="I1600" s="3">
        <v>1919.95</v>
      </c>
      <c r="J1600" s="1" t="s">
        <v>144</v>
      </c>
      <c r="K1600" s="1" t="s">
        <v>117</v>
      </c>
      <c r="L1600" t="str">
        <f>VLOOKUP(D1600, Products!A:C, 3, FALSE)</f>
        <v>Sports</v>
      </c>
      <c r="M1600" t="str">
        <f>VLOOKUP(C1600, Customers!A:E, 5, FALSE)</f>
        <v>Retail</v>
      </c>
      <c r="N1600">
        <f>VLOOKUP(C1600, Customers!A:E, 3, FALSE)</f>
        <v>47</v>
      </c>
      <c r="O1600" s="93" t="str">
        <f>VLOOKUP(E1600, Sales_Reps!A:C, 3, FALSE)</f>
        <v>West</v>
      </c>
      <c r="P1600">
        <f>VLOOKUP(D1600, Products!A:E, 4, FALSE)</f>
        <v>302</v>
      </c>
      <c r="Q1600">
        <f>IF(COUNTIF($A$2:A1600, A1600)=2, 1, 0)</f>
        <v>0</v>
      </c>
      <c r="R1600">
        <f>IF(ISNA(MATCH(C1600, Customers!$A:$A, 0)), 1, 0)</f>
        <v>0</v>
      </c>
      <c r="S1600" s="94" t="b">
        <f>VLOOKUP(D1600, Products!A:F, 6, FALSE)</f>
        <v>0</v>
      </c>
    </row>
    <row r="1601" spans="1:19">
      <c r="A1601" s="102" t="s">
        <v>2097</v>
      </c>
      <c r="B1601" s="2">
        <v>45393</v>
      </c>
      <c r="C1601" s="1" t="s">
        <v>555</v>
      </c>
      <c r="D1601" s="1" t="s">
        <v>452</v>
      </c>
      <c r="E1601" s="1" t="s">
        <v>132</v>
      </c>
      <c r="F1601" s="83">
        <v>8</v>
      </c>
      <c r="G1601" s="92">
        <v>3450</v>
      </c>
      <c r="H1601" s="3">
        <v>5.0999999999999996</v>
      </c>
      <c r="I1601" s="3">
        <v>26192.400000000001</v>
      </c>
      <c r="J1601" s="1" t="s">
        <v>144</v>
      </c>
      <c r="K1601" s="1" t="s">
        <v>112</v>
      </c>
      <c r="L1601" t="str">
        <f>VLOOKUP(D1601, Products!A:C, 3, FALSE)</f>
        <v>Apparel</v>
      </c>
      <c r="M1601" t="str">
        <f>VLOOKUP(C1601, Customers!A:E, 5, FALSE)</f>
        <v>Retail</v>
      </c>
      <c r="N1601">
        <f>VLOOKUP(C1601, Customers!A:E, 3, FALSE)</f>
        <v>37</v>
      </c>
      <c r="O1601" s="93" t="str">
        <f>VLOOKUP(E1601, Sales_Reps!A:C, 3, FALSE)</f>
        <v>South</v>
      </c>
      <c r="P1601">
        <f>VLOOKUP(D1601, Products!A:E, 4, FALSE)</f>
        <v>1748</v>
      </c>
      <c r="Q1601">
        <f>IF(COUNTIF($A$2:A1601, A1601)=2, 1, 0)</f>
        <v>0</v>
      </c>
      <c r="R1601">
        <f>IF(ISNA(MATCH(C1601, Customers!$A:$A, 0)), 1, 0)</f>
        <v>0</v>
      </c>
      <c r="S1601" s="94" t="b">
        <f>VLOOKUP(D1601, Products!A:F, 6, FALSE)</f>
        <v>1</v>
      </c>
    </row>
    <row r="1602" spans="1:19">
      <c r="A1602" s="102" t="s">
        <v>2098</v>
      </c>
      <c r="B1602" s="2">
        <v>45465</v>
      </c>
      <c r="C1602" s="1" t="s">
        <v>608</v>
      </c>
      <c r="D1602" s="1" t="s">
        <v>135</v>
      </c>
      <c r="E1602" s="1" t="s">
        <v>285</v>
      </c>
      <c r="F1602" s="83">
        <v>1</v>
      </c>
      <c r="G1602" s="92">
        <v>2640</v>
      </c>
      <c r="H1602" s="3">
        <v>5.9</v>
      </c>
      <c r="I1602" s="3">
        <v>2484.2399999999998</v>
      </c>
      <c r="J1602" s="1" t="s">
        <v>87</v>
      </c>
      <c r="K1602" s="1" t="s">
        <v>88</v>
      </c>
      <c r="L1602" t="str">
        <f>VLOOKUP(D1602, Products!A:C, 3, FALSE)</f>
        <v>Electronics</v>
      </c>
      <c r="M1602" t="str">
        <f>VLOOKUP(C1602, Customers!A:E, 5, FALSE)</f>
        <v>Corporate</v>
      </c>
      <c r="N1602">
        <f>VLOOKUP(C1602, Customers!A:E, 3, FALSE)</f>
        <v>40</v>
      </c>
      <c r="O1602" s="93" t="str">
        <f>VLOOKUP(E1602, Sales_Reps!A:C, 3, FALSE)</f>
        <v>East</v>
      </c>
      <c r="P1602">
        <f>VLOOKUP(D1602, Products!A:E, 4, FALSE)</f>
        <v>1149</v>
      </c>
      <c r="Q1602">
        <f>IF(COUNTIF($A$2:A1602, A1602)=2, 1, 0)</f>
        <v>0</v>
      </c>
      <c r="R1602">
        <f>IF(ISNA(MATCH(C1602, Customers!$A:$A, 0)), 1, 0)</f>
        <v>0</v>
      </c>
      <c r="S1602" s="94" t="b">
        <f>VLOOKUP(D1602, Products!A:F, 6, FALSE)</f>
        <v>1</v>
      </c>
    </row>
    <row r="1603" spans="1:19">
      <c r="A1603" s="102" t="s">
        <v>2099</v>
      </c>
      <c r="B1603" s="2">
        <v>45354</v>
      </c>
      <c r="C1603" s="1" t="s">
        <v>585</v>
      </c>
      <c r="D1603" s="1" t="s">
        <v>187</v>
      </c>
      <c r="E1603" s="1" t="s">
        <v>192</v>
      </c>
      <c r="F1603" s="83">
        <v>10</v>
      </c>
      <c r="G1603" s="92">
        <v>3570</v>
      </c>
      <c r="H1603" s="3">
        <v>21.5</v>
      </c>
      <c r="I1603" s="3">
        <v>28024.5</v>
      </c>
      <c r="J1603" s="1" t="s">
        <v>87</v>
      </c>
      <c r="K1603" s="1" t="s">
        <v>94</v>
      </c>
      <c r="L1603" t="str">
        <f>VLOOKUP(D1603, Products!A:C, 3, FALSE)</f>
        <v>Electronics</v>
      </c>
      <c r="M1603" t="str">
        <f>VLOOKUP(C1603, Customers!A:E, 5, FALSE)</f>
        <v>Retail</v>
      </c>
      <c r="N1603">
        <f>VLOOKUP(C1603, Customers!A:E, 3, FALSE)</f>
        <v>26</v>
      </c>
      <c r="O1603" s="93" t="str">
        <f>VLOOKUP(E1603, Sales_Reps!A:C, 3, FALSE)</f>
        <v>East</v>
      </c>
      <c r="P1603">
        <f>VLOOKUP(D1603, Products!A:E, 4, FALSE)</f>
        <v>1665</v>
      </c>
      <c r="Q1603">
        <f>IF(COUNTIF($A$2:A1603, A1603)=2, 1, 0)</f>
        <v>0</v>
      </c>
      <c r="R1603">
        <f>IF(ISNA(MATCH(C1603, Customers!$A:$A, 0)), 1, 0)</f>
        <v>0</v>
      </c>
      <c r="S1603" s="94" t="b">
        <f>VLOOKUP(D1603, Products!A:F, 6, FALSE)</f>
        <v>1</v>
      </c>
    </row>
    <row r="1604" spans="1:19">
      <c r="A1604" s="102" t="s">
        <v>2100</v>
      </c>
      <c r="B1604" s="2">
        <v>45581</v>
      </c>
      <c r="C1604" s="1" t="s">
        <v>592</v>
      </c>
      <c r="D1604" s="1" t="s">
        <v>120</v>
      </c>
      <c r="E1604" s="1" t="s">
        <v>346</v>
      </c>
      <c r="F1604" s="83">
        <v>10</v>
      </c>
      <c r="G1604" s="92">
        <v>1430</v>
      </c>
      <c r="H1604" s="3">
        <v>11.4</v>
      </c>
      <c r="I1604" s="3">
        <v>12669.8</v>
      </c>
      <c r="J1604" s="1" t="s">
        <v>140</v>
      </c>
      <c r="K1604" s="1" t="s">
        <v>133</v>
      </c>
      <c r="L1604" t="str">
        <f>VLOOKUP(D1604, Products!A:C, 3, FALSE)</f>
        <v>Electronics</v>
      </c>
      <c r="M1604" t="str">
        <f>VLOOKUP(C1604, Customers!A:E, 5, FALSE)</f>
        <v>Retail</v>
      </c>
      <c r="N1604">
        <f>VLOOKUP(C1604, Customers!A:E, 3, FALSE)</f>
        <v>22</v>
      </c>
      <c r="O1604" s="93" t="str">
        <f>VLOOKUP(E1604, Sales_Reps!A:C, 3, FALSE)</f>
        <v>South</v>
      </c>
      <c r="P1604">
        <f>VLOOKUP(D1604, Products!A:E, 4, FALSE)</f>
        <v>861</v>
      </c>
      <c r="Q1604">
        <f>IF(COUNTIF($A$2:A1604, A1604)=2, 1, 0)</f>
        <v>0</v>
      </c>
      <c r="R1604">
        <f>IF(ISNA(MATCH(C1604, Customers!$A:$A, 0)), 1, 0)</f>
        <v>0</v>
      </c>
      <c r="S1604" s="94" t="b">
        <f>VLOOKUP(D1604, Products!A:F, 6, FALSE)</f>
        <v>1</v>
      </c>
    </row>
    <row r="1605" spans="1:19">
      <c r="A1605" s="102" t="s">
        <v>2101</v>
      </c>
      <c r="B1605" s="2">
        <v>45643</v>
      </c>
      <c r="C1605" s="1" t="s">
        <v>823</v>
      </c>
      <c r="D1605" s="1" t="s">
        <v>115</v>
      </c>
      <c r="E1605" s="1" t="s">
        <v>252</v>
      </c>
      <c r="F1605" s="83">
        <v>7</v>
      </c>
      <c r="G1605" s="92">
        <v>960</v>
      </c>
      <c r="H1605" s="3">
        <v>22.9</v>
      </c>
      <c r="I1605" s="3">
        <v>5181.12</v>
      </c>
      <c r="J1605" s="1" t="s">
        <v>87</v>
      </c>
      <c r="K1605" s="1" t="s">
        <v>94</v>
      </c>
      <c r="L1605" t="str">
        <f>VLOOKUP(D1605, Products!A:C, 3, FALSE)</f>
        <v>Sports</v>
      </c>
      <c r="M1605" t="str">
        <f>VLOOKUP(C1605, Customers!A:E, 5, FALSE)</f>
        <v>Retail</v>
      </c>
      <c r="N1605">
        <f>VLOOKUP(C1605, Customers!A:E, 3, FALSE)</f>
        <v>32</v>
      </c>
      <c r="O1605" s="93" t="str">
        <f>VLOOKUP(E1605, Sales_Reps!A:C, 3, FALSE)</f>
        <v>South</v>
      </c>
      <c r="P1605">
        <f>VLOOKUP(D1605, Products!A:E, 4, FALSE)</f>
        <v>705</v>
      </c>
      <c r="Q1605">
        <f>IF(COUNTIF($A$2:A1605, A1605)=2, 1, 0)</f>
        <v>0</v>
      </c>
      <c r="R1605">
        <f>IF(ISNA(MATCH(C1605, Customers!$A:$A, 0)), 1, 0)</f>
        <v>0</v>
      </c>
      <c r="S1605" s="94" t="b">
        <f>VLOOKUP(D1605, Products!A:F, 6, FALSE)</f>
        <v>1</v>
      </c>
    </row>
    <row r="1606" spans="1:19">
      <c r="A1606" s="102" t="s">
        <v>2102</v>
      </c>
      <c r="B1606" s="2">
        <v>45606</v>
      </c>
      <c r="C1606" s="1" t="s">
        <v>1000</v>
      </c>
      <c r="D1606" s="1" t="s">
        <v>143</v>
      </c>
      <c r="E1606" s="1" t="s">
        <v>132</v>
      </c>
      <c r="F1606" s="83">
        <v>8</v>
      </c>
      <c r="G1606" s="92">
        <v>3250</v>
      </c>
      <c r="H1606" s="3">
        <v>1.9</v>
      </c>
      <c r="I1606" s="3">
        <v>25506</v>
      </c>
      <c r="J1606" s="1" t="s">
        <v>87</v>
      </c>
      <c r="K1606" s="1" t="s">
        <v>117</v>
      </c>
      <c r="L1606" t="str">
        <f>VLOOKUP(D1606, Products!A:C, 3, FALSE)</f>
        <v>Home</v>
      </c>
      <c r="M1606" t="str">
        <f>VLOOKUP(C1606, Customers!A:E, 5, FALSE)</f>
        <v>Retail</v>
      </c>
      <c r="N1606">
        <f>VLOOKUP(C1606, Customers!A:E, 3, FALSE)</f>
        <v>27</v>
      </c>
      <c r="O1606" s="93" t="str">
        <f>VLOOKUP(E1606, Sales_Reps!A:C, 3, FALSE)</f>
        <v>South</v>
      </c>
      <c r="P1606">
        <f>VLOOKUP(D1606, Products!A:E, 4, FALSE)</f>
        <v>1556</v>
      </c>
      <c r="Q1606">
        <f>IF(COUNTIF($A$2:A1606, A1606)=2, 1, 0)</f>
        <v>0</v>
      </c>
      <c r="R1606">
        <f>IF(ISNA(MATCH(C1606, Customers!$A:$A, 0)), 1, 0)</f>
        <v>0</v>
      </c>
      <c r="S1606" s="94" t="b">
        <f>VLOOKUP(D1606, Products!A:F, 6, FALSE)</f>
        <v>1</v>
      </c>
    </row>
    <row r="1607" spans="1:19">
      <c r="A1607" s="102" t="s">
        <v>2103</v>
      </c>
      <c r="B1607" s="2">
        <v>45356</v>
      </c>
      <c r="C1607" s="1" t="s">
        <v>628</v>
      </c>
      <c r="D1607" s="1" t="s">
        <v>161</v>
      </c>
      <c r="E1607" s="1" t="s">
        <v>303</v>
      </c>
      <c r="F1607" s="83">
        <v>9</v>
      </c>
      <c r="G1607" s="92">
        <v>3450</v>
      </c>
      <c r="H1607" s="3">
        <v>18</v>
      </c>
      <c r="I1607" s="3">
        <v>25461</v>
      </c>
      <c r="J1607" s="1" t="s">
        <v>87</v>
      </c>
      <c r="K1607" s="1" t="s">
        <v>133</v>
      </c>
      <c r="L1607" t="str">
        <f>VLOOKUP(D1607, Products!A:C, 3, FALSE)</f>
        <v>Sports</v>
      </c>
      <c r="M1607" t="str">
        <f>VLOOKUP(C1607, Customers!A:E, 5, FALSE)</f>
        <v>Corporate</v>
      </c>
      <c r="N1607">
        <f>VLOOKUP(C1607, Customers!A:E, 3, FALSE)</f>
        <v>22</v>
      </c>
      <c r="O1607" s="93" t="str">
        <f>VLOOKUP(E1607, Sales_Reps!A:C, 3, FALSE)</f>
        <v>East</v>
      </c>
      <c r="P1607">
        <f>VLOOKUP(D1607, Products!A:E, 4, FALSE)</f>
        <v>2467</v>
      </c>
      <c r="Q1607">
        <f>IF(COUNTIF($A$2:A1607, A1607)=2, 1, 0)</f>
        <v>0</v>
      </c>
      <c r="R1607">
        <f>IF(ISNA(MATCH(C1607, Customers!$A:$A, 0)), 1, 0)</f>
        <v>0</v>
      </c>
      <c r="S1607" s="94" t="b">
        <f>VLOOKUP(D1607, Products!A:F, 6, FALSE)</f>
        <v>1</v>
      </c>
    </row>
    <row r="1608" spans="1:19">
      <c r="A1608" s="102" t="s">
        <v>2104</v>
      </c>
      <c r="B1608" s="2">
        <v>45343</v>
      </c>
      <c r="C1608" s="1" t="s">
        <v>175</v>
      </c>
      <c r="D1608" s="1" t="s">
        <v>131</v>
      </c>
      <c r="E1608" s="1" t="s">
        <v>346</v>
      </c>
      <c r="F1608" s="83">
        <v>5</v>
      </c>
      <c r="G1608" s="92">
        <v>2270</v>
      </c>
      <c r="H1608" s="3">
        <v>11.5</v>
      </c>
      <c r="I1608" s="3">
        <v>10044.75</v>
      </c>
      <c r="J1608" s="1" t="s">
        <v>87</v>
      </c>
      <c r="K1608" s="1" t="s">
        <v>133</v>
      </c>
      <c r="L1608" t="str">
        <f>VLOOKUP(D1608, Products!A:C, 3, FALSE)</f>
        <v>Grocery</v>
      </c>
      <c r="M1608" t="str">
        <f>VLOOKUP(C1608, Customers!A:E, 5, FALSE)</f>
        <v>SMB</v>
      </c>
      <c r="N1608">
        <f>VLOOKUP(C1608, Customers!A:E, 3, FALSE)</f>
        <v>40</v>
      </c>
      <c r="O1608" s="93" t="str">
        <f>VLOOKUP(E1608, Sales_Reps!A:C, 3, FALSE)</f>
        <v>South</v>
      </c>
      <c r="P1608">
        <f>VLOOKUP(D1608, Products!A:E, 4, FALSE)</f>
        <v>1203</v>
      </c>
      <c r="Q1608">
        <f>IF(COUNTIF($A$2:A1608, A1608)=2, 1, 0)</f>
        <v>0</v>
      </c>
      <c r="R1608">
        <f>IF(ISNA(MATCH(C1608, Customers!$A:$A, 0)), 1, 0)</f>
        <v>0</v>
      </c>
      <c r="S1608" s="94" t="b">
        <f>VLOOKUP(D1608, Products!A:F, 6, FALSE)</f>
        <v>1</v>
      </c>
    </row>
    <row r="1609" spans="1:19">
      <c r="A1609" s="102" t="s">
        <v>2105</v>
      </c>
      <c r="B1609" s="2">
        <v>45449</v>
      </c>
      <c r="C1609" s="1" t="s">
        <v>895</v>
      </c>
      <c r="D1609" s="1" t="s">
        <v>276</v>
      </c>
      <c r="E1609" s="1" t="s">
        <v>121</v>
      </c>
      <c r="F1609" s="83">
        <v>6</v>
      </c>
      <c r="G1609" s="92">
        <v>3020</v>
      </c>
      <c r="H1609" s="3">
        <v>12.6</v>
      </c>
      <c r="I1609" s="3">
        <v>15836.88</v>
      </c>
      <c r="J1609" s="1" t="s">
        <v>87</v>
      </c>
      <c r="K1609" s="1" t="s">
        <v>117</v>
      </c>
      <c r="L1609" t="str">
        <f>VLOOKUP(D1609, Products!A:C, 3, FALSE)</f>
        <v>Beauty</v>
      </c>
      <c r="M1609" t="str">
        <f>VLOOKUP(C1609, Customers!A:E, 5, FALSE)</f>
        <v>Retail</v>
      </c>
      <c r="N1609">
        <f>VLOOKUP(C1609, Customers!A:E, 3, FALSE)</f>
        <v>46</v>
      </c>
      <c r="O1609" s="93" t="str">
        <f>VLOOKUP(E1609, Sales_Reps!A:C, 3, FALSE)</f>
        <v>East</v>
      </c>
      <c r="P1609">
        <f>VLOOKUP(D1609, Products!A:E, 4, FALSE)</f>
        <v>1626</v>
      </c>
      <c r="Q1609">
        <f>IF(COUNTIF($A$2:A1609, A1609)=2, 1, 0)</f>
        <v>0</v>
      </c>
      <c r="R1609">
        <f>IF(ISNA(MATCH(C1609, Customers!$A:$A, 0)), 1, 0)</f>
        <v>0</v>
      </c>
      <c r="S1609" s="94" t="b">
        <f>VLOOKUP(D1609, Products!A:F, 6, FALSE)</f>
        <v>1</v>
      </c>
    </row>
    <row r="1610" spans="1:19">
      <c r="A1610" s="102" t="s">
        <v>2106</v>
      </c>
      <c r="B1610" s="2">
        <v>45317</v>
      </c>
      <c r="C1610" s="1" t="s">
        <v>463</v>
      </c>
      <c r="D1610" s="1" t="s">
        <v>135</v>
      </c>
      <c r="E1610" s="1" t="s">
        <v>107</v>
      </c>
      <c r="F1610" s="83">
        <v>8</v>
      </c>
      <c r="G1610" s="92">
        <v>2640</v>
      </c>
      <c r="H1610" s="3">
        <v>14.5</v>
      </c>
      <c r="I1610" s="3">
        <v>18057.599999999999</v>
      </c>
      <c r="J1610" s="1" t="s">
        <v>144</v>
      </c>
      <c r="K1610" s="1" t="s">
        <v>117</v>
      </c>
      <c r="L1610" t="str">
        <f>VLOOKUP(D1610, Products!A:C, 3, FALSE)</f>
        <v>Electronics</v>
      </c>
      <c r="M1610" t="str">
        <f>VLOOKUP(C1610, Customers!A:E, 5, FALSE)</f>
        <v>Retail</v>
      </c>
      <c r="N1610">
        <f>VLOOKUP(C1610, Customers!A:E, 3, FALSE)</f>
        <v>55</v>
      </c>
      <c r="O1610" s="93" t="str">
        <f>VLOOKUP(E1610, Sales_Reps!A:C, 3, FALSE)</f>
        <v>North</v>
      </c>
      <c r="P1610">
        <f>VLOOKUP(D1610, Products!A:E, 4, FALSE)</f>
        <v>1149</v>
      </c>
      <c r="Q1610">
        <f>IF(COUNTIF($A$2:A1610, A1610)=2, 1, 0)</f>
        <v>0</v>
      </c>
      <c r="R1610">
        <f>IF(ISNA(MATCH(C1610, Customers!$A:$A, 0)), 1, 0)</f>
        <v>0</v>
      </c>
      <c r="S1610" s="94" t="b">
        <f>VLOOKUP(D1610, Products!A:F, 6, FALSE)</f>
        <v>1</v>
      </c>
    </row>
    <row r="1611" spans="1:19">
      <c r="A1611" s="102" t="s">
        <v>2107</v>
      </c>
      <c r="B1611" s="2">
        <v>45561</v>
      </c>
      <c r="C1611" s="1" t="s">
        <v>123</v>
      </c>
      <c r="D1611" s="1" t="s">
        <v>131</v>
      </c>
      <c r="E1611" s="1" t="s">
        <v>343</v>
      </c>
      <c r="F1611" s="83">
        <v>2</v>
      </c>
      <c r="G1611" s="92">
        <v>2270</v>
      </c>
      <c r="H1611" s="3">
        <v>27</v>
      </c>
      <c r="I1611" s="3">
        <v>3314.2</v>
      </c>
      <c r="J1611" s="1" t="s">
        <v>87</v>
      </c>
      <c r="K1611" s="1" t="s">
        <v>117</v>
      </c>
      <c r="L1611" t="str">
        <f>VLOOKUP(D1611, Products!A:C, 3, FALSE)</f>
        <v>Grocery</v>
      </c>
      <c r="M1611" t="str">
        <f>VLOOKUP(C1611, Customers!A:E, 5, FALSE)</f>
        <v>Retail</v>
      </c>
      <c r="N1611">
        <f>VLOOKUP(C1611, Customers!A:E, 3, FALSE)</f>
        <v>42</v>
      </c>
      <c r="O1611" s="93" t="str">
        <f>VLOOKUP(E1611, Sales_Reps!A:C, 3, FALSE)</f>
        <v>West</v>
      </c>
      <c r="P1611">
        <f>VLOOKUP(D1611, Products!A:E, 4, FALSE)</f>
        <v>1203</v>
      </c>
      <c r="Q1611">
        <f>IF(COUNTIF($A$2:A1611, A1611)=2, 1, 0)</f>
        <v>0</v>
      </c>
      <c r="R1611">
        <f>IF(ISNA(MATCH(C1611, Customers!$A:$A, 0)), 1, 0)</f>
        <v>0</v>
      </c>
      <c r="S1611" s="94" t="b">
        <f>VLOOKUP(D1611, Products!A:F, 6, FALSE)</f>
        <v>1</v>
      </c>
    </row>
    <row r="1612" spans="1:19">
      <c r="A1612" s="102" t="s">
        <v>2108</v>
      </c>
      <c r="B1612" s="2">
        <v>45636</v>
      </c>
      <c r="C1612" s="1" t="s">
        <v>105</v>
      </c>
      <c r="D1612" s="1" t="s">
        <v>200</v>
      </c>
      <c r="E1612" s="1" t="s">
        <v>343</v>
      </c>
      <c r="F1612" s="83">
        <v>8</v>
      </c>
      <c r="G1612" s="92">
        <v>2760</v>
      </c>
      <c r="H1612" s="3">
        <v>18</v>
      </c>
      <c r="I1612" s="3">
        <v>18105.599999999999</v>
      </c>
      <c r="J1612" s="1" t="s">
        <v>140</v>
      </c>
      <c r="K1612" s="1" t="s">
        <v>94</v>
      </c>
      <c r="L1612" t="str">
        <f>VLOOKUP(D1612, Products!A:C, 3, FALSE)</f>
        <v>Grocery</v>
      </c>
      <c r="M1612" t="str">
        <f>VLOOKUP(C1612, Customers!A:E, 5, FALSE)</f>
        <v>Retail</v>
      </c>
      <c r="N1612">
        <f>VLOOKUP(C1612, Customers!A:E, 3, FALSE)</f>
        <v>36</v>
      </c>
      <c r="O1612" s="93" t="str">
        <f>VLOOKUP(E1612, Sales_Reps!A:C, 3, FALSE)</f>
        <v>West</v>
      </c>
      <c r="P1612">
        <f>VLOOKUP(D1612, Products!A:E, 4, FALSE)</f>
        <v>1435</v>
      </c>
      <c r="Q1612">
        <f>IF(COUNTIF($A$2:A1612, A1612)=2, 1, 0)</f>
        <v>0</v>
      </c>
      <c r="R1612">
        <f>IF(ISNA(MATCH(C1612, Customers!$A:$A, 0)), 1, 0)</f>
        <v>0</v>
      </c>
      <c r="S1612" s="94" t="b">
        <f>VLOOKUP(D1612, Products!A:F, 6, FALSE)</f>
        <v>1</v>
      </c>
    </row>
    <row r="1613" spans="1:19">
      <c r="A1613" s="102" t="s">
        <v>2109</v>
      </c>
      <c r="B1613" s="2">
        <v>45398</v>
      </c>
      <c r="C1613" s="1" t="s">
        <v>669</v>
      </c>
      <c r="D1613" s="1" t="s">
        <v>85</v>
      </c>
      <c r="E1613" s="1" t="s">
        <v>154</v>
      </c>
      <c r="F1613" s="83">
        <v>8</v>
      </c>
      <c r="G1613" s="92">
        <v>3620</v>
      </c>
      <c r="H1613" s="3">
        <v>7.1</v>
      </c>
      <c r="I1613" s="3">
        <v>26903.84</v>
      </c>
      <c r="J1613" s="1" t="s">
        <v>87</v>
      </c>
      <c r="K1613" s="1" t="s">
        <v>133</v>
      </c>
      <c r="L1613" t="str">
        <f>VLOOKUP(D1613, Products!A:C, 3, FALSE)</f>
        <v>Apparel</v>
      </c>
      <c r="M1613" t="str">
        <f>VLOOKUP(C1613, Customers!A:E, 5, FALSE)</f>
        <v>Retail</v>
      </c>
      <c r="N1613">
        <f>VLOOKUP(C1613, Customers!A:E, 3, FALSE)</f>
        <v>31</v>
      </c>
      <c r="O1613" s="93" t="str">
        <f>VLOOKUP(E1613, Sales_Reps!A:C, 3, FALSE)</f>
        <v>East</v>
      </c>
      <c r="P1613">
        <f>VLOOKUP(D1613, Products!A:E, 4, FALSE)</f>
        <v>2509</v>
      </c>
      <c r="Q1613">
        <f>IF(COUNTIF($A$2:A1613, A1613)=2, 1, 0)</f>
        <v>0</v>
      </c>
      <c r="R1613">
        <f>IF(ISNA(MATCH(C1613, Customers!$A:$A, 0)), 1, 0)</f>
        <v>0</v>
      </c>
      <c r="S1613" s="94" t="b">
        <f>VLOOKUP(D1613, Products!A:F, 6, FALSE)</f>
        <v>1</v>
      </c>
    </row>
    <row r="1614" spans="1:19">
      <c r="A1614" s="102" t="s">
        <v>2110</v>
      </c>
      <c r="B1614" s="2">
        <v>45477</v>
      </c>
      <c r="C1614" s="1" t="s">
        <v>735</v>
      </c>
      <c r="D1614" s="1" t="s">
        <v>386</v>
      </c>
      <c r="E1614" s="1" t="s">
        <v>158</v>
      </c>
      <c r="F1614" s="83">
        <v>8</v>
      </c>
      <c r="G1614" s="92">
        <v>2290</v>
      </c>
      <c r="H1614" s="3">
        <v>16.399999999999999</v>
      </c>
      <c r="I1614" s="3">
        <v>15315.52</v>
      </c>
      <c r="J1614" s="1" t="s">
        <v>87</v>
      </c>
      <c r="K1614" s="1" t="s">
        <v>88</v>
      </c>
      <c r="L1614" t="str">
        <f>VLOOKUP(D1614, Products!A:C, 3, FALSE)</f>
        <v>Beauty</v>
      </c>
      <c r="M1614" t="str">
        <f>VLOOKUP(C1614, Customers!A:E, 5, FALSE)</f>
        <v>Retail</v>
      </c>
      <c r="N1614">
        <f>VLOOKUP(C1614, Customers!A:E, 3, FALSE)</f>
        <v>54</v>
      </c>
      <c r="O1614" s="93" t="str">
        <f>VLOOKUP(E1614, Sales_Reps!A:C, 3, FALSE)</f>
        <v>East</v>
      </c>
      <c r="P1614">
        <f>VLOOKUP(D1614, Products!A:E, 4, FALSE)</f>
        <v>1219</v>
      </c>
      <c r="Q1614">
        <f>IF(COUNTIF($A$2:A1614, A1614)=2, 1, 0)</f>
        <v>0</v>
      </c>
      <c r="R1614">
        <f>IF(ISNA(MATCH(C1614, Customers!$A:$A, 0)), 1, 0)</f>
        <v>0</v>
      </c>
      <c r="S1614" s="94" t="b">
        <f>VLOOKUP(D1614, Products!A:F, 6, FALSE)</f>
        <v>1</v>
      </c>
    </row>
    <row r="1615" spans="1:19">
      <c r="A1615" s="102" t="s">
        <v>2111</v>
      </c>
      <c r="B1615" s="2">
        <v>45462</v>
      </c>
      <c r="C1615" s="1" t="s">
        <v>841</v>
      </c>
      <c r="D1615" s="1" t="s">
        <v>176</v>
      </c>
      <c r="E1615" s="1" t="s">
        <v>121</v>
      </c>
      <c r="F1615" s="83">
        <v>3</v>
      </c>
      <c r="G1615" s="92">
        <v>1650</v>
      </c>
      <c r="H1615" s="3">
        <v>1.8</v>
      </c>
      <c r="I1615" s="3">
        <v>4860.8999999999996</v>
      </c>
      <c r="J1615" s="1" t="s">
        <v>140</v>
      </c>
      <c r="K1615" s="1" t="s">
        <v>117</v>
      </c>
      <c r="L1615" t="str">
        <f>VLOOKUP(D1615, Products!A:C, 3, FALSE)</f>
        <v>Beauty</v>
      </c>
      <c r="M1615" t="str">
        <f>VLOOKUP(C1615, Customers!A:E, 5, FALSE)</f>
        <v>Corporate</v>
      </c>
      <c r="N1615">
        <f>VLOOKUP(C1615, Customers!A:E, 3, FALSE)</f>
        <v>41</v>
      </c>
      <c r="O1615" s="93" t="str">
        <f>VLOOKUP(E1615, Sales_Reps!A:C, 3, FALSE)</f>
        <v>East</v>
      </c>
      <c r="P1615">
        <f>VLOOKUP(D1615, Products!A:E, 4, FALSE)</f>
        <v>1222</v>
      </c>
      <c r="Q1615">
        <f>IF(COUNTIF($A$2:A1615, A1615)=2, 1, 0)</f>
        <v>0</v>
      </c>
      <c r="R1615">
        <f>IF(ISNA(MATCH(C1615, Customers!$A:$A, 0)), 1, 0)</f>
        <v>0</v>
      </c>
      <c r="S1615" s="94" t="b">
        <f>VLOOKUP(D1615, Products!A:F, 6, FALSE)</f>
        <v>1</v>
      </c>
    </row>
    <row r="1616" spans="1:19">
      <c r="A1616" s="102" t="s">
        <v>2112</v>
      </c>
      <c r="B1616" s="2">
        <v>45642</v>
      </c>
      <c r="C1616" s="1" t="s">
        <v>520</v>
      </c>
      <c r="D1616" s="1" t="s">
        <v>364</v>
      </c>
      <c r="E1616" s="1" t="s">
        <v>303</v>
      </c>
      <c r="F1616" s="83">
        <v>3</v>
      </c>
      <c r="G1616" s="92">
        <v>5330</v>
      </c>
      <c r="H1616" s="3">
        <v>22.2</v>
      </c>
      <c r="I1616" s="3">
        <v>12440.22</v>
      </c>
      <c r="J1616" s="1" t="s">
        <v>87</v>
      </c>
      <c r="K1616" s="1" t="s">
        <v>112</v>
      </c>
      <c r="L1616" t="str">
        <f>VLOOKUP(D1616, Products!A:C, 3, FALSE)</f>
        <v>Electronics</v>
      </c>
      <c r="M1616" t="str">
        <f>VLOOKUP(C1616, Customers!A:E, 5, FALSE)</f>
        <v>Corporate</v>
      </c>
      <c r="N1616">
        <f>VLOOKUP(C1616, Customers!A:E, 3, FALSE)</f>
        <v>35</v>
      </c>
      <c r="O1616" s="93" t="str">
        <f>VLOOKUP(E1616, Sales_Reps!A:C, 3, FALSE)</f>
        <v>East</v>
      </c>
      <c r="P1616">
        <f>VLOOKUP(D1616, Products!A:E, 4, FALSE)</f>
        <v>2405</v>
      </c>
      <c r="Q1616">
        <f>IF(COUNTIF($A$2:A1616, A1616)=2, 1, 0)</f>
        <v>0</v>
      </c>
      <c r="R1616">
        <f>IF(ISNA(MATCH(C1616, Customers!$A:$A, 0)), 1, 0)</f>
        <v>0</v>
      </c>
      <c r="S1616" s="94" t="b">
        <f>VLOOKUP(D1616, Products!A:F, 6, FALSE)</f>
        <v>1</v>
      </c>
    </row>
    <row r="1617" spans="1:19">
      <c r="A1617" s="102" t="s">
        <v>2113</v>
      </c>
      <c r="B1617" s="2">
        <v>45534</v>
      </c>
      <c r="C1617" s="1" t="s">
        <v>686</v>
      </c>
      <c r="D1617" s="1" t="s">
        <v>164</v>
      </c>
      <c r="E1617" s="1" t="s">
        <v>285</v>
      </c>
      <c r="F1617" s="83">
        <v>7</v>
      </c>
      <c r="G1617" s="92">
        <v>1080</v>
      </c>
      <c r="H1617" s="3">
        <v>17.899999999999999</v>
      </c>
      <c r="I1617" s="3">
        <v>6206.76</v>
      </c>
      <c r="J1617" s="1" t="s">
        <v>87</v>
      </c>
      <c r="K1617" s="1" t="s">
        <v>112</v>
      </c>
      <c r="L1617" t="str">
        <f>VLOOKUP(D1617, Products!A:C, 3, FALSE)</f>
        <v>Home</v>
      </c>
      <c r="M1617" t="str">
        <f>VLOOKUP(C1617, Customers!A:E, 5, FALSE)</f>
        <v>Retail</v>
      </c>
      <c r="N1617">
        <f>VLOOKUP(C1617, Customers!A:E, 3, FALSE)</f>
        <v>35</v>
      </c>
      <c r="O1617" s="93" t="str">
        <f>VLOOKUP(E1617, Sales_Reps!A:C, 3, FALSE)</f>
        <v>East</v>
      </c>
      <c r="P1617">
        <f>VLOOKUP(D1617, Products!A:E, 4, FALSE)</f>
        <v>519</v>
      </c>
      <c r="Q1617">
        <f>IF(COUNTIF($A$2:A1617, A1617)=2, 1, 0)</f>
        <v>0</v>
      </c>
      <c r="R1617">
        <f>IF(ISNA(MATCH(C1617, Customers!$A:$A, 0)), 1, 0)</f>
        <v>0</v>
      </c>
      <c r="S1617" s="94" t="b">
        <f>VLOOKUP(D1617, Products!A:F, 6, FALSE)</f>
        <v>1</v>
      </c>
    </row>
    <row r="1618" spans="1:19">
      <c r="A1618" s="102" t="s">
        <v>2114</v>
      </c>
      <c r="B1618" s="2">
        <v>45460</v>
      </c>
      <c r="C1618" s="1" t="s">
        <v>101</v>
      </c>
      <c r="D1618" s="1" t="s">
        <v>267</v>
      </c>
      <c r="E1618" s="1" t="s">
        <v>285</v>
      </c>
      <c r="F1618" s="83">
        <v>10</v>
      </c>
      <c r="G1618" s="92">
        <v>1220</v>
      </c>
      <c r="H1618" s="3">
        <v>5.7</v>
      </c>
      <c r="I1618" s="3">
        <v>11504.6</v>
      </c>
      <c r="J1618" s="1" t="s">
        <v>87</v>
      </c>
      <c r="K1618" s="1" t="s">
        <v>99</v>
      </c>
      <c r="L1618" t="str">
        <f>VLOOKUP(D1618, Products!A:C, 3, FALSE)</f>
        <v>Electronics</v>
      </c>
      <c r="M1618" t="str">
        <f>VLOOKUP(C1618, Customers!A:E, 5, FALSE)</f>
        <v>Corporate</v>
      </c>
      <c r="N1618">
        <f>VLOOKUP(C1618, Customers!A:E, 3, FALSE)</f>
        <v>46</v>
      </c>
      <c r="O1618" s="93" t="str">
        <f>VLOOKUP(E1618, Sales_Reps!A:C, 3, FALSE)</f>
        <v>East</v>
      </c>
      <c r="P1618">
        <f>VLOOKUP(D1618, Products!A:E, 4, FALSE)</f>
        <v>517</v>
      </c>
      <c r="Q1618">
        <f>IF(COUNTIF($A$2:A1618, A1618)=2, 1, 0)</f>
        <v>0</v>
      </c>
      <c r="R1618">
        <f>IF(ISNA(MATCH(C1618, Customers!$A:$A, 0)), 1, 0)</f>
        <v>0</v>
      </c>
      <c r="S1618" s="94" t="b">
        <f>VLOOKUP(D1618, Products!A:F, 6, FALSE)</f>
        <v>1</v>
      </c>
    </row>
    <row r="1619" spans="1:19">
      <c r="A1619" s="102" t="s">
        <v>2115</v>
      </c>
      <c r="B1619" s="2">
        <v>45648</v>
      </c>
      <c r="C1619" s="1" t="s">
        <v>305</v>
      </c>
      <c r="D1619" s="1" t="s">
        <v>203</v>
      </c>
      <c r="E1619" s="1" t="s">
        <v>170</v>
      </c>
      <c r="F1619" s="83">
        <v>10</v>
      </c>
      <c r="G1619" s="92">
        <v>660</v>
      </c>
      <c r="H1619" s="3">
        <v>7.5</v>
      </c>
      <c r="I1619" s="3">
        <v>6105</v>
      </c>
      <c r="J1619" s="1" t="s">
        <v>87</v>
      </c>
      <c r="K1619" s="1" t="s">
        <v>133</v>
      </c>
      <c r="L1619" t="str">
        <f>VLOOKUP(D1619, Products!A:C, 3, FALSE)</f>
        <v>Home</v>
      </c>
      <c r="M1619" t="str">
        <f>VLOOKUP(C1619, Customers!A:E, 5, FALSE)</f>
        <v>Corporate</v>
      </c>
      <c r="N1619">
        <f>VLOOKUP(C1619, Customers!A:E, 3, FALSE)</f>
        <v>46</v>
      </c>
      <c r="O1619" s="93" t="str">
        <f>VLOOKUP(E1619, Sales_Reps!A:C, 3, FALSE)</f>
        <v>West</v>
      </c>
      <c r="P1619">
        <f>VLOOKUP(D1619, Products!A:E, 4, FALSE)</f>
        <v>329</v>
      </c>
      <c r="Q1619">
        <f>IF(COUNTIF($A$2:A1619, A1619)=2, 1, 0)</f>
        <v>0</v>
      </c>
      <c r="R1619">
        <f>IF(ISNA(MATCH(C1619, Customers!$A:$A, 0)), 1, 0)</f>
        <v>0</v>
      </c>
      <c r="S1619" s="94" t="b">
        <f>VLOOKUP(D1619, Products!A:F, 6, FALSE)</f>
        <v>1</v>
      </c>
    </row>
    <row r="1620" spans="1:19">
      <c r="A1620" s="102" t="s">
        <v>2116</v>
      </c>
      <c r="B1620" s="2">
        <v>45557</v>
      </c>
      <c r="C1620" s="1" t="s">
        <v>948</v>
      </c>
      <c r="D1620" s="1" t="s">
        <v>164</v>
      </c>
      <c r="E1620" s="1" t="s">
        <v>192</v>
      </c>
      <c r="F1620" s="83">
        <v>6</v>
      </c>
      <c r="G1620" s="92">
        <v>1080</v>
      </c>
      <c r="H1620" s="3">
        <v>28.9</v>
      </c>
      <c r="I1620" s="3">
        <v>4607.28</v>
      </c>
      <c r="J1620" s="1" t="s">
        <v>87</v>
      </c>
      <c r="K1620" s="1" t="s">
        <v>88</v>
      </c>
      <c r="L1620" t="str">
        <f>VLOOKUP(D1620, Products!A:C, 3, FALSE)</f>
        <v>Home</v>
      </c>
      <c r="M1620" t="str">
        <f>VLOOKUP(C1620, Customers!A:E, 5, FALSE)</f>
        <v>Retail</v>
      </c>
      <c r="N1620">
        <f>VLOOKUP(C1620, Customers!A:E, 3, FALSE)</f>
        <v>65</v>
      </c>
      <c r="O1620" s="93" t="str">
        <f>VLOOKUP(E1620, Sales_Reps!A:C, 3, FALSE)</f>
        <v>East</v>
      </c>
      <c r="P1620">
        <f>VLOOKUP(D1620, Products!A:E, 4, FALSE)</f>
        <v>519</v>
      </c>
      <c r="Q1620">
        <f>IF(COUNTIF($A$2:A1620, A1620)=2, 1, 0)</f>
        <v>0</v>
      </c>
      <c r="R1620">
        <f>IF(ISNA(MATCH(C1620, Customers!$A:$A, 0)), 1, 0)</f>
        <v>0</v>
      </c>
      <c r="S1620" s="94" t="b">
        <f>VLOOKUP(D1620, Products!A:F, 6, FALSE)</f>
        <v>1</v>
      </c>
    </row>
    <row r="1621" spans="1:19">
      <c r="A1621" s="102" t="s">
        <v>2117</v>
      </c>
      <c r="B1621" s="2">
        <v>45584</v>
      </c>
      <c r="C1621" s="1" t="s">
        <v>589</v>
      </c>
      <c r="D1621" s="1" t="s">
        <v>245</v>
      </c>
      <c r="E1621" s="1" t="s">
        <v>192</v>
      </c>
      <c r="F1621" s="83">
        <v>7</v>
      </c>
      <c r="G1621" s="92">
        <v>2270</v>
      </c>
      <c r="H1621" s="3">
        <v>1.4</v>
      </c>
      <c r="I1621" s="3">
        <v>15667.54</v>
      </c>
      <c r="J1621" s="1" t="s">
        <v>87</v>
      </c>
      <c r="K1621" s="1" t="s">
        <v>94</v>
      </c>
      <c r="L1621" t="str">
        <f>VLOOKUP(D1621, Products!A:C, 3, FALSE)</f>
        <v>Grocery</v>
      </c>
      <c r="M1621" t="str">
        <f>VLOOKUP(C1621, Customers!A:E, 5, FALSE)</f>
        <v>Corporate</v>
      </c>
      <c r="N1621">
        <f>VLOOKUP(C1621, Customers!A:E, 3, FALSE)</f>
        <v>30</v>
      </c>
      <c r="O1621" s="93" t="str">
        <f>VLOOKUP(E1621, Sales_Reps!A:C, 3, FALSE)</f>
        <v>East</v>
      </c>
      <c r="P1621">
        <f>VLOOKUP(D1621, Products!A:E, 4, FALSE)</f>
        <v>1412</v>
      </c>
      <c r="Q1621">
        <f>IF(COUNTIF($A$2:A1621, A1621)=2, 1, 0)</f>
        <v>0</v>
      </c>
      <c r="R1621">
        <f>IF(ISNA(MATCH(C1621, Customers!$A:$A, 0)), 1, 0)</f>
        <v>0</v>
      </c>
      <c r="S1621" s="94" t="b">
        <f>VLOOKUP(D1621, Products!A:F, 6, FALSE)</f>
        <v>1</v>
      </c>
    </row>
    <row r="1622" spans="1:19">
      <c r="A1622" s="102" t="s">
        <v>2118</v>
      </c>
      <c r="B1622" s="2">
        <v>45475</v>
      </c>
      <c r="C1622" s="1" t="s">
        <v>781</v>
      </c>
      <c r="D1622" s="1" t="s">
        <v>110</v>
      </c>
      <c r="E1622" s="1" t="s">
        <v>128</v>
      </c>
      <c r="F1622" s="83">
        <v>3</v>
      </c>
      <c r="G1622" s="92">
        <v>370</v>
      </c>
      <c r="H1622" s="3">
        <v>9.6</v>
      </c>
      <c r="I1622" s="3">
        <v>1003.44</v>
      </c>
      <c r="J1622" s="1" t="s">
        <v>144</v>
      </c>
      <c r="K1622" s="1" t="s">
        <v>99</v>
      </c>
      <c r="L1622" t="str">
        <f>VLOOKUP(D1622, Products!A:C, 3, FALSE)</f>
        <v>Home</v>
      </c>
      <c r="M1622" t="str">
        <f>VLOOKUP(C1622, Customers!A:E, 5, FALSE)</f>
        <v>SMB</v>
      </c>
      <c r="N1622">
        <f>VLOOKUP(C1622, Customers!A:E, 3, FALSE)</f>
        <v>29</v>
      </c>
      <c r="O1622" s="93" t="str">
        <f>VLOOKUP(E1622, Sales_Reps!A:C, 3, FALSE)</f>
        <v>West</v>
      </c>
      <c r="P1622">
        <f>VLOOKUP(D1622, Products!A:E, 4, FALSE)</f>
        <v>288</v>
      </c>
      <c r="Q1622">
        <f>IF(COUNTIF($A$2:A1622, A1622)=2, 1, 0)</f>
        <v>0</v>
      </c>
      <c r="R1622">
        <f>IF(ISNA(MATCH(C1622, Customers!$A:$A, 0)), 1, 0)</f>
        <v>0</v>
      </c>
      <c r="S1622" s="94" t="b">
        <f>VLOOKUP(D1622, Products!A:F, 6, FALSE)</f>
        <v>1</v>
      </c>
    </row>
    <row r="1623" spans="1:19">
      <c r="A1623" s="102" t="s">
        <v>2119</v>
      </c>
      <c r="B1623" s="2">
        <v>45365</v>
      </c>
      <c r="C1623" s="1" t="s">
        <v>874</v>
      </c>
      <c r="D1623" s="1" t="s">
        <v>127</v>
      </c>
      <c r="E1623" s="1" t="s">
        <v>204</v>
      </c>
      <c r="F1623" s="83">
        <v>9</v>
      </c>
      <c r="G1623" s="92">
        <v>970</v>
      </c>
      <c r="H1623" s="3">
        <v>29.7</v>
      </c>
      <c r="I1623" s="3">
        <v>6137.19</v>
      </c>
      <c r="J1623" s="1" t="s">
        <v>87</v>
      </c>
      <c r="K1623" s="1" t="s">
        <v>112</v>
      </c>
      <c r="L1623" t="str">
        <f>VLOOKUP(D1623, Products!A:C, 3, FALSE)</f>
        <v>Grocery</v>
      </c>
      <c r="M1623" t="str">
        <f>VLOOKUP(C1623, Customers!A:E, 5, FALSE)</f>
        <v>Retail</v>
      </c>
      <c r="N1623">
        <f>VLOOKUP(C1623, Customers!A:E, 3, FALSE)</f>
        <v>57</v>
      </c>
      <c r="O1623" s="93" t="str">
        <f>VLOOKUP(E1623, Sales_Reps!A:C, 3, FALSE)</f>
        <v>South</v>
      </c>
      <c r="P1623">
        <f>VLOOKUP(D1623, Products!A:E, 4, FALSE)</f>
        <v>434</v>
      </c>
      <c r="Q1623">
        <f>IF(COUNTIF($A$2:A1623, A1623)=2, 1, 0)</f>
        <v>0</v>
      </c>
      <c r="R1623">
        <f>IF(ISNA(MATCH(C1623, Customers!$A:$A, 0)), 1, 0)</f>
        <v>0</v>
      </c>
      <c r="S1623" s="94" t="b">
        <f>VLOOKUP(D1623, Products!A:F, 6, FALSE)</f>
        <v>1</v>
      </c>
    </row>
    <row r="1624" spans="1:19">
      <c r="A1624" s="102" t="s">
        <v>1070</v>
      </c>
      <c r="B1624" s="2">
        <v>45405</v>
      </c>
      <c r="C1624" s="1" t="s">
        <v>945</v>
      </c>
      <c r="D1624" s="1" t="s">
        <v>292</v>
      </c>
      <c r="E1624" s="1" t="s">
        <v>148</v>
      </c>
      <c r="F1624" s="83">
        <v>1</v>
      </c>
      <c r="G1624" s="92">
        <v>620</v>
      </c>
      <c r="H1624" s="3">
        <v>10.4</v>
      </c>
      <c r="I1624" s="3">
        <v>555.52</v>
      </c>
      <c r="J1624" s="1" t="s">
        <v>140</v>
      </c>
      <c r="K1624" s="1" t="s">
        <v>88</v>
      </c>
      <c r="L1624" t="str">
        <f>VLOOKUP(D1624, Products!A:C, 3, FALSE)</f>
        <v>Apparel</v>
      </c>
      <c r="M1624" t="str">
        <f>VLOOKUP(C1624, Customers!A:E, 5, FALSE)</f>
        <v>Retail</v>
      </c>
      <c r="N1624">
        <f>VLOOKUP(C1624, Customers!A:E, 3, FALSE)</f>
        <v>54</v>
      </c>
      <c r="O1624" s="93" t="str">
        <f>VLOOKUP(E1624, Sales_Reps!A:C, 3, FALSE)</f>
        <v>North</v>
      </c>
      <c r="P1624">
        <f>VLOOKUP(D1624, Products!A:E, 4, FALSE)</f>
        <v>396</v>
      </c>
      <c r="Q1624">
        <f>IF(COUNTIF($A$2:A1624, A1624)=2, 1, 0)</f>
        <v>1</v>
      </c>
      <c r="R1624">
        <f>IF(ISNA(MATCH(C1624, Customers!$A:$A, 0)), 1, 0)</f>
        <v>0</v>
      </c>
      <c r="S1624" s="94" t="b">
        <f>VLOOKUP(D1624, Products!A:F, 6, FALSE)</f>
        <v>1</v>
      </c>
    </row>
    <row r="1625" spans="1:19">
      <c r="A1625" s="102" t="s">
        <v>2120</v>
      </c>
      <c r="B1625" s="2">
        <v>45533</v>
      </c>
      <c r="C1625" s="1" t="s">
        <v>872</v>
      </c>
      <c r="D1625" s="1" t="s">
        <v>102</v>
      </c>
      <c r="E1625" s="1" t="s">
        <v>229</v>
      </c>
      <c r="F1625" s="83">
        <v>5</v>
      </c>
      <c r="G1625" s="92">
        <v>3660</v>
      </c>
      <c r="H1625" s="3">
        <v>8</v>
      </c>
      <c r="I1625" s="3">
        <v>16836</v>
      </c>
      <c r="J1625" s="1" t="s">
        <v>87</v>
      </c>
      <c r="K1625" s="1" t="s">
        <v>112</v>
      </c>
      <c r="L1625" t="str">
        <f>VLOOKUP(D1625, Products!A:C, 3, FALSE)</f>
        <v>Grocery</v>
      </c>
      <c r="M1625" t="str">
        <f>VLOOKUP(C1625, Customers!A:E, 5, FALSE)</f>
        <v>Corporate</v>
      </c>
      <c r="N1625">
        <f>VLOOKUP(C1625, Customers!A:E, 3, FALSE)</f>
        <v>62</v>
      </c>
      <c r="O1625" s="93" t="str">
        <f>VLOOKUP(E1625, Sales_Reps!A:C, 3, FALSE)</f>
        <v>West</v>
      </c>
      <c r="P1625">
        <f>VLOOKUP(D1625, Products!A:E, 4, FALSE)</f>
        <v>2214</v>
      </c>
      <c r="Q1625">
        <f>IF(COUNTIF($A$2:A1625, A1625)=2, 1, 0)</f>
        <v>0</v>
      </c>
      <c r="R1625">
        <f>IF(ISNA(MATCH(C1625, Customers!$A:$A, 0)), 1, 0)</f>
        <v>0</v>
      </c>
      <c r="S1625" s="94" t="b">
        <f>VLOOKUP(D1625, Products!A:F, 6, FALSE)</f>
        <v>0</v>
      </c>
    </row>
    <row r="1626" spans="1:19">
      <c r="A1626" s="102" t="s">
        <v>2121</v>
      </c>
      <c r="B1626" s="2">
        <v>45628</v>
      </c>
      <c r="C1626" s="1" t="s">
        <v>101</v>
      </c>
      <c r="D1626" s="1" t="s">
        <v>338</v>
      </c>
      <c r="E1626" s="1" t="s">
        <v>116</v>
      </c>
      <c r="F1626" s="83">
        <v>7</v>
      </c>
      <c r="G1626" s="92">
        <v>2210</v>
      </c>
      <c r="H1626" s="3">
        <v>13.7</v>
      </c>
      <c r="I1626" s="3">
        <v>13350.61</v>
      </c>
      <c r="J1626" s="1" t="s">
        <v>144</v>
      </c>
      <c r="K1626" s="1" t="s">
        <v>99</v>
      </c>
      <c r="L1626" t="str">
        <f>VLOOKUP(D1626, Products!A:C, 3, FALSE)</f>
        <v>Grocery</v>
      </c>
      <c r="M1626" t="str">
        <f>VLOOKUP(C1626, Customers!A:E, 5, FALSE)</f>
        <v>Corporate</v>
      </c>
      <c r="N1626">
        <f>VLOOKUP(C1626, Customers!A:E, 3, FALSE)</f>
        <v>46</v>
      </c>
      <c r="O1626" s="93" t="str">
        <f>VLOOKUP(E1626, Sales_Reps!A:C, 3, FALSE)</f>
        <v>West</v>
      </c>
      <c r="P1626">
        <f>VLOOKUP(D1626, Products!A:E, 4, FALSE)</f>
        <v>1010</v>
      </c>
      <c r="Q1626">
        <f>IF(COUNTIF($A$2:A1626, A1626)=2, 1, 0)</f>
        <v>0</v>
      </c>
      <c r="R1626">
        <f>IF(ISNA(MATCH(C1626, Customers!$A:$A, 0)), 1, 0)</f>
        <v>0</v>
      </c>
      <c r="S1626" s="94" t="b">
        <f>VLOOKUP(D1626, Products!A:F, 6, FALSE)</f>
        <v>1</v>
      </c>
    </row>
    <row r="1627" spans="1:19">
      <c r="A1627" s="102" t="s">
        <v>2122</v>
      </c>
      <c r="B1627" s="2">
        <v>45631</v>
      </c>
      <c r="C1627" s="1" t="s">
        <v>705</v>
      </c>
      <c r="D1627" s="1" t="s">
        <v>461</v>
      </c>
      <c r="E1627" s="1" t="s">
        <v>128</v>
      </c>
      <c r="F1627" s="83">
        <v>1</v>
      </c>
      <c r="G1627" s="92">
        <v>3780</v>
      </c>
      <c r="H1627" s="3">
        <v>11.5</v>
      </c>
      <c r="I1627" s="3">
        <v>3345.3</v>
      </c>
      <c r="J1627" s="1" t="s">
        <v>87</v>
      </c>
      <c r="K1627" s="1" t="s">
        <v>99</v>
      </c>
      <c r="L1627" t="str">
        <f>VLOOKUP(D1627, Products!A:C, 3, FALSE)</f>
        <v>Sports</v>
      </c>
      <c r="M1627" t="str">
        <f>VLOOKUP(C1627, Customers!A:E, 5, FALSE)</f>
        <v>Retail</v>
      </c>
      <c r="N1627">
        <f>VLOOKUP(C1627, Customers!A:E, 3, FALSE)</f>
        <v>53</v>
      </c>
      <c r="O1627" s="93" t="str">
        <f>VLOOKUP(E1627, Sales_Reps!A:C, 3, FALSE)</f>
        <v>West</v>
      </c>
      <c r="P1627">
        <f>VLOOKUP(D1627, Products!A:E, 4, FALSE)</f>
        <v>1860</v>
      </c>
      <c r="Q1627">
        <f>IF(COUNTIF($A$2:A1627, A1627)=2, 1, 0)</f>
        <v>0</v>
      </c>
      <c r="R1627">
        <f>IF(ISNA(MATCH(C1627, Customers!$A:$A, 0)), 1, 0)</f>
        <v>0</v>
      </c>
      <c r="S1627" s="94" t="b">
        <f>VLOOKUP(D1627, Products!A:F, 6, FALSE)</f>
        <v>1</v>
      </c>
    </row>
    <row r="1628" spans="1:19">
      <c r="A1628" s="102" t="s">
        <v>2123</v>
      </c>
      <c r="B1628" s="2">
        <v>45601</v>
      </c>
      <c r="C1628" s="1" t="s">
        <v>291</v>
      </c>
      <c r="D1628" s="1" t="s">
        <v>138</v>
      </c>
      <c r="E1628" s="1" t="s">
        <v>92</v>
      </c>
      <c r="F1628" s="83">
        <v>10</v>
      </c>
      <c r="G1628" s="92">
        <v>2600</v>
      </c>
      <c r="H1628" s="3">
        <v>29.4</v>
      </c>
      <c r="I1628" s="3">
        <v>18356</v>
      </c>
      <c r="J1628" s="1" t="s">
        <v>87</v>
      </c>
      <c r="K1628" s="1" t="s">
        <v>99</v>
      </c>
      <c r="L1628" t="str">
        <f>VLOOKUP(D1628, Products!A:C, 3, FALSE)</f>
        <v>Electronics</v>
      </c>
      <c r="M1628" t="str">
        <f>VLOOKUP(C1628, Customers!A:E, 5, FALSE)</f>
        <v>Retail</v>
      </c>
      <c r="N1628">
        <f>VLOOKUP(C1628, Customers!A:E, 3, FALSE)</f>
        <v>35</v>
      </c>
      <c r="O1628" s="93" t="str">
        <f>VLOOKUP(E1628, Sales_Reps!A:C, 3, FALSE)</f>
        <v>North</v>
      </c>
      <c r="P1628">
        <f>VLOOKUP(D1628, Products!A:E, 4, FALSE)</f>
        <v>1052</v>
      </c>
      <c r="Q1628">
        <f>IF(COUNTIF($A$2:A1628, A1628)=2, 1, 0)</f>
        <v>0</v>
      </c>
      <c r="R1628">
        <f>IF(ISNA(MATCH(C1628, Customers!$A:$A, 0)), 1, 0)</f>
        <v>0</v>
      </c>
      <c r="S1628" s="94" t="b">
        <f>VLOOKUP(D1628, Products!A:F, 6, FALSE)</f>
        <v>1</v>
      </c>
    </row>
    <row r="1629" spans="1:19">
      <c r="A1629" s="102" t="s">
        <v>2124</v>
      </c>
      <c r="B1629" s="2">
        <v>45365</v>
      </c>
      <c r="C1629" s="1" t="s">
        <v>551</v>
      </c>
      <c r="D1629" s="1" t="s">
        <v>234</v>
      </c>
      <c r="E1629" s="1" t="s">
        <v>238</v>
      </c>
      <c r="F1629" s="83">
        <v>3</v>
      </c>
      <c r="G1629" s="92">
        <v>3780</v>
      </c>
      <c r="H1629" s="3">
        <v>14.4</v>
      </c>
      <c r="I1629" s="3">
        <v>9707.0400000000009</v>
      </c>
      <c r="J1629" s="1" t="s">
        <v>87</v>
      </c>
      <c r="K1629" s="1" t="s">
        <v>112</v>
      </c>
      <c r="L1629" t="str">
        <f>VLOOKUP(D1629, Products!A:C, 3, FALSE)</f>
        <v>Grocery</v>
      </c>
      <c r="M1629" t="str">
        <f>VLOOKUP(C1629, Customers!A:E, 5, FALSE)</f>
        <v>Corporate</v>
      </c>
      <c r="N1629">
        <f>VLOOKUP(C1629, Customers!A:E, 3, FALSE)</f>
        <v>60</v>
      </c>
      <c r="O1629" s="93" t="str">
        <f>VLOOKUP(E1629, Sales_Reps!A:C, 3, FALSE)</f>
        <v>East</v>
      </c>
      <c r="P1629">
        <f>VLOOKUP(D1629, Products!A:E, 4, FALSE)</f>
        <v>2436</v>
      </c>
      <c r="Q1629">
        <f>IF(COUNTIF($A$2:A1629, A1629)=2, 1, 0)</f>
        <v>0</v>
      </c>
      <c r="R1629">
        <f>IF(ISNA(MATCH(C1629, Customers!$A:$A, 0)), 1, 0)</f>
        <v>0</v>
      </c>
      <c r="S1629" s="94" t="b">
        <f>VLOOKUP(D1629, Products!A:F, 6, FALSE)</f>
        <v>1</v>
      </c>
    </row>
    <row r="1630" spans="1:19">
      <c r="A1630" s="102" t="s">
        <v>2125</v>
      </c>
      <c r="B1630" s="2">
        <v>45421</v>
      </c>
      <c r="C1630" s="1" t="s">
        <v>250</v>
      </c>
      <c r="D1630" s="1" t="s">
        <v>135</v>
      </c>
      <c r="E1630" s="1" t="s">
        <v>148</v>
      </c>
      <c r="F1630" s="83">
        <v>10</v>
      </c>
      <c r="G1630" s="92">
        <v>2640</v>
      </c>
      <c r="H1630" s="3">
        <v>26.8</v>
      </c>
      <c r="I1630" s="3">
        <v>19324.8</v>
      </c>
      <c r="J1630" s="1" t="s">
        <v>93</v>
      </c>
      <c r="K1630" s="1" t="s">
        <v>117</v>
      </c>
      <c r="L1630" t="str">
        <f>VLOOKUP(D1630, Products!A:C, 3, FALSE)</f>
        <v>Electronics</v>
      </c>
      <c r="M1630" t="str">
        <f>VLOOKUP(C1630, Customers!A:E, 5, FALSE)</f>
        <v>SMB</v>
      </c>
      <c r="N1630">
        <f>VLOOKUP(C1630, Customers!A:E, 3, FALSE)</f>
        <v>34</v>
      </c>
      <c r="O1630" s="93" t="str">
        <f>VLOOKUP(E1630, Sales_Reps!A:C, 3, FALSE)</f>
        <v>North</v>
      </c>
      <c r="P1630">
        <f>VLOOKUP(D1630, Products!A:E, 4, FALSE)</f>
        <v>1149</v>
      </c>
      <c r="Q1630">
        <f>IF(COUNTIF($A$2:A1630, A1630)=2, 1, 0)</f>
        <v>0</v>
      </c>
      <c r="R1630">
        <f>IF(ISNA(MATCH(C1630, Customers!$A:$A, 0)), 1, 0)</f>
        <v>0</v>
      </c>
      <c r="S1630" s="94" t="b">
        <f>VLOOKUP(D1630, Products!A:F, 6, FALSE)</f>
        <v>1</v>
      </c>
    </row>
    <row r="1631" spans="1:19">
      <c r="A1631" s="102" t="s">
        <v>2126</v>
      </c>
      <c r="B1631" s="2">
        <v>45347</v>
      </c>
      <c r="C1631" s="1" t="s">
        <v>900</v>
      </c>
      <c r="D1631" s="1" t="s">
        <v>502</v>
      </c>
      <c r="E1631" s="1" t="s">
        <v>252</v>
      </c>
      <c r="F1631" s="83">
        <v>3</v>
      </c>
      <c r="G1631" s="92">
        <v>1090</v>
      </c>
      <c r="H1631" s="3">
        <v>9.1</v>
      </c>
      <c r="I1631" s="3">
        <v>2972.43</v>
      </c>
      <c r="J1631" s="1" t="s">
        <v>87</v>
      </c>
      <c r="K1631" s="1" t="s">
        <v>117</v>
      </c>
      <c r="L1631" t="str">
        <f>VLOOKUP(D1631, Products!A:C, 3, FALSE)</f>
        <v>Home</v>
      </c>
      <c r="M1631" t="str">
        <f>VLOOKUP(C1631, Customers!A:E, 5, FALSE)</f>
        <v>Retail</v>
      </c>
      <c r="N1631">
        <f>VLOOKUP(C1631, Customers!A:E, 3, FALSE)</f>
        <v>35</v>
      </c>
      <c r="O1631" s="93" t="str">
        <f>VLOOKUP(E1631, Sales_Reps!A:C, 3, FALSE)</f>
        <v>South</v>
      </c>
      <c r="P1631">
        <f>VLOOKUP(D1631, Products!A:E, 4, FALSE)</f>
        <v>464</v>
      </c>
      <c r="Q1631">
        <f>IF(COUNTIF($A$2:A1631, A1631)=2, 1, 0)</f>
        <v>0</v>
      </c>
      <c r="R1631">
        <f>IF(ISNA(MATCH(C1631, Customers!$A:$A, 0)), 1, 0)</f>
        <v>0</v>
      </c>
      <c r="S1631" s="94" t="b">
        <f>VLOOKUP(D1631, Products!A:F, 6, FALSE)</f>
        <v>1</v>
      </c>
    </row>
    <row r="1632" spans="1:19">
      <c r="A1632" s="102" t="s">
        <v>2127</v>
      </c>
      <c r="B1632" s="2">
        <v>45574</v>
      </c>
      <c r="C1632" s="1" t="s">
        <v>700</v>
      </c>
      <c r="D1632" s="1" t="s">
        <v>452</v>
      </c>
      <c r="E1632" s="1" t="s">
        <v>116</v>
      </c>
      <c r="F1632" s="83">
        <v>3</v>
      </c>
      <c r="G1632" s="92">
        <v>3450</v>
      </c>
      <c r="H1632" s="3">
        <v>23</v>
      </c>
      <c r="I1632" s="3">
        <v>7969.5</v>
      </c>
      <c r="J1632" s="1" t="s">
        <v>93</v>
      </c>
      <c r="K1632" s="1" t="s">
        <v>94</v>
      </c>
      <c r="L1632" t="str">
        <f>VLOOKUP(D1632, Products!A:C, 3, FALSE)</f>
        <v>Apparel</v>
      </c>
      <c r="M1632" t="str">
        <f>VLOOKUP(C1632, Customers!A:E, 5, FALSE)</f>
        <v>SMB</v>
      </c>
      <c r="N1632">
        <f>VLOOKUP(C1632, Customers!A:E, 3, FALSE)</f>
        <v>46</v>
      </c>
      <c r="O1632" s="93" t="str">
        <f>VLOOKUP(E1632, Sales_Reps!A:C, 3, FALSE)</f>
        <v>West</v>
      </c>
      <c r="P1632">
        <f>VLOOKUP(D1632, Products!A:E, 4, FALSE)</f>
        <v>1748</v>
      </c>
      <c r="Q1632">
        <f>IF(COUNTIF($A$2:A1632, A1632)=2, 1, 0)</f>
        <v>0</v>
      </c>
      <c r="R1632">
        <f>IF(ISNA(MATCH(C1632, Customers!$A:$A, 0)), 1, 0)</f>
        <v>0</v>
      </c>
      <c r="S1632" s="94" t="b">
        <f>VLOOKUP(D1632, Products!A:F, 6, FALSE)</f>
        <v>1</v>
      </c>
    </row>
    <row r="1633" spans="1:19">
      <c r="A1633" s="102" t="s">
        <v>2128</v>
      </c>
      <c r="B1633" s="2">
        <v>45365</v>
      </c>
      <c r="C1633" s="1" t="s">
        <v>1231</v>
      </c>
      <c r="D1633" s="1" t="s">
        <v>380</v>
      </c>
      <c r="E1633" s="1" t="s">
        <v>188</v>
      </c>
      <c r="F1633" s="83">
        <v>1</v>
      </c>
      <c r="G1633" s="92">
        <v>960</v>
      </c>
      <c r="H1633" s="3">
        <v>1.1000000000000001</v>
      </c>
      <c r="I1633" s="3">
        <v>949.44</v>
      </c>
      <c r="J1633" s="1" t="s">
        <v>87</v>
      </c>
      <c r="K1633" s="1" t="s">
        <v>88</v>
      </c>
      <c r="L1633" t="str">
        <f>VLOOKUP(D1633, Products!A:C, 3, FALSE)</f>
        <v>Beauty</v>
      </c>
      <c r="M1633" t="str">
        <f>VLOOKUP(C1633, Customers!A:E, 5, FALSE)</f>
        <v>Retail</v>
      </c>
      <c r="N1633">
        <f>VLOOKUP(C1633, Customers!A:E, 3, FALSE)</f>
        <v>42</v>
      </c>
      <c r="O1633" s="93" t="str">
        <f>VLOOKUP(E1633, Sales_Reps!A:C, 3, FALSE)</f>
        <v>South</v>
      </c>
      <c r="P1633">
        <f>VLOOKUP(D1633, Products!A:E, 4, FALSE)</f>
        <v>675</v>
      </c>
      <c r="Q1633">
        <f>IF(COUNTIF($A$2:A1633, A1633)=2, 1, 0)</f>
        <v>0</v>
      </c>
      <c r="R1633">
        <f>IF(ISNA(MATCH(C1633, Customers!$A:$A, 0)), 1, 0)</f>
        <v>0</v>
      </c>
      <c r="S1633" s="94" t="b">
        <f>VLOOKUP(D1633, Products!A:F, 6, FALSE)</f>
        <v>1</v>
      </c>
    </row>
    <row r="1634" spans="1:19">
      <c r="A1634" s="102" t="s">
        <v>2129</v>
      </c>
      <c r="B1634" s="2">
        <v>45577</v>
      </c>
      <c r="C1634" s="1" t="s">
        <v>479</v>
      </c>
      <c r="D1634" s="1" t="s">
        <v>102</v>
      </c>
      <c r="E1634" s="1" t="s">
        <v>170</v>
      </c>
      <c r="F1634" s="83">
        <v>9</v>
      </c>
      <c r="G1634" s="92">
        <v>3660</v>
      </c>
      <c r="H1634" s="3">
        <v>9</v>
      </c>
      <c r="I1634" s="3">
        <v>29975.4</v>
      </c>
      <c r="J1634" s="1" t="s">
        <v>87</v>
      </c>
      <c r="K1634" s="1" t="s">
        <v>88</v>
      </c>
      <c r="L1634" t="str">
        <f>VLOOKUP(D1634, Products!A:C, 3, FALSE)</f>
        <v>Grocery</v>
      </c>
      <c r="M1634" t="str">
        <f>VLOOKUP(C1634, Customers!A:E, 5, FALSE)</f>
        <v>SMB</v>
      </c>
      <c r="N1634">
        <f>VLOOKUP(C1634, Customers!A:E, 3, FALSE)</f>
        <v>49</v>
      </c>
      <c r="O1634" s="93" t="str">
        <f>VLOOKUP(E1634, Sales_Reps!A:C, 3, FALSE)</f>
        <v>West</v>
      </c>
      <c r="P1634">
        <f>VLOOKUP(D1634, Products!A:E, 4, FALSE)</f>
        <v>2214</v>
      </c>
      <c r="Q1634">
        <f>IF(COUNTIF($A$2:A1634, A1634)=2, 1, 0)</f>
        <v>0</v>
      </c>
      <c r="R1634">
        <f>IF(ISNA(MATCH(C1634, Customers!$A:$A, 0)), 1, 0)</f>
        <v>0</v>
      </c>
      <c r="S1634" s="94" t="b">
        <f>VLOOKUP(D1634, Products!A:F, 6, FALSE)</f>
        <v>0</v>
      </c>
    </row>
    <row r="1635" spans="1:19">
      <c r="A1635" s="102" t="s">
        <v>2130</v>
      </c>
      <c r="B1635" s="2">
        <v>45420</v>
      </c>
      <c r="C1635" s="1" t="s">
        <v>638</v>
      </c>
      <c r="D1635" s="1" t="s">
        <v>226</v>
      </c>
      <c r="E1635" s="1" t="s">
        <v>107</v>
      </c>
      <c r="F1635" s="83">
        <v>3</v>
      </c>
      <c r="G1635" s="92">
        <v>3730</v>
      </c>
      <c r="H1635" s="3">
        <v>15.8</v>
      </c>
      <c r="I1635" s="3">
        <v>9421.98</v>
      </c>
      <c r="J1635" s="1" t="s">
        <v>87</v>
      </c>
      <c r="K1635" s="1" t="s">
        <v>99</v>
      </c>
      <c r="L1635" t="str">
        <f>VLOOKUP(D1635, Products!A:C, 3, FALSE)</f>
        <v>Home</v>
      </c>
      <c r="M1635" t="str">
        <f>VLOOKUP(C1635, Customers!A:E, 5, FALSE)</f>
        <v>Retail</v>
      </c>
      <c r="N1635">
        <f>VLOOKUP(C1635, Customers!A:E, 3, FALSE)</f>
        <v>43</v>
      </c>
      <c r="O1635" s="93" t="str">
        <f>VLOOKUP(E1635, Sales_Reps!A:C, 3, FALSE)</f>
        <v>North</v>
      </c>
      <c r="P1635">
        <f>VLOOKUP(D1635, Products!A:E, 4, FALSE)</f>
        <v>2135</v>
      </c>
      <c r="Q1635">
        <f>IF(COUNTIF($A$2:A1635, A1635)=2, 1, 0)</f>
        <v>0</v>
      </c>
      <c r="R1635">
        <f>IF(ISNA(MATCH(C1635, Customers!$A:$A, 0)), 1, 0)</f>
        <v>0</v>
      </c>
      <c r="S1635" s="94" t="b">
        <f>VLOOKUP(D1635, Products!A:F, 6, FALSE)</f>
        <v>1</v>
      </c>
    </row>
    <row r="1636" spans="1:19">
      <c r="A1636" s="102" t="s">
        <v>2131</v>
      </c>
      <c r="B1636" s="2">
        <v>45347</v>
      </c>
      <c r="C1636" s="1" t="s">
        <v>551</v>
      </c>
      <c r="D1636" s="1" t="s">
        <v>264</v>
      </c>
      <c r="E1636" s="1" t="s">
        <v>139</v>
      </c>
      <c r="F1636" s="83">
        <v>6</v>
      </c>
      <c r="G1636" s="92">
        <v>4070</v>
      </c>
      <c r="H1636" s="3">
        <v>6.2</v>
      </c>
      <c r="I1636" s="3">
        <v>22905.96</v>
      </c>
      <c r="J1636" s="1" t="s">
        <v>87</v>
      </c>
      <c r="K1636" s="1" t="s">
        <v>112</v>
      </c>
      <c r="L1636" t="str">
        <f>VLOOKUP(D1636, Products!A:C, 3, FALSE)</f>
        <v>Grocery</v>
      </c>
      <c r="M1636" t="str">
        <f>VLOOKUP(C1636, Customers!A:E, 5, FALSE)</f>
        <v>Corporate</v>
      </c>
      <c r="N1636">
        <f>VLOOKUP(C1636, Customers!A:E, 3, FALSE)</f>
        <v>60</v>
      </c>
      <c r="O1636" s="93" t="str">
        <f>VLOOKUP(E1636, Sales_Reps!A:C, 3, FALSE)</f>
        <v>North</v>
      </c>
      <c r="P1636">
        <f>VLOOKUP(D1636, Products!A:E, 4, FALSE)</f>
        <v>2027</v>
      </c>
      <c r="Q1636">
        <f>IF(COUNTIF($A$2:A1636, A1636)=2, 1, 0)</f>
        <v>0</v>
      </c>
      <c r="R1636">
        <f>IF(ISNA(MATCH(C1636, Customers!$A:$A, 0)), 1, 0)</f>
        <v>0</v>
      </c>
      <c r="S1636" s="94" t="b">
        <f>VLOOKUP(D1636, Products!A:F, 6, FALSE)</f>
        <v>1</v>
      </c>
    </row>
    <row r="1637" spans="1:19">
      <c r="A1637" s="102" t="s">
        <v>2132</v>
      </c>
      <c r="B1637" s="2">
        <v>45329</v>
      </c>
      <c r="C1637" s="1" t="s">
        <v>617</v>
      </c>
      <c r="D1637" s="1" t="s">
        <v>279</v>
      </c>
      <c r="E1637" s="1" t="s">
        <v>285</v>
      </c>
      <c r="F1637" s="83">
        <v>1</v>
      </c>
      <c r="G1637" s="92">
        <v>2660</v>
      </c>
      <c r="H1637" s="3">
        <v>14.6</v>
      </c>
      <c r="I1637" s="3">
        <v>2271.64</v>
      </c>
      <c r="J1637" s="1" t="s">
        <v>87</v>
      </c>
      <c r="K1637" s="1" t="s">
        <v>112</v>
      </c>
      <c r="L1637" t="str">
        <f>VLOOKUP(D1637, Products!A:C, 3, FALSE)</f>
        <v>Electronics</v>
      </c>
      <c r="M1637" t="str">
        <f>VLOOKUP(C1637, Customers!A:E, 5, FALSE)</f>
        <v>SMB</v>
      </c>
      <c r="N1637">
        <f>VLOOKUP(C1637, Customers!A:E, 3, FALSE)</f>
        <v>65</v>
      </c>
      <c r="O1637" s="93" t="str">
        <f>VLOOKUP(E1637, Sales_Reps!A:C, 3, FALSE)</f>
        <v>East</v>
      </c>
      <c r="P1637">
        <f>VLOOKUP(D1637, Products!A:E, 4, FALSE)</f>
        <v>1259</v>
      </c>
      <c r="Q1637">
        <f>IF(COUNTIF($A$2:A1637, A1637)=2, 1, 0)</f>
        <v>0</v>
      </c>
      <c r="R1637">
        <f>IF(ISNA(MATCH(C1637, Customers!$A:$A, 0)), 1, 0)</f>
        <v>0</v>
      </c>
      <c r="S1637" s="94" t="b">
        <f>VLOOKUP(D1637, Products!A:F, 6, FALSE)</f>
        <v>0</v>
      </c>
    </row>
    <row r="1638" spans="1:19">
      <c r="A1638" s="102" t="s">
        <v>2133</v>
      </c>
      <c r="B1638" s="2">
        <v>45378</v>
      </c>
      <c r="C1638" s="1" t="s">
        <v>150</v>
      </c>
      <c r="D1638" s="1" t="s">
        <v>295</v>
      </c>
      <c r="E1638" s="1" t="s">
        <v>148</v>
      </c>
      <c r="F1638" s="83">
        <v>3</v>
      </c>
      <c r="G1638" s="92">
        <v>2030</v>
      </c>
      <c r="H1638" s="3">
        <v>13.3</v>
      </c>
      <c r="I1638" s="3">
        <v>5280.03</v>
      </c>
      <c r="J1638" s="1" t="s">
        <v>140</v>
      </c>
      <c r="K1638" s="1" t="s">
        <v>88</v>
      </c>
      <c r="L1638" t="str">
        <f>VLOOKUP(D1638, Products!A:C, 3, FALSE)</f>
        <v>Home</v>
      </c>
      <c r="M1638" t="str">
        <f>VLOOKUP(C1638, Customers!A:E, 5, FALSE)</f>
        <v>Retail</v>
      </c>
      <c r="N1638">
        <f>VLOOKUP(C1638, Customers!A:E, 3, FALSE)</f>
        <v>63</v>
      </c>
      <c r="O1638" s="93" t="str">
        <f>VLOOKUP(E1638, Sales_Reps!A:C, 3, FALSE)</f>
        <v>North</v>
      </c>
      <c r="P1638">
        <f>VLOOKUP(D1638, Products!A:E, 4, FALSE)</f>
        <v>1143</v>
      </c>
      <c r="Q1638">
        <f>IF(COUNTIF($A$2:A1638, A1638)=2, 1, 0)</f>
        <v>0</v>
      </c>
      <c r="R1638">
        <f>IF(ISNA(MATCH(C1638, Customers!$A:$A, 0)), 1, 0)</f>
        <v>0</v>
      </c>
      <c r="S1638" s="94" t="b">
        <f>VLOOKUP(D1638, Products!A:F, 6, FALSE)</f>
        <v>1</v>
      </c>
    </row>
    <row r="1639" spans="1:19">
      <c r="A1639" s="102" t="s">
        <v>2134</v>
      </c>
      <c r="B1639" s="2">
        <v>45393</v>
      </c>
      <c r="C1639" s="1" t="s">
        <v>328</v>
      </c>
      <c r="D1639" s="1" t="s">
        <v>102</v>
      </c>
      <c r="E1639" s="1" t="s">
        <v>215</v>
      </c>
      <c r="F1639" s="83">
        <v>4</v>
      </c>
      <c r="G1639" s="92">
        <v>3660</v>
      </c>
      <c r="H1639" s="3">
        <v>2.2000000000000002</v>
      </c>
      <c r="I1639" s="3">
        <v>14317.92</v>
      </c>
      <c r="J1639" s="1" t="s">
        <v>87</v>
      </c>
      <c r="K1639" s="1" t="s">
        <v>94</v>
      </c>
      <c r="L1639" t="str">
        <f>VLOOKUP(D1639, Products!A:C, 3, FALSE)</f>
        <v>Grocery</v>
      </c>
      <c r="M1639" t="str">
        <f>VLOOKUP(C1639, Customers!A:E, 5, FALSE)</f>
        <v>Retail</v>
      </c>
      <c r="N1639">
        <f>VLOOKUP(C1639, Customers!A:E, 3, FALSE)</f>
        <v>28</v>
      </c>
      <c r="O1639" s="93" t="str">
        <f>VLOOKUP(E1639, Sales_Reps!A:C, 3, FALSE)</f>
        <v>North</v>
      </c>
      <c r="P1639">
        <f>VLOOKUP(D1639, Products!A:E, 4, FALSE)</f>
        <v>2214</v>
      </c>
      <c r="Q1639">
        <f>IF(COUNTIF($A$2:A1639, A1639)=2, 1, 0)</f>
        <v>0</v>
      </c>
      <c r="R1639">
        <f>IF(ISNA(MATCH(C1639, Customers!$A:$A, 0)), 1, 0)</f>
        <v>0</v>
      </c>
      <c r="S1639" s="94" t="b">
        <f>VLOOKUP(D1639, Products!A:F, 6, FALSE)</f>
        <v>0</v>
      </c>
    </row>
    <row r="1640" spans="1:19">
      <c r="A1640" s="102" t="s">
        <v>2135</v>
      </c>
      <c r="B1640" s="2">
        <v>45364</v>
      </c>
      <c r="C1640" s="1" t="s">
        <v>214</v>
      </c>
      <c r="D1640" s="1" t="s">
        <v>279</v>
      </c>
      <c r="E1640" s="1" t="s">
        <v>103</v>
      </c>
      <c r="F1640" s="83">
        <v>2</v>
      </c>
      <c r="G1640" s="92">
        <v>2660</v>
      </c>
      <c r="H1640" s="3">
        <v>7.2</v>
      </c>
      <c r="I1640" s="3">
        <v>4936.96</v>
      </c>
      <c r="J1640" s="1" t="s">
        <v>140</v>
      </c>
      <c r="K1640" s="1" t="s">
        <v>117</v>
      </c>
      <c r="L1640" t="str">
        <f>VLOOKUP(D1640, Products!A:C, 3, FALSE)</f>
        <v>Electronics</v>
      </c>
      <c r="M1640" t="str">
        <f>VLOOKUP(C1640, Customers!A:E, 5, FALSE)</f>
        <v>Retail</v>
      </c>
      <c r="N1640">
        <f>VLOOKUP(C1640, Customers!A:E, 3, FALSE)</f>
        <v>42</v>
      </c>
      <c r="O1640" s="93" t="str">
        <f>VLOOKUP(E1640, Sales_Reps!A:C, 3, FALSE)</f>
        <v>North</v>
      </c>
      <c r="P1640">
        <f>VLOOKUP(D1640, Products!A:E, 4, FALSE)</f>
        <v>1259</v>
      </c>
      <c r="Q1640">
        <f>IF(COUNTIF($A$2:A1640, A1640)=2, 1, 0)</f>
        <v>0</v>
      </c>
      <c r="R1640">
        <f>IF(ISNA(MATCH(C1640, Customers!$A:$A, 0)), 1, 0)</f>
        <v>0</v>
      </c>
      <c r="S1640" s="94" t="b">
        <f>VLOOKUP(D1640, Products!A:F, 6, FALSE)</f>
        <v>0</v>
      </c>
    </row>
    <row r="1641" spans="1:19">
      <c r="A1641" s="102" t="s">
        <v>2136</v>
      </c>
      <c r="B1641" s="2">
        <v>45624</v>
      </c>
      <c r="C1641" s="1" t="s">
        <v>537</v>
      </c>
      <c r="D1641" s="1" t="s">
        <v>184</v>
      </c>
      <c r="E1641" s="1" t="s">
        <v>252</v>
      </c>
      <c r="F1641" s="83">
        <v>2</v>
      </c>
      <c r="G1641" s="92">
        <v>4880</v>
      </c>
      <c r="H1641" s="3">
        <v>23.8</v>
      </c>
      <c r="I1641" s="3">
        <v>7437.12</v>
      </c>
      <c r="J1641" s="1" t="s">
        <v>87</v>
      </c>
      <c r="K1641" s="1" t="s">
        <v>133</v>
      </c>
      <c r="L1641" t="str">
        <f>VLOOKUP(D1641, Products!A:C, 3, FALSE)</f>
        <v>Beauty</v>
      </c>
      <c r="M1641" t="str">
        <f>VLOOKUP(C1641, Customers!A:E, 5, FALSE)</f>
        <v>SMB</v>
      </c>
      <c r="N1641">
        <f>VLOOKUP(C1641, Customers!A:E, 3, FALSE)</f>
        <v>48</v>
      </c>
      <c r="O1641" s="93" t="str">
        <f>VLOOKUP(E1641, Sales_Reps!A:C, 3, FALSE)</f>
        <v>South</v>
      </c>
      <c r="P1641">
        <f>VLOOKUP(D1641, Products!A:E, 4, FALSE)</f>
        <v>2768</v>
      </c>
      <c r="Q1641">
        <f>IF(COUNTIF($A$2:A1641, A1641)=2, 1, 0)</f>
        <v>0</v>
      </c>
      <c r="R1641">
        <f>IF(ISNA(MATCH(C1641, Customers!$A:$A, 0)), 1, 0)</f>
        <v>0</v>
      </c>
      <c r="S1641" s="94" t="b">
        <f>VLOOKUP(D1641, Products!A:F, 6, FALSE)</f>
        <v>1</v>
      </c>
    </row>
    <row r="1642" spans="1:19">
      <c r="A1642" s="102" t="s">
        <v>2137</v>
      </c>
      <c r="B1642" s="2">
        <v>45411</v>
      </c>
      <c r="C1642" s="1" t="s">
        <v>816</v>
      </c>
      <c r="D1642" s="1" t="s">
        <v>452</v>
      </c>
      <c r="E1642" s="1" t="s">
        <v>273</v>
      </c>
      <c r="F1642" s="83">
        <v>1</v>
      </c>
      <c r="G1642" s="92">
        <v>3450</v>
      </c>
      <c r="H1642" s="3">
        <v>1.7</v>
      </c>
      <c r="I1642" s="3">
        <v>3391.35</v>
      </c>
      <c r="J1642" s="1" t="s">
        <v>87</v>
      </c>
      <c r="K1642" s="1" t="s">
        <v>88</v>
      </c>
      <c r="L1642" t="str">
        <f>VLOOKUP(D1642, Products!A:C, 3, FALSE)</f>
        <v>Apparel</v>
      </c>
      <c r="M1642" t="str">
        <f>VLOOKUP(C1642, Customers!A:E, 5, FALSE)</f>
        <v>Retail</v>
      </c>
      <c r="N1642">
        <f>VLOOKUP(C1642, Customers!A:E, 3, FALSE)</f>
        <v>36</v>
      </c>
      <c r="O1642" s="93" t="str">
        <f>VLOOKUP(E1642, Sales_Reps!A:C, 3, FALSE)</f>
        <v>South</v>
      </c>
      <c r="P1642">
        <f>VLOOKUP(D1642, Products!A:E, 4, FALSE)</f>
        <v>1748</v>
      </c>
      <c r="Q1642">
        <f>IF(COUNTIF($A$2:A1642, A1642)=2, 1, 0)</f>
        <v>0</v>
      </c>
      <c r="R1642">
        <f>IF(ISNA(MATCH(C1642, Customers!$A:$A, 0)), 1, 0)</f>
        <v>0</v>
      </c>
      <c r="S1642" s="94" t="b">
        <f>VLOOKUP(D1642, Products!A:F, 6, FALSE)</f>
        <v>1</v>
      </c>
    </row>
    <row r="1643" spans="1:19">
      <c r="A1643" s="102" t="s">
        <v>2138</v>
      </c>
      <c r="B1643" s="2">
        <v>45550</v>
      </c>
      <c r="C1643" s="1" t="s">
        <v>390</v>
      </c>
      <c r="D1643" s="1" t="s">
        <v>276</v>
      </c>
      <c r="E1643" s="1" t="s">
        <v>154</v>
      </c>
      <c r="F1643" s="83">
        <v>4</v>
      </c>
      <c r="G1643" s="92">
        <v>3020</v>
      </c>
      <c r="H1643" s="3">
        <v>17.8</v>
      </c>
      <c r="I1643" s="3">
        <v>9929.76</v>
      </c>
      <c r="J1643" s="1" t="s">
        <v>87</v>
      </c>
      <c r="K1643" s="1" t="s">
        <v>88</v>
      </c>
      <c r="L1643" t="str">
        <f>VLOOKUP(D1643, Products!A:C, 3, FALSE)</f>
        <v>Beauty</v>
      </c>
      <c r="M1643" t="str">
        <f>VLOOKUP(C1643, Customers!A:E, 5, FALSE)</f>
        <v>SMB</v>
      </c>
      <c r="N1643">
        <f>VLOOKUP(C1643, Customers!A:E, 3, FALSE)</f>
        <v>54</v>
      </c>
      <c r="O1643" s="93" t="str">
        <f>VLOOKUP(E1643, Sales_Reps!A:C, 3, FALSE)</f>
        <v>East</v>
      </c>
      <c r="P1643">
        <f>VLOOKUP(D1643, Products!A:E, 4, FALSE)</f>
        <v>1626</v>
      </c>
      <c r="Q1643">
        <f>IF(COUNTIF($A$2:A1643, A1643)=2, 1, 0)</f>
        <v>0</v>
      </c>
      <c r="R1643">
        <f>IF(ISNA(MATCH(C1643, Customers!$A:$A, 0)), 1, 0)</f>
        <v>0</v>
      </c>
      <c r="S1643" s="94" t="b">
        <f>VLOOKUP(D1643, Products!A:F, 6, FALSE)</f>
        <v>1</v>
      </c>
    </row>
    <row r="1644" spans="1:19">
      <c r="A1644" s="102" t="s">
        <v>2139</v>
      </c>
      <c r="B1644" s="2">
        <v>45512</v>
      </c>
      <c r="C1644" s="1" t="s">
        <v>968</v>
      </c>
      <c r="D1644" s="1" t="s">
        <v>515</v>
      </c>
      <c r="E1644" s="1" t="s">
        <v>158</v>
      </c>
      <c r="F1644" s="83">
        <v>6</v>
      </c>
      <c r="G1644" s="92">
        <v>6940</v>
      </c>
      <c r="H1644" s="3">
        <v>8.9</v>
      </c>
      <c r="I1644" s="3">
        <v>37934.04</v>
      </c>
      <c r="J1644" s="1" t="s">
        <v>87</v>
      </c>
      <c r="K1644" s="1" t="s">
        <v>99</v>
      </c>
      <c r="L1644" t="str">
        <f>VLOOKUP(D1644, Products!A:C, 3, FALSE)</f>
        <v>Sports</v>
      </c>
      <c r="M1644" t="str">
        <f>VLOOKUP(C1644, Customers!A:E, 5, FALSE)</f>
        <v>Retail</v>
      </c>
      <c r="N1644">
        <f>VLOOKUP(C1644, Customers!A:E, 3, FALSE)</f>
        <v>47</v>
      </c>
      <c r="O1644" s="93" t="str">
        <f>VLOOKUP(E1644, Sales_Reps!A:C, 3, FALSE)</f>
        <v>East</v>
      </c>
      <c r="P1644">
        <f>VLOOKUP(D1644, Products!A:E, 4, FALSE)</f>
        <v>2827</v>
      </c>
      <c r="Q1644">
        <f>IF(COUNTIF($A$2:A1644, A1644)=2, 1, 0)</f>
        <v>0</v>
      </c>
      <c r="R1644">
        <f>IF(ISNA(MATCH(C1644, Customers!$A:$A, 0)), 1, 0)</f>
        <v>0</v>
      </c>
      <c r="S1644" s="94" t="b">
        <f>VLOOKUP(D1644, Products!A:F, 6, FALSE)</f>
        <v>1</v>
      </c>
    </row>
    <row r="1645" spans="1:19">
      <c r="A1645" s="102" t="s">
        <v>2140</v>
      </c>
      <c r="B1645" s="2">
        <v>45523</v>
      </c>
      <c r="C1645" s="1" t="s">
        <v>422</v>
      </c>
      <c r="D1645" s="1" t="s">
        <v>200</v>
      </c>
      <c r="E1645" s="1" t="s">
        <v>154</v>
      </c>
      <c r="F1645" s="83">
        <v>10</v>
      </c>
      <c r="G1645" s="92">
        <v>2760</v>
      </c>
      <c r="H1645" s="3">
        <v>8.9</v>
      </c>
      <c r="I1645" s="3">
        <v>25143.599999999999</v>
      </c>
      <c r="J1645" s="1" t="s">
        <v>87</v>
      </c>
      <c r="K1645" s="1" t="s">
        <v>94</v>
      </c>
      <c r="L1645" t="str">
        <f>VLOOKUP(D1645, Products!A:C, 3, FALSE)</f>
        <v>Grocery</v>
      </c>
      <c r="M1645" t="str">
        <f>VLOOKUP(C1645, Customers!A:E, 5, FALSE)</f>
        <v>SMB</v>
      </c>
      <c r="N1645">
        <f>VLOOKUP(C1645, Customers!A:E, 3, FALSE)</f>
        <v>64</v>
      </c>
      <c r="O1645" s="93" t="str">
        <f>VLOOKUP(E1645, Sales_Reps!A:C, 3, FALSE)</f>
        <v>East</v>
      </c>
      <c r="P1645">
        <f>VLOOKUP(D1645, Products!A:E, 4, FALSE)</f>
        <v>1435</v>
      </c>
      <c r="Q1645">
        <f>IF(COUNTIF($A$2:A1645, A1645)=2, 1, 0)</f>
        <v>0</v>
      </c>
      <c r="R1645">
        <f>IF(ISNA(MATCH(C1645, Customers!$A:$A, 0)), 1, 0)</f>
        <v>0</v>
      </c>
      <c r="S1645" s="94" t="b">
        <f>VLOOKUP(D1645, Products!A:F, 6, FALSE)</f>
        <v>1</v>
      </c>
    </row>
    <row r="1646" spans="1:19">
      <c r="A1646" s="102" t="s">
        <v>2141</v>
      </c>
      <c r="B1646" s="2">
        <v>45310</v>
      </c>
      <c r="C1646" s="1" t="s">
        <v>427</v>
      </c>
      <c r="D1646" s="1" t="s">
        <v>380</v>
      </c>
      <c r="E1646" s="1" t="s">
        <v>192</v>
      </c>
      <c r="F1646" s="83">
        <v>8</v>
      </c>
      <c r="G1646" s="92">
        <v>960</v>
      </c>
      <c r="H1646" s="3">
        <v>20.9</v>
      </c>
      <c r="I1646" s="3">
        <v>6074.88</v>
      </c>
      <c r="J1646" s="1" t="s">
        <v>87</v>
      </c>
      <c r="K1646" s="1" t="s">
        <v>88</v>
      </c>
      <c r="L1646" t="str">
        <f>VLOOKUP(D1646, Products!A:C, 3, FALSE)</f>
        <v>Beauty</v>
      </c>
      <c r="M1646" t="str">
        <f>VLOOKUP(C1646, Customers!A:E, 5, FALSE)</f>
        <v>Corporate</v>
      </c>
      <c r="N1646">
        <f>VLOOKUP(C1646, Customers!A:E, 3, FALSE)</f>
        <v>48</v>
      </c>
      <c r="O1646" s="93" t="str">
        <f>VLOOKUP(E1646, Sales_Reps!A:C, 3, FALSE)</f>
        <v>East</v>
      </c>
      <c r="P1646">
        <f>VLOOKUP(D1646, Products!A:E, 4, FALSE)</f>
        <v>675</v>
      </c>
      <c r="Q1646">
        <f>IF(COUNTIF($A$2:A1646, A1646)=2, 1, 0)</f>
        <v>0</v>
      </c>
      <c r="R1646">
        <f>IF(ISNA(MATCH(C1646, Customers!$A:$A, 0)), 1, 0)</f>
        <v>0</v>
      </c>
      <c r="S1646" s="94" t="b">
        <f>VLOOKUP(D1646, Products!A:F, 6, FALSE)</f>
        <v>1</v>
      </c>
    </row>
    <row r="1647" spans="1:19">
      <c r="A1647" s="102" t="s">
        <v>2142</v>
      </c>
      <c r="B1647" s="2">
        <v>45498</v>
      </c>
      <c r="C1647" s="1" t="s">
        <v>835</v>
      </c>
      <c r="D1647" s="1" t="s">
        <v>380</v>
      </c>
      <c r="E1647" s="1" t="s">
        <v>325</v>
      </c>
      <c r="F1647" s="83">
        <v>4</v>
      </c>
      <c r="G1647" s="92">
        <v>960</v>
      </c>
      <c r="H1647" s="3">
        <v>29.1</v>
      </c>
      <c r="I1647" s="3">
        <v>2722.56</v>
      </c>
      <c r="J1647" s="1" t="s">
        <v>87</v>
      </c>
      <c r="K1647" s="1" t="s">
        <v>117</v>
      </c>
      <c r="L1647" t="str">
        <f>VLOOKUP(D1647, Products!A:C, 3, FALSE)</f>
        <v>Beauty</v>
      </c>
      <c r="M1647" t="str">
        <f>VLOOKUP(C1647, Customers!A:E, 5, FALSE)</f>
        <v>Retail</v>
      </c>
      <c r="N1647">
        <f>VLOOKUP(C1647, Customers!A:E, 3, FALSE)</f>
        <v>52</v>
      </c>
      <c r="O1647" s="93" t="str">
        <f>VLOOKUP(E1647, Sales_Reps!A:C, 3, FALSE)</f>
        <v>South</v>
      </c>
      <c r="P1647">
        <f>VLOOKUP(D1647, Products!A:E, 4, FALSE)</f>
        <v>675</v>
      </c>
      <c r="Q1647">
        <f>IF(COUNTIF($A$2:A1647, A1647)=2, 1, 0)</f>
        <v>0</v>
      </c>
      <c r="R1647">
        <f>IF(ISNA(MATCH(C1647, Customers!$A:$A, 0)), 1, 0)</f>
        <v>0</v>
      </c>
      <c r="S1647" s="94" t="b">
        <f>VLOOKUP(D1647, Products!A:F, 6, FALSE)</f>
        <v>1</v>
      </c>
    </row>
    <row r="1648" spans="1:19">
      <c r="A1648" s="102" t="s">
        <v>2143</v>
      </c>
      <c r="B1648" s="2">
        <v>45410</v>
      </c>
      <c r="C1648" s="1" t="s">
        <v>429</v>
      </c>
      <c r="D1648" s="1" t="s">
        <v>127</v>
      </c>
      <c r="E1648" s="1" t="s">
        <v>158</v>
      </c>
      <c r="F1648" s="83">
        <v>1</v>
      </c>
      <c r="G1648" s="92">
        <v>970</v>
      </c>
      <c r="H1648" s="3">
        <v>8.4</v>
      </c>
      <c r="I1648" s="3">
        <v>888.52</v>
      </c>
      <c r="J1648" s="1" t="s">
        <v>140</v>
      </c>
      <c r="K1648" s="1" t="s">
        <v>117</v>
      </c>
      <c r="L1648" t="str">
        <f>VLOOKUP(D1648, Products!A:C, 3, FALSE)</f>
        <v>Grocery</v>
      </c>
      <c r="M1648" t="str">
        <f>VLOOKUP(C1648, Customers!A:E, 5, FALSE)</f>
        <v>Retail</v>
      </c>
      <c r="N1648">
        <f>VLOOKUP(C1648, Customers!A:E, 3, FALSE)</f>
        <v>55</v>
      </c>
      <c r="O1648" s="93" t="str">
        <f>VLOOKUP(E1648, Sales_Reps!A:C, 3, FALSE)</f>
        <v>East</v>
      </c>
      <c r="P1648">
        <f>VLOOKUP(D1648, Products!A:E, 4, FALSE)</f>
        <v>434</v>
      </c>
      <c r="Q1648">
        <f>IF(COUNTIF($A$2:A1648, A1648)=2, 1, 0)</f>
        <v>0</v>
      </c>
      <c r="R1648">
        <f>IF(ISNA(MATCH(C1648, Customers!$A:$A, 0)), 1, 0)</f>
        <v>0</v>
      </c>
      <c r="S1648" s="94" t="b">
        <f>VLOOKUP(D1648, Products!A:F, 6, FALSE)</f>
        <v>1</v>
      </c>
    </row>
    <row r="1649" spans="1:19">
      <c r="A1649" s="102" t="s">
        <v>2144</v>
      </c>
      <c r="B1649" s="2">
        <v>45400</v>
      </c>
      <c r="C1649" s="1" t="s">
        <v>874</v>
      </c>
      <c r="D1649" s="1" t="s">
        <v>241</v>
      </c>
      <c r="E1649" s="1" t="s">
        <v>154</v>
      </c>
      <c r="F1649" s="83">
        <v>5</v>
      </c>
      <c r="G1649" s="92">
        <v>6080</v>
      </c>
      <c r="H1649" s="3">
        <v>17.600000000000001</v>
      </c>
      <c r="I1649" s="3">
        <v>25049.599999999999</v>
      </c>
      <c r="J1649" s="1" t="s">
        <v>87</v>
      </c>
      <c r="K1649" s="1" t="s">
        <v>112</v>
      </c>
      <c r="L1649" t="str">
        <f>VLOOKUP(D1649, Products!A:C, 3, FALSE)</f>
        <v>Beauty</v>
      </c>
      <c r="M1649" t="str">
        <f>VLOOKUP(C1649, Customers!A:E, 5, FALSE)</f>
        <v>Retail</v>
      </c>
      <c r="N1649">
        <f>VLOOKUP(C1649, Customers!A:E, 3, FALSE)</f>
        <v>57</v>
      </c>
      <c r="O1649" s="93" t="str">
        <f>VLOOKUP(E1649, Sales_Reps!A:C, 3, FALSE)</f>
        <v>East</v>
      </c>
      <c r="P1649">
        <f>VLOOKUP(D1649, Products!A:E, 4, FALSE)</f>
        <v>2617</v>
      </c>
      <c r="Q1649">
        <f>IF(COUNTIF($A$2:A1649, A1649)=2, 1, 0)</f>
        <v>0</v>
      </c>
      <c r="R1649">
        <f>IF(ISNA(MATCH(C1649, Customers!$A:$A, 0)), 1, 0)</f>
        <v>0</v>
      </c>
      <c r="S1649" s="94" t="b">
        <f>VLOOKUP(D1649, Products!A:F, 6, FALSE)</f>
        <v>1</v>
      </c>
    </row>
    <row r="1650" spans="1:19">
      <c r="A1650" s="102" t="s">
        <v>2145</v>
      </c>
      <c r="B1650" s="2">
        <v>45525</v>
      </c>
      <c r="C1650" s="1" t="s">
        <v>968</v>
      </c>
      <c r="D1650" s="1" t="s">
        <v>102</v>
      </c>
      <c r="E1650" s="1" t="s">
        <v>252</v>
      </c>
      <c r="F1650" s="83">
        <v>4</v>
      </c>
      <c r="G1650" s="92">
        <v>3660</v>
      </c>
      <c r="H1650" s="3">
        <v>21.8</v>
      </c>
      <c r="I1650" s="3">
        <v>11448.48</v>
      </c>
      <c r="J1650" s="1" t="s">
        <v>93</v>
      </c>
      <c r="K1650" s="1" t="s">
        <v>99</v>
      </c>
      <c r="L1650" t="str">
        <f>VLOOKUP(D1650, Products!A:C, 3, FALSE)</f>
        <v>Grocery</v>
      </c>
      <c r="M1650" t="str">
        <f>VLOOKUP(C1650, Customers!A:E, 5, FALSE)</f>
        <v>Retail</v>
      </c>
      <c r="N1650">
        <f>VLOOKUP(C1650, Customers!A:E, 3, FALSE)</f>
        <v>47</v>
      </c>
      <c r="O1650" s="93" t="str">
        <f>VLOOKUP(E1650, Sales_Reps!A:C, 3, FALSE)</f>
        <v>South</v>
      </c>
      <c r="P1650">
        <f>VLOOKUP(D1650, Products!A:E, 4, FALSE)</f>
        <v>2214</v>
      </c>
      <c r="Q1650">
        <f>IF(COUNTIF($A$2:A1650, A1650)=2, 1, 0)</f>
        <v>0</v>
      </c>
      <c r="R1650">
        <f>IF(ISNA(MATCH(C1650, Customers!$A:$A, 0)), 1, 0)</f>
        <v>0</v>
      </c>
      <c r="S1650" s="94" t="b">
        <f>VLOOKUP(D1650, Products!A:F, 6, FALSE)</f>
        <v>0</v>
      </c>
    </row>
    <row r="1651" spans="1:19">
      <c r="A1651" s="102" t="s">
        <v>2146</v>
      </c>
      <c r="B1651" s="2">
        <v>45462</v>
      </c>
      <c r="C1651" s="1" t="s">
        <v>318</v>
      </c>
      <c r="D1651" s="1" t="s">
        <v>226</v>
      </c>
      <c r="E1651" s="1" t="s">
        <v>107</v>
      </c>
      <c r="F1651" s="83">
        <v>6</v>
      </c>
      <c r="G1651" s="92">
        <v>3730</v>
      </c>
      <c r="H1651" s="3">
        <v>13.3</v>
      </c>
      <c r="I1651" s="3">
        <v>19403.46</v>
      </c>
      <c r="J1651" s="1" t="s">
        <v>140</v>
      </c>
      <c r="K1651" s="1" t="s">
        <v>94</v>
      </c>
      <c r="L1651" t="str">
        <f>VLOOKUP(D1651, Products!A:C, 3, FALSE)</f>
        <v>Home</v>
      </c>
      <c r="M1651" t="str">
        <f>VLOOKUP(C1651, Customers!A:E, 5, FALSE)</f>
        <v>SMB</v>
      </c>
      <c r="N1651">
        <f>VLOOKUP(C1651, Customers!A:E, 3, FALSE)</f>
        <v>57</v>
      </c>
      <c r="O1651" s="93" t="str">
        <f>VLOOKUP(E1651, Sales_Reps!A:C, 3, FALSE)</f>
        <v>North</v>
      </c>
      <c r="P1651">
        <f>VLOOKUP(D1651, Products!A:E, 4, FALSE)</f>
        <v>2135</v>
      </c>
      <c r="Q1651">
        <f>IF(COUNTIF($A$2:A1651, A1651)=2, 1, 0)</f>
        <v>0</v>
      </c>
      <c r="R1651">
        <f>IF(ISNA(MATCH(C1651, Customers!$A:$A, 0)), 1, 0)</f>
        <v>0</v>
      </c>
      <c r="S1651" s="94" t="b">
        <f>VLOOKUP(D1651, Products!A:F, 6, FALSE)</f>
        <v>1</v>
      </c>
    </row>
    <row r="1652" spans="1:19">
      <c r="A1652" s="102" t="s">
        <v>2147</v>
      </c>
      <c r="B1652" s="2">
        <v>45625</v>
      </c>
      <c r="C1652" s="1" t="s">
        <v>258</v>
      </c>
      <c r="D1652" s="1" t="s">
        <v>248</v>
      </c>
      <c r="E1652" s="1" t="s">
        <v>229</v>
      </c>
      <c r="F1652" s="83">
        <v>8</v>
      </c>
      <c r="G1652" s="92">
        <v>3870</v>
      </c>
      <c r="H1652" s="3">
        <v>21.2</v>
      </c>
      <c r="I1652" s="3">
        <v>24396.48</v>
      </c>
      <c r="J1652" s="1" t="s">
        <v>93</v>
      </c>
      <c r="K1652" s="1" t="s">
        <v>99</v>
      </c>
      <c r="L1652" t="str">
        <f>VLOOKUP(D1652, Products!A:C, 3, FALSE)</f>
        <v>Electronics</v>
      </c>
      <c r="M1652" t="str">
        <f>VLOOKUP(C1652, Customers!A:E, 5, FALSE)</f>
        <v>SMB</v>
      </c>
      <c r="N1652">
        <f>VLOOKUP(C1652, Customers!A:E, 3, FALSE)</f>
        <v>55</v>
      </c>
      <c r="O1652" s="93" t="str">
        <f>VLOOKUP(E1652, Sales_Reps!A:C, 3, FALSE)</f>
        <v>West</v>
      </c>
      <c r="P1652">
        <f>VLOOKUP(D1652, Products!A:E, 4, FALSE)</f>
        <v>1559</v>
      </c>
      <c r="Q1652">
        <f>IF(COUNTIF($A$2:A1652, A1652)=2, 1, 0)</f>
        <v>0</v>
      </c>
      <c r="R1652">
        <f>IF(ISNA(MATCH(C1652, Customers!$A:$A, 0)), 1, 0)</f>
        <v>0</v>
      </c>
      <c r="S1652" s="94" t="b">
        <f>VLOOKUP(D1652, Products!A:F, 6, FALSE)</f>
        <v>1</v>
      </c>
    </row>
    <row r="1653" spans="1:19">
      <c r="A1653" s="102" t="s">
        <v>2148</v>
      </c>
      <c r="B1653" s="2">
        <v>45390</v>
      </c>
      <c r="C1653" s="1" t="s">
        <v>416</v>
      </c>
      <c r="D1653" s="1" t="s">
        <v>200</v>
      </c>
      <c r="E1653" s="1" t="s">
        <v>346</v>
      </c>
      <c r="F1653" s="83">
        <v>4</v>
      </c>
      <c r="G1653" s="92">
        <v>2760</v>
      </c>
      <c r="H1653" s="3">
        <v>14</v>
      </c>
      <c r="I1653" s="3">
        <v>9494.4</v>
      </c>
      <c r="J1653" s="1" t="s">
        <v>87</v>
      </c>
      <c r="K1653" s="1" t="s">
        <v>117</v>
      </c>
      <c r="L1653" t="str">
        <f>VLOOKUP(D1653, Products!A:C, 3, FALSE)</f>
        <v>Grocery</v>
      </c>
      <c r="M1653" t="str">
        <f>VLOOKUP(C1653, Customers!A:E, 5, FALSE)</f>
        <v>Corporate</v>
      </c>
      <c r="N1653">
        <f>VLOOKUP(C1653, Customers!A:E, 3, FALSE)</f>
        <v>42</v>
      </c>
      <c r="O1653" s="93" t="str">
        <f>VLOOKUP(E1653, Sales_Reps!A:C, 3, FALSE)</f>
        <v>South</v>
      </c>
      <c r="P1653">
        <f>VLOOKUP(D1653, Products!A:E, 4, FALSE)</f>
        <v>1435</v>
      </c>
      <c r="Q1653">
        <f>IF(COUNTIF($A$2:A1653, A1653)=2, 1, 0)</f>
        <v>0</v>
      </c>
      <c r="R1653">
        <f>IF(ISNA(MATCH(C1653, Customers!$A:$A, 0)), 1, 0)</f>
        <v>0</v>
      </c>
      <c r="S1653" s="94" t="b">
        <f>VLOOKUP(D1653, Products!A:F, 6, FALSE)</f>
        <v>1</v>
      </c>
    </row>
    <row r="1654" spans="1:19">
      <c r="A1654" s="102" t="s">
        <v>2149</v>
      </c>
      <c r="B1654" s="2">
        <v>45597</v>
      </c>
      <c r="C1654" s="1" t="s">
        <v>208</v>
      </c>
      <c r="D1654" s="1" t="s">
        <v>367</v>
      </c>
      <c r="E1654" s="1" t="s">
        <v>192</v>
      </c>
      <c r="F1654" s="83">
        <v>5</v>
      </c>
      <c r="G1654" s="92">
        <v>2380</v>
      </c>
      <c r="H1654" s="3">
        <v>16.399999999999999</v>
      </c>
      <c r="I1654" s="3">
        <v>9948.4</v>
      </c>
      <c r="J1654" s="1" t="s">
        <v>87</v>
      </c>
      <c r="K1654" s="1" t="s">
        <v>133</v>
      </c>
      <c r="L1654" t="str">
        <f>VLOOKUP(D1654, Products!A:C, 3, FALSE)</f>
        <v>Grocery</v>
      </c>
      <c r="M1654" t="str">
        <f>VLOOKUP(C1654, Customers!A:E, 5, FALSE)</f>
        <v>Retail</v>
      </c>
      <c r="N1654">
        <f>VLOOKUP(C1654, Customers!A:E, 3, FALSE)</f>
        <v>26</v>
      </c>
      <c r="O1654" s="93" t="str">
        <f>VLOOKUP(E1654, Sales_Reps!A:C, 3, FALSE)</f>
        <v>East</v>
      </c>
      <c r="P1654">
        <f>VLOOKUP(D1654, Products!A:E, 4, FALSE)</f>
        <v>1182</v>
      </c>
      <c r="Q1654">
        <f>IF(COUNTIF($A$2:A1654, A1654)=2, 1, 0)</f>
        <v>0</v>
      </c>
      <c r="R1654">
        <f>IF(ISNA(MATCH(C1654, Customers!$A:$A, 0)), 1, 0)</f>
        <v>0</v>
      </c>
      <c r="S1654" s="94" t="b">
        <f>VLOOKUP(D1654, Products!A:F, 6, FALSE)</f>
        <v>1</v>
      </c>
    </row>
    <row r="1655" spans="1:19">
      <c r="A1655" s="102" t="s">
        <v>2150</v>
      </c>
      <c r="B1655" s="2">
        <v>45307</v>
      </c>
      <c r="C1655" s="1" t="s">
        <v>2151</v>
      </c>
      <c r="D1655" s="1" t="s">
        <v>241</v>
      </c>
      <c r="E1655" s="1" t="s">
        <v>188</v>
      </c>
      <c r="F1655" s="83">
        <v>2</v>
      </c>
      <c r="G1655" s="92">
        <v>6080</v>
      </c>
      <c r="H1655" s="3">
        <v>20.100000000000001</v>
      </c>
      <c r="I1655" s="3">
        <v>9715.84</v>
      </c>
      <c r="J1655" s="1" t="s">
        <v>140</v>
      </c>
      <c r="K1655" s="1" t="s">
        <v>112</v>
      </c>
      <c r="L1655" t="str">
        <f>VLOOKUP(D1655, Products!A:C, 3, FALSE)</f>
        <v>Beauty</v>
      </c>
      <c r="M1655" t="e">
        <f>VLOOKUP(C1655, Customers!A:E, 5, FALSE)</f>
        <v>#N/A</v>
      </c>
      <c r="N1655" t="e">
        <f>VLOOKUP(C1655, Customers!A:E, 3, FALSE)</f>
        <v>#N/A</v>
      </c>
      <c r="O1655" s="93" t="str">
        <f>VLOOKUP(E1655, Sales_Reps!A:C, 3, FALSE)</f>
        <v>South</v>
      </c>
      <c r="P1655">
        <f>VLOOKUP(D1655, Products!A:E, 4, FALSE)</f>
        <v>2617</v>
      </c>
      <c r="Q1655">
        <f>IF(COUNTIF($A$2:A1655, A1655)=2, 1, 0)</f>
        <v>0</v>
      </c>
      <c r="R1655">
        <f>IF(ISNA(MATCH(C1655, Customers!$A:$A, 0)), 1, 0)</f>
        <v>1</v>
      </c>
      <c r="S1655" s="94" t="b">
        <f>VLOOKUP(D1655, Products!A:F, 6, FALSE)</f>
        <v>1</v>
      </c>
    </row>
    <row r="1656" spans="1:19">
      <c r="A1656" s="102" t="s">
        <v>2152</v>
      </c>
      <c r="B1656" s="2">
        <v>45568</v>
      </c>
      <c r="C1656" s="1" t="s">
        <v>539</v>
      </c>
      <c r="D1656" s="1" t="s">
        <v>292</v>
      </c>
      <c r="E1656" s="1" t="s">
        <v>346</v>
      </c>
      <c r="F1656" s="83">
        <v>2</v>
      </c>
      <c r="G1656" s="92">
        <v>620</v>
      </c>
      <c r="H1656" s="3">
        <v>4.3</v>
      </c>
      <c r="I1656" s="3">
        <v>1186.68</v>
      </c>
      <c r="J1656" s="1" t="s">
        <v>87</v>
      </c>
      <c r="K1656" s="1" t="s">
        <v>133</v>
      </c>
      <c r="L1656" t="str">
        <f>VLOOKUP(D1656, Products!A:C, 3, FALSE)</f>
        <v>Apparel</v>
      </c>
      <c r="M1656" t="str">
        <f>VLOOKUP(C1656, Customers!A:E, 5, FALSE)</f>
        <v>Retail</v>
      </c>
      <c r="N1656">
        <f>VLOOKUP(C1656, Customers!A:E, 3, FALSE)</f>
        <v>38</v>
      </c>
      <c r="O1656" s="93" t="str">
        <f>VLOOKUP(E1656, Sales_Reps!A:C, 3, FALSE)</f>
        <v>South</v>
      </c>
      <c r="P1656">
        <f>VLOOKUP(D1656, Products!A:E, 4, FALSE)</f>
        <v>396</v>
      </c>
      <c r="Q1656">
        <f>IF(COUNTIF($A$2:A1656, A1656)=2, 1, 0)</f>
        <v>0</v>
      </c>
      <c r="R1656">
        <f>IF(ISNA(MATCH(C1656, Customers!$A:$A, 0)), 1, 0)</f>
        <v>0</v>
      </c>
      <c r="S1656" s="94" t="b">
        <f>VLOOKUP(D1656, Products!A:F, 6, FALSE)</f>
        <v>1</v>
      </c>
    </row>
    <row r="1657" spans="1:19">
      <c r="A1657" s="102" t="s">
        <v>2153</v>
      </c>
      <c r="B1657" s="2">
        <v>45654</v>
      </c>
      <c r="C1657" s="1" t="s">
        <v>472</v>
      </c>
      <c r="D1657" s="1" t="s">
        <v>248</v>
      </c>
      <c r="E1657" s="1" t="s">
        <v>325</v>
      </c>
      <c r="F1657" s="83">
        <v>7</v>
      </c>
      <c r="G1657" s="92">
        <v>3870</v>
      </c>
      <c r="H1657" s="3">
        <v>5.9</v>
      </c>
      <c r="I1657" s="3">
        <v>25491.69</v>
      </c>
      <c r="J1657" s="1" t="s">
        <v>87</v>
      </c>
      <c r="K1657" s="1" t="s">
        <v>94</v>
      </c>
      <c r="L1657" t="str">
        <f>VLOOKUP(D1657, Products!A:C, 3, FALSE)</f>
        <v>Electronics</v>
      </c>
      <c r="M1657" t="str">
        <f>VLOOKUP(C1657, Customers!A:E, 5, FALSE)</f>
        <v>Corporate</v>
      </c>
      <c r="N1657">
        <f>VLOOKUP(C1657, Customers!A:E, 3, FALSE)</f>
        <v>35</v>
      </c>
      <c r="O1657" s="93" t="str">
        <f>VLOOKUP(E1657, Sales_Reps!A:C, 3, FALSE)</f>
        <v>South</v>
      </c>
      <c r="P1657">
        <f>VLOOKUP(D1657, Products!A:E, 4, FALSE)</f>
        <v>1559</v>
      </c>
      <c r="Q1657">
        <f>IF(COUNTIF($A$2:A1657, A1657)=2, 1, 0)</f>
        <v>0</v>
      </c>
      <c r="R1657">
        <f>IF(ISNA(MATCH(C1657, Customers!$A:$A, 0)), 1, 0)</f>
        <v>0</v>
      </c>
      <c r="S1657" s="94" t="b">
        <f>VLOOKUP(D1657, Products!A:F, 6, FALSE)</f>
        <v>1</v>
      </c>
    </row>
    <row r="1658" spans="1:19">
      <c r="A1658" s="102" t="s">
        <v>2154</v>
      </c>
      <c r="B1658" s="2">
        <v>45412</v>
      </c>
      <c r="C1658" s="1" t="s">
        <v>1006</v>
      </c>
      <c r="D1658" s="1" t="s">
        <v>187</v>
      </c>
      <c r="E1658" s="1" t="s">
        <v>192</v>
      </c>
      <c r="F1658" s="83">
        <v>8</v>
      </c>
      <c r="G1658" s="92">
        <v>3570</v>
      </c>
      <c r="H1658" s="3">
        <v>24.6</v>
      </c>
      <c r="I1658" s="3">
        <v>21534.240000000002</v>
      </c>
      <c r="J1658" s="1" t="s">
        <v>87</v>
      </c>
      <c r="K1658" s="1" t="s">
        <v>117</v>
      </c>
      <c r="L1658" t="str">
        <f>VLOOKUP(D1658, Products!A:C, 3, FALSE)</f>
        <v>Electronics</v>
      </c>
      <c r="M1658" t="str">
        <f>VLOOKUP(C1658, Customers!A:E, 5, FALSE)</f>
        <v>SMB</v>
      </c>
      <c r="N1658">
        <f>VLOOKUP(C1658, Customers!A:E, 3, FALSE)</f>
        <v>44</v>
      </c>
      <c r="O1658" s="93" t="str">
        <f>VLOOKUP(E1658, Sales_Reps!A:C, 3, FALSE)</f>
        <v>East</v>
      </c>
      <c r="P1658">
        <f>VLOOKUP(D1658, Products!A:E, 4, FALSE)</f>
        <v>1665</v>
      </c>
      <c r="Q1658">
        <f>IF(COUNTIF($A$2:A1658, A1658)=2, 1, 0)</f>
        <v>0</v>
      </c>
      <c r="R1658">
        <f>IF(ISNA(MATCH(C1658, Customers!$A:$A, 0)), 1, 0)</f>
        <v>0</v>
      </c>
      <c r="S1658" s="94" t="b">
        <f>VLOOKUP(D1658, Products!A:F, 6, FALSE)</f>
        <v>1</v>
      </c>
    </row>
    <row r="1659" spans="1:19">
      <c r="A1659" s="102" t="s">
        <v>2155</v>
      </c>
      <c r="B1659" s="2">
        <v>45653</v>
      </c>
      <c r="C1659" s="1" t="s">
        <v>247</v>
      </c>
      <c r="D1659" s="1" t="s">
        <v>264</v>
      </c>
      <c r="E1659" s="1" t="s">
        <v>132</v>
      </c>
      <c r="F1659" s="83">
        <v>1</v>
      </c>
      <c r="G1659" s="92">
        <v>4070</v>
      </c>
      <c r="H1659" s="3">
        <v>29.1</v>
      </c>
      <c r="I1659" s="3">
        <v>2885.63</v>
      </c>
      <c r="J1659" s="1" t="s">
        <v>93</v>
      </c>
      <c r="K1659" s="1" t="s">
        <v>117</v>
      </c>
      <c r="L1659" t="str">
        <f>VLOOKUP(D1659, Products!A:C, 3, FALSE)</f>
        <v>Grocery</v>
      </c>
      <c r="M1659" t="str">
        <f>VLOOKUP(C1659, Customers!A:E, 5, FALSE)</f>
        <v>Retail</v>
      </c>
      <c r="N1659">
        <f>VLOOKUP(C1659, Customers!A:E, 3, FALSE)</f>
        <v>34</v>
      </c>
      <c r="O1659" s="93" t="str">
        <f>VLOOKUP(E1659, Sales_Reps!A:C, 3, FALSE)</f>
        <v>South</v>
      </c>
      <c r="P1659">
        <f>VLOOKUP(D1659, Products!A:E, 4, FALSE)</f>
        <v>2027</v>
      </c>
      <c r="Q1659">
        <f>IF(COUNTIF($A$2:A1659, A1659)=2, 1, 0)</f>
        <v>0</v>
      </c>
      <c r="R1659">
        <f>IF(ISNA(MATCH(C1659, Customers!$A:$A, 0)), 1, 0)</f>
        <v>0</v>
      </c>
      <c r="S1659" s="94" t="b">
        <f>VLOOKUP(D1659, Products!A:F, 6, FALSE)</f>
        <v>1</v>
      </c>
    </row>
    <row r="1660" spans="1:19">
      <c r="A1660" s="102" t="s">
        <v>2156</v>
      </c>
      <c r="B1660" s="2">
        <v>45568</v>
      </c>
      <c r="C1660" s="1" t="s">
        <v>510</v>
      </c>
      <c r="D1660" s="1" t="s">
        <v>91</v>
      </c>
      <c r="E1660" s="1" t="s">
        <v>238</v>
      </c>
      <c r="F1660" s="83">
        <v>1</v>
      </c>
      <c r="G1660" s="92">
        <v>820</v>
      </c>
      <c r="H1660" s="3">
        <v>17.899999999999999</v>
      </c>
      <c r="I1660" s="3">
        <v>673.22</v>
      </c>
      <c r="J1660" s="1" t="s">
        <v>87</v>
      </c>
      <c r="K1660" s="1" t="s">
        <v>117</v>
      </c>
      <c r="L1660" t="str">
        <f>VLOOKUP(D1660, Products!A:C, 3, FALSE)</f>
        <v>Apparel</v>
      </c>
      <c r="M1660" t="str">
        <f>VLOOKUP(C1660, Customers!A:E, 5, FALSE)</f>
        <v>SMB</v>
      </c>
      <c r="N1660">
        <f>VLOOKUP(C1660, Customers!A:E, 3, FALSE)</f>
        <v>26</v>
      </c>
      <c r="O1660" s="93" t="str">
        <f>VLOOKUP(E1660, Sales_Reps!A:C, 3, FALSE)</f>
        <v>East</v>
      </c>
      <c r="P1660">
        <f>VLOOKUP(D1660, Products!A:E, 4, FALSE)</f>
        <v>391</v>
      </c>
      <c r="Q1660">
        <f>IF(COUNTIF($A$2:A1660, A1660)=2, 1, 0)</f>
        <v>0</v>
      </c>
      <c r="R1660">
        <f>IF(ISNA(MATCH(C1660, Customers!$A:$A, 0)), 1, 0)</f>
        <v>0</v>
      </c>
      <c r="S1660" s="94" t="b">
        <f>VLOOKUP(D1660, Products!A:F, 6, FALSE)</f>
        <v>1</v>
      </c>
    </row>
    <row r="1661" spans="1:19">
      <c r="A1661" s="102" t="s">
        <v>2157</v>
      </c>
      <c r="B1661" s="2">
        <v>45643</v>
      </c>
      <c r="C1661" s="1" t="s">
        <v>299</v>
      </c>
      <c r="D1661" s="1" t="s">
        <v>276</v>
      </c>
      <c r="E1661" s="1" t="s">
        <v>229</v>
      </c>
      <c r="F1661" s="83">
        <v>5</v>
      </c>
      <c r="G1661" s="92">
        <v>3020</v>
      </c>
      <c r="H1661" s="3">
        <v>26.2</v>
      </c>
      <c r="I1661" s="3">
        <v>11143.8</v>
      </c>
      <c r="J1661" s="1" t="s">
        <v>87</v>
      </c>
      <c r="K1661" s="1" t="s">
        <v>133</v>
      </c>
      <c r="L1661" t="str">
        <f>VLOOKUP(D1661, Products!A:C, 3, FALSE)</f>
        <v>Beauty</v>
      </c>
      <c r="M1661" t="str">
        <f>VLOOKUP(C1661, Customers!A:E, 5, FALSE)</f>
        <v>Retail</v>
      </c>
      <c r="N1661">
        <f>VLOOKUP(C1661, Customers!A:E, 3, FALSE)</f>
        <v>29</v>
      </c>
      <c r="O1661" s="93" t="str">
        <f>VLOOKUP(E1661, Sales_Reps!A:C, 3, FALSE)</f>
        <v>West</v>
      </c>
      <c r="P1661">
        <f>VLOOKUP(D1661, Products!A:E, 4, FALSE)</f>
        <v>1626</v>
      </c>
      <c r="Q1661">
        <f>IF(COUNTIF($A$2:A1661, A1661)=2, 1, 0)</f>
        <v>0</v>
      </c>
      <c r="R1661">
        <f>IF(ISNA(MATCH(C1661, Customers!$A:$A, 0)), 1, 0)</f>
        <v>0</v>
      </c>
      <c r="S1661" s="94" t="b">
        <f>VLOOKUP(D1661, Products!A:F, 6, FALSE)</f>
        <v>1</v>
      </c>
    </row>
    <row r="1662" spans="1:19">
      <c r="A1662" s="102" t="s">
        <v>2158</v>
      </c>
      <c r="B1662" s="2">
        <v>45411</v>
      </c>
      <c r="C1662" s="1" t="s">
        <v>628</v>
      </c>
      <c r="D1662" s="1" t="s">
        <v>659</v>
      </c>
      <c r="E1662" s="1" t="s">
        <v>285</v>
      </c>
      <c r="F1662" s="83">
        <v>10</v>
      </c>
      <c r="G1662" s="92">
        <v>3560</v>
      </c>
      <c r="H1662" s="3">
        <v>15.4</v>
      </c>
      <c r="I1662" s="3">
        <v>30117.599999999999</v>
      </c>
      <c r="J1662" s="1" t="s">
        <v>144</v>
      </c>
      <c r="K1662" s="1" t="s">
        <v>133</v>
      </c>
      <c r="L1662" t="str">
        <f>VLOOKUP(D1662, Products!A:C, 3, FALSE)</f>
        <v>Apparel</v>
      </c>
      <c r="M1662" t="str">
        <f>VLOOKUP(C1662, Customers!A:E, 5, FALSE)</f>
        <v>Corporate</v>
      </c>
      <c r="N1662">
        <f>VLOOKUP(C1662, Customers!A:E, 3, FALSE)</f>
        <v>22</v>
      </c>
      <c r="O1662" s="93" t="str">
        <f>VLOOKUP(E1662, Sales_Reps!A:C, 3, FALSE)</f>
        <v>East</v>
      </c>
      <c r="P1662">
        <f>VLOOKUP(D1662, Products!A:E, 4, FALSE)</f>
        <v>2629</v>
      </c>
      <c r="Q1662">
        <f>IF(COUNTIF($A$2:A1662, A1662)=2, 1, 0)</f>
        <v>0</v>
      </c>
      <c r="R1662">
        <f>IF(ISNA(MATCH(C1662, Customers!$A:$A, 0)), 1, 0)</f>
        <v>0</v>
      </c>
      <c r="S1662" s="94" t="b">
        <f>VLOOKUP(D1662, Products!A:F, 6, FALSE)</f>
        <v>1</v>
      </c>
    </row>
    <row r="1663" spans="1:19">
      <c r="A1663" s="102" t="s">
        <v>1458</v>
      </c>
      <c r="B1663" s="2">
        <v>45467</v>
      </c>
      <c r="C1663" s="1" t="s">
        <v>278</v>
      </c>
      <c r="D1663" s="1" t="s">
        <v>179</v>
      </c>
      <c r="E1663" s="1" t="s">
        <v>215</v>
      </c>
      <c r="F1663" s="83">
        <v>3</v>
      </c>
      <c r="G1663" s="92">
        <v>3350</v>
      </c>
      <c r="H1663" s="3">
        <v>8.1</v>
      </c>
      <c r="I1663" s="3">
        <v>9235.9500000000007</v>
      </c>
      <c r="J1663" s="1" t="s">
        <v>87</v>
      </c>
      <c r="K1663" s="1" t="s">
        <v>133</v>
      </c>
      <c r="L1663" t="str">
        <f>VLOOKUP(D1663, Products!A:C, 3, FALSE)</f>
        <v>Beauty</v>
      </c>
      <c r="M1663" t="str">
        <f>VLOOKUP(C1663, Customers!A:E, 5, FALSE)</f>
        <v>Corporate</v>
      </c>
      <c r="N1663">
        <f>VLOOKUP(C1663, Customers!A:E, 3, FALSE)</f>
        <v>29</v>
      </c>
      <c r="O1663" s="93" t="str">
        <f>VLOOKUP(E1663, Sales_Reps!A:C, 3, FALSE)</f>
        <v>North</v>
      </c>
      <c r="P1663">
        <f>VLOOKUP(D1663, Products!A:E, 4, FALSE)</f>
        <v>1728</v>
      </c>
      <c r="Q1663">
        <f>IF(COUNTIF($A$2:A1663, A1663)=2, 1, 0)</f>
        <v>1</v>
      </c>
      <c r="R1663">
        <f>IF(ISNA(MATCH(C1663, Customers!$A:$A, 0)), 1, 0)</f>
        <v>0</v>
      </c>
      <c r="S1663" s="94" t="b">
        <f>VLOOKUP(D1663, Products!A:F, 6, FALSE)</f>
        <v>1</v>
      </c>
    </row>
    <row r="1664" spans="1:19">
      <c r="A1664" s="102" t="s">
        <v>2159</v>
      </c>
      <c r="B1664" s="2">
        <v>45542</v>
      </c>
      <c r="C1664" s="1" t="s">
        <v>720</v>
      </c>
      <c r="D1664" s="1" t="s">
        <v>386</v>
      </c>
      <c r="E1664" s="1" t="s">
        <v>111</v>
      </c>
      <c r="F1664" s="83">
        <v>10</v>
      </c>
      <c r="G1664" s="92">
        <v>2290</v>
      </c>
      <c r="H1664" s="3">
        <v>7</v>
      </c>
      <c r="I1664" s="3">
        <v>21297</v>
      </c>
      <c r="J1664" s="1" t="s">
        <v>87</v>
      </c>
      <c r="K1664" s="1" t="s">
        <v>88</v>
      </c>
      <c r="L1664" t="str">
        <f>VLOOKUP(D1664, Products!A:C, 3, FALSE)</f>
        <v>Beauty</v>
      </c>
      <c r="M1664" t="str">
        <f>VLOOKUP(C1664, Customers!A:E, 5, FALSE)</f>
        <v>Retail</v>
      </c>
      <c r="N1664">
        <f>VLOOKUP(C1664, Customers!A:E, 3, FALSE)</f>
        <v>48</v>
      </c>
      <c r="O1664" s="93" t="str">
        <f>VLOOKUP(E1664, Sales_Reps!A:C, 3, FALSE)</f>
        <v>West</v>
      </c>
      <c r="P1664">
        <f>VLOOKUP(D1664, Products!A:E, 4, FALSE)</f>
        <v>1219</v>
      </c>
      <c r="Q1664">
        <f>IF(COUNTIF($A$2:A1664, A1664)=2, 1, 0)</f>
        <v>0</v>
      </c>
      <c r="R1664">
        <f>IF(ISNA(MATCH(C1664, Customers!$A:$A, 0)), 1, 0)</f>
        <v>0</v>
      </c>
      <c r="S1664" s="94" t="b">
        <f>VLOOKUP(D1664, Products!A:F, 6, FALSE)</f>
        <v>1</v>
      </c>
    </row>
    <row r="1665" spans="1:19">
      <c r="A1665" s="102" t="s">
        <v>2160</v>
      </c>
      <c r="B1665" s="2">
        <v>45483</v>
      </c>
      <c r="C1665" s="1" t="s">
        <v>411</v>
      </c>
      <c r="D1665" s="1" t="s">
        <v>102</v>
      </c>
      <c r="E1665" s="1" t="s">
        <v>148</v>
      </c>
      <c r="F1665" s="83">
        <v>6</v>
      </c>
      <c r="G1665" s="92">
        <v>3660</v>
      </c>
      <c r="H1665" s="3">
        <v>29.9</v>
      </c>
      <c r="I1665" s="3">
        <v>15393.96</v>
      </c>
      <c r="J1665" s="1" t="s">
        <v>87</v>
      </c>
      <c r="K1665" s="1" t="s">
        <v>112</v>
      </c>
      <c r="L1665" t="str">
        <f>VLOOKUP(D1665, Products!A:C, 3, FALSE)</f>
        <v>Grocery</v>
      </c>
      <c r="M1665" t="str">
        <f>VLOOKUP(C1665, Customers!A:E, 5, FALSE)</f>
        <v>Retail</v>
      </c>
      <c r="N1665">
        <f>VLOOKUP(C1665, Customers!A:E, 3, FALSE)</f>
        <v>61</v>
      </c>
      <c r="O1665" s="93" t="str">
        <f>VLOOKUP(E1665, Sales_Reps!A:C, 3, FALSE)</f>
        <v>North</v>
      </c>
      <c r="P1665">
        <f>VLOOKUP(D1665, Products!A:E, 4, FALSE)</f>
        <v>2214</v>
      </c>
      <c r="Q1665">
        <f>IF(COUNTIF($A$2:A1665, A1665)=2, 1, 0)</f>
        <v>0</v>
      </c>
      <c r="R1665">
        <f>IF(ISNA(MATCH(C1665, Customers!$A:$A, 0)), 1, 0)</f>
        <v>0</v>
      </c>
      <c r="S1665" s="94" t="b">
        <f>VLOOKUP(D1665, Products!A:F, 6, FALSE)</f>
        <v>0</v>
      </c>
    </row>
    <row r="1666" spans="1:19">
      <c r="A1666" s="102" t="s">
        <v>2161</v>
      </c>
      <c r="B1666" s="2">
        <v>45426</v>
      </c>
      <c r="C1666" s="1" t="s">
        <v>524</v>
      </c>
      <c r="D1666" s="1" t="s">
        <v>135</v>
      </c>
      <c r="E1666" s="1" t="s">
        <v>252</v>
      </c>
      <c r="F1666" s="83">
        <v>8</v>
      </c>
      <c r="G1666" s="92">
        <v>2640</v>
      </c>
      <c r="H1666" s="3">
        <v>4.2</v>
      </c>
      <c r="I1666" s="3">
        <v>20232.96</v>
      </c>
      <c r="J1666" s="1" t="s">
        <v>144</v>
      </c>
      <c r="K1666" s="1" t="s">
        <v>112</v>
      </c>
      <c r="L1666" t="str">
        <f>VLOOKUP(D1666, Products!A:C, 3, FALSE)</f>
        <v>Electronics</v>
      </c>
      <c r="M1666" t="str">
        <f>VLOOKUP(C1666, Customers!A:E, 5, FALSE)</f>
        <v>Corporate</v>
      </c>
      <c r="N1666">
        <f>VLOOKUP(C1666, Customers!A:E, 3, FALSE)</f>
        <v>55</v>
      </c>
      <c r="O1666" s="93" t="str">
        <f>VLOOKUP(E1666, Sales_Reps!A:C, 3, FALSE)</f>
        <v>South</v>
      </c>
      <c r="P1666">
        <f>VLOOKUP(D1666, Products!A:E, 4, FALSE)</f>
        <v>1149</v>
      </c>
      <c r="Q1666">
        <f>IF(COUNTIF($A$2:A1666, A1666)=2, 1, 0)</f>
        <v>0</v>
      </c>
      <c r="R1666">
        <f>IF(ISNA(MATCH(C1666, Customers!$A:$A, 0)), 1, 0)</f>
        <v>0</v>
      </c>
      <c r="S1666" s="94" t="b">
        <f>VLOOKUP(D1666, Products!A:F, 6, FALSE)</f>
        <v>1</v>
      </c>
    </row>
    <row r="1667" spans="1:19">
      <c r="A1667" s="102" t="s">
        <v>2162</v>
      </c>
      <c r="B1667" s="2">
        <v>45386</v>
      </c>
      <c r="C1667" s="1" t="s">
        <v>150</v>
      </c>
      <c r="D1667" s="1" t="s">
        <v>110</v>
      </c>
      <c r="E1667" s="1" t="s">
        <v>103</v>
      </c>
      <c r="F1667" s="83">
        <v>5</v>
      </c>
      <c r="G1667" s="92">
        <v>370</v>
      </c>
      <c r="H1667" s="3">
        <v>6</v>
      </c>
      <c r="I1667" s="3">
        <v>1739</v>
      </c>
      <c r="J1667" s="1" t="s">
        <v>87</v>
      </c>
      <c r="K1667" s="1" t="s">
        <v>88</v>
      </c>
      <c r="L1667" t="str">
        <f>VLOOKUP(D1667, Products!A:C, 3, FALSE)</f>
        <v>Home</v>
      </c>
      <c r="M1667" t="str">
        <f>VLOOKUP(C1667, Customers!A:E, 5, FALSE)</f>
        <v>Retail</v>
      </c>
      <c r="N1667">
        <f>VLOOKUP(C1667, Customers!A:E, 3, FALSE)</f>
        <v>63</v>
      </c>
      <c r="O1667" s="93" t="str">
        <f>VLOOKUP(E1667, Sales_Reps!A:C, 3, FALSE)</f>
        <v>North</v>
      </c>
      <c r="P1667">
        <f>VLOOKUP(D1667, Products!A:E, 4, FALSE)</f>
        <v>288</v>
      </c>
      <c r="Q1667">
        <f>IF(COUNTIF($A$2:A1667, A1667)=2, 1, 0)</f>
        <v>0</v>
      </c>
      <c r="R1667">
        <f>IF(ISNA(MATCH(C1667, Customers!$A:$A, 0)), 1, 0)</f>
        <v>0</v>
      </c>
      <c r="S1667" s="94" t="b">
        <f>VLOOKUP(D1667, Products!A:F, 6, FALSE)</f>
        <v>1</v>
      </c>
    </row>
    <row r="1668" spans="1:19">
      <c r="A1668" s="102" t="s">
        <v>2163</v>
      </c>
      <c r="B1668" s="2">
        <v>45377</v>
      </c>
      <c r="C1668" s="1" t="s">
        <v>1065</v>
      </c>
      <c r="D1668" s="1" t="s">
        <v>131</v>
      </c>
      <c r="E1668" s="1" t="s">
        <v>86</v>
      </c>
      <c r="F1668" s="83">
        <v>9</v>
      </c>
      <c r="G1668" s="92">
        <v>2270</v>
      </c>
      <c r="H1668" s="3">
        <v>4.7</v>
      </c>
      <c r="I1668" s="3">
        <v>19469.79</v>
      </c>
      <c r="J1668" s="1" t="s">
        <v>87</v>
      </c>
      <c r="K1668" s="1" t="s">
        <v>94</v>
      </c>
      <c r="L1668" t="str">
        <f>VLOOKUP(D1668, Products!A:C, 3, FALSE)</f>
        <v>Grocery</v>
      </c>
      <c r="M1668" t="str">
        <f>VLOOKUP(C1668, Customers!A:E, 5, FALSE)</f>
        <v>Retail</v>
      </c>
      <c r="N1668">
        <f>VLOOKUP(C1668, Customers!A:E, 3, FALSE)</f>
        <v>49</v>
      </c>
      <c r="O1668" s="93" t="str">
        <f>VLOOKUP(E1668, Sales_Reps!A:C, 3, FALSE)</f>
        <v>North</v>
      </c>
      <c r="P1668">
        <f>VLOOKUP(D1668, Products!A:E, 4, FALSE)</f>
        <v>1203</v>
      </c>
      <c r="Q1668">
        <f>IF(COUNTIF($A$2:A1668, A1668)=2, 1, 0)</f>
        <v>0</v>
      </c>
      <c r="R1668">
        <f>IF(ISNA(MATCH(C1668, Customers!$A:$A, 0)), 1, 0)</f>
        <v>0</v>
      </c>
      <c r="S1668" s="94" t="b">
        <f>VLOOKUP(D1668, Products!A:F, 6, FALSE)</f>
        <v>1</v>
      </c>
    </row>
    <row r="1669" spans="1:19">
      <c r="A1669" s="102" t="s">
        <v>2164</v>
      </c>
      <c r="B1669" s="2">
        <v>45414</v>
      </c>
      <c r="C1669" s="1" t="s">
        <v>837</v>
      </c>
      <c r="D1669" s="1" t="s">
        <v>203</v>
      </c>
      <c r="E1669" s="1" t="s">
        <v>273</v>
      </c>
      <c r="F1669" s="83">
        <v>5</v>
      </c>
      <c r="G1669" s="92">
        <v>660</v>
      </c>
      <c r="H1669" s="3">
        <v>21</v>
      </c>
      <c r="I1669" s="3">
        <v>2607</v>
      </c>
      <c r="J1669" s="1" t="s">
        <v>87</v>
      </c>
      <c r="K1669" s="1" t="s">
        <v>117</v>
      </c>
      <c r="L1669" t="str">
        <f>VLOOKUP(D1669, Products!A:C, 3, FALSE)</f>
        <v>Home</v>
      </c>
      <c r="M1669" t="str">
        <f>VLOOKUP(C1669, Customers!A:E, 5, FALSE)</f>
        <v>Retail</v>
      </c>
      <c r="N1669">
        <f>VLOOKUP(C1669, Customers!A:E, 3, FALSE)</f>
        <v>37</v>
      </c>
      <c r="O1669" s="93" t="str">
        <f>VLOOKUP(E1669, Sales_Reps!A:C, 3, FALSE)</f>
        <v>South</v>
      </c>
      <c r="P1669">
        <f>VLOOKUP(D1669, Products!A:E, 4, FALSE)</f>
        <v>329</v>
      </c>
      <c r="Q1669">
        <f>IF(COUNTIF($A$2:A1669, A1669)=2, 1, 0)</f>
        <v>0</v>
      </c>
      <c r="R1669">
        <f>IF(ISNA(MATCH(C1669, Customers!$A:$A, 0)), 1, 0)</f>
        <v>0</v>
      </c>
      <c r="S1669" s="94" t="b">
        <f>VLOOKUP(D1669, Products!A:F, 6, FALSE)</f>
        <v>1</v>
      </c>
    </row>
    <row r="1670" spans="1:19">
      <c r="A1670" s="102" t="s">
        <v>2165</v>
      </c>
      <c r="B1670" s="2">
        <v>45407</v>
      </c>
      <c r="C1670" s="1" t="s">
        <v>2166</v>
      </c>
      <c r="D1670" s="1" t="s">
        <v>115</v>
      </c>
      <c r="E1670" s="1" t="s">
        <v>148</v>
      </c>
      <c r="F1670" s="83">
        <v>2</v>
      </c>
      <c r="G1670" s="92">
        <v>960</v>
      </c>
      <c r="H1670" s="3">
        <v>7.3</v>
      </c>
      <c r="I1670" s="3">
        <v>1779.84</v>
      </c>
      <c r="J1670" s="1" t="s">
        <v>87</v>
      </c>
      <c r="K1670" s="1" t="s">
        <v>117</v>
      </c>
      <c r="L1670" t="str">
        <f>VLOOKUP(D1670, Products!A:C, 3, FALSE)</f>
        <v>Sports</v>
      </c>
      <c r="M1670" t="e">
        <f>VLOOKUP(C1670, Customers!A:E, 5, FALSE)</f>
        <v>#N/A</v>
      </c>
      <c r="N1670" t="e">
        <f>VLOOKUP(C1670, Customers!A:E, 3, FALSE)</f>
        <v>#N/A</v>
      </c>
      <c r="O1670" s="93" t="str">
        <f>VLOOKUP(E1670, Sales_Reps!A:C, 3, FALSE)</f>
        <v>North</v>
      </c>
      <c r="P1670">
        <f>VLOOKUP(D1670, Products!A:E, 4, FALSE)</f>
        <v>705</v>
      </c>
      <c r="Q1670">
        <f>IF(COUNTIF($A$2:A1670, A1670)=2, 1, 0)</f>
        <v>0</v>
      </c>
      <c r="R1670">
        <f>IF(ISNA(MATCH(C1670, Customers!$A:$A, 0)), 1, 0)</f>
        <v>1</v>
      </c>
      <c r="S1670" s="94" t="b">
        <f>VLOOKUP(D1670, Products!A:F, 6, FALSE)</f>
        <v>1</v>
      </c>
    </row>
    <row r="1671" spans="1:19">
      <c r="A1671" s="102" t="s">
        <v>2167</v>
      </c>
      <c r="B1671" s="2">
        <v>45509</v>
      </c>
      <c r="C1671" s="1" t="s">
        <v>166</v>
      </c>
      <c r="D1671" s="1" t="s">
        <v>191</v>
      </c>
      <c r="E1671" s="1" t="s">
        <v>204</v>
      </c>
      <c r="F1671" s="83">
        <v>3</v>
      </c>
      <c r="G1671" s="92">
        <v>5100</v>
      </c>
      <c r="H1671" s="3">
        <v>21</v>
      </c>
      <c r="I1671" s="3">
        <v>12087</v>
      </c>
      <c r="J1671" s="1" t="s">
        <v>87</v>
      </c>
      <c r="K1671" s="1" t="s">
        <v>133</v>
      </c>
      <c r="L1671" t="str">
        <f>VLOOKUP(D1671, Products!A:C, 3, FALSE)</f>
        <v>Beauty</v>
      </c>
      <c r="M1671" t="str">
        <f>VLOOKUP(C1671, Customers!A:E, 5, FALSE)</f>
        <v>Retail</v>
      </c>
      <c r="N1671">
        <f>VLOOKUP(C1671, Customers!A:E, 3, FALSE)</f>
        <v>32</v>
      </c>
      <c r="O1671" s="93" t="str">
        <f>VLOOKUP(E1671, Sales_Reps!A:C, 3, FALSE)</f>
        <v>South</v>
      </c>
      <c r="P1671">
        <f>VLOOKUP(D1671, Products!A:E, 4, FALSE)</f>
        <v>2237</v>
      </c>
      <c r="Q1671">
        <f>IF(COUNTIF($A$2:A1671, A1671)=2, 1, 0)</f>
        <v>0</v>
      </c>
      <c r="R1671">
        <f>IF(ISNA(MATCH(C1671, Customers!$A:$A, 0)), 1, 0)</f>
        <v>0</v>
      </c>
      <c r="S1671" s="94" t="b">
        <f>VLOOKUP(D1671, Products!A:F, 6, FALSE)</f>
        <v>1</v>
      </c>
    </row>
    <row r="1672" spans="1:19">
      <c r="A1672" s="102" t="s">
        <v>2168</v>
      </c>
      <c r="B1672" s="2">
        <v>45566</v>
      </c>
      <c r="C1672" s="1" t="s">
        <v>281</v>
      </c>
      <c r="D1672" s="1" t="s">
        <v>106</v>
      </c>
      <c r="E1672" s="1" t="s">
        <v>139</v>
      </c>
      <c r="F1672" s="83">
        <v>3</v>
      </c>
      <c r="G1672" s="92">
        <v>3160</v>
      </c>
      <c r="H1672" s="3">
        <v>13.5</v>
      </c>
      <c r="I1672" s="3">
        <v>8200.2000000000007</v>
      </c>
      <c r="J1672" s="1" t="s">
        <v>87</v>
      </c>
      <c r="K1672" s="1" t="s">
        <v>88</v>
      </c>
      <c r="L1672" t="str">
        <f>VLOOKUP(D1672, Products!A:C, 3, FALSE)</f>
        <v>Apparel</v>
      </c>
      <c r="M1672" t="str">
        <f>VLOOKUP(C1672, Customers!A:E, 5, FALSE)</f>
        <v>Retail</v>
      </c>
      <c r="N1672">
        <f>VLOOKUP(C1672, Customers!A:E, 3, FALSE)</f>
        <v>25</v>
      </c>
      <c r="O1672" s="93" t="str">
        <f>VLOOKUP(E1672, Sales_Reps!A:C, 3, FALSE)</f>
        <v>North</v>
      </c>
      <c r="P1672">
        <f>VLOOKUP(D1672, Products!A:E, 4, FALSE)</f>
        <v>1886</v>
      </c>
      <c r="Q1672">
        <f>IF(COUNTIF($A$2:A1672, A1672)=2, 1, 0)</f>
        <v>0</v>
      </c>
      <c r="R1672">
        <f>IF(ISNA(MATCH(C1672, Customers!$A:$A, 0)), 1, 0)</f>
        <v>0</v>
      </c>
      <c r="S1672" s="94" t="b">
        <f>VLOOKUP(D1672, Products!A:F, 6, FALSE)</f>
        <v>1</v>
      </c>
    </row>
    <row r="1673" spans="1:19">
      <c r="A1673" s="102" t="s">
        <v>2169</v>
      </c>
      <c r="B1673" s="2">
        <v>45524</v>
      </c>
      <c r="C1673" s="1" t="s">
        <v>2170</v>
      </c>
      <c r="D1673" s="1" t="s">
        <v>259</v>
      </c>
      <c r="E1673" s="1" t="s">
        <v>92</v>
      </c>
      <c r="F1673" s="83">
        <v>9</v>
      </c>
      <c r="G1673" s="92">
        <v>1540</v>
      </c>
      <c r="H1673" s="3">
        <v>18.2</v>
      </c>
      <c r="I1673" s="3">
        <v>11337.48</v>
      </c>
      <c r="J1673" s="1" t="s">
        <v>140</v>
      </c>
      <c r="K1673" s="1" t="s">
        <v>117</v>
      </c>
      <c r="L1673" t="str">
        <f>VLOOKUP(D1673, Products!A:C, 3, FALSE)</f>
        <v>Beauty</v>
      </c>
      <c r="M1673" t="e">
        <f>VLOOKUP(C1673, Customers!A:E, 5, FALSE)</f>
        <v>#N/A</v>
      </c>
      <c r="N1673" t="e">
        <f>VLOOKUP(C1673, Customers!A:E, 3, FALSE)</f>
        <v>#N/A</v>
      </c>
      <c r="O1673" s="93" t="str">
        <f>VLOOKUP(E1673, Sales_Reps!A:C, 3, FALSE)</f>
        <v>North</v>
      </c>
      <c r="P1673">
        <f>VLOOKUP(D1673, Products!A:E, 4, FALSE)</f>
        <v>647</v>
      </c>
      <c r="Q1673">
        <f>IF(COUNTIF($A$2:A1673, A1673)=2, 1, 0)</f>
        <v>0</v>
      </c>
      <c r="R1673">
        <f>IF(ISNA(MATCH(C1673, Customers!$A:$A, 0)), 1, 0)</f>
        <v>1</v>
      </c>
      <c r="S1673" s="94" t="b">
        <f>VLOOKUP(D1673, Products!A:F, 6, FALSE)</f>
        <v>0</v>
      </c>
    </row>
    <row r="1674" spans="1:19">
      <c r="A1674" s="102" t="s">
        <v>2171</v>
      </c>
      <c r="B1674" s="2">
        <v>45431</v>
      </c>
      <c r="C1674" s="1" t="s">
        <v>153</v>
      </c>
      <c r="D1674" s="1" t="s">
        <v>157</v>
      </c>
      <c r="E1674" s="1" t="s">
        <v>116</v>
      </c>
      <c r="F1674" s="83">
        <v>4</v>
      </c>
      <c r="G1674" s="92">
        <v>3450</v>
      </c>
      <c r="H1674" s="3">
        <v>26.4</v>
      </c>
      <c r="I1674" s="3">
        <v>10156.799999999999</v>
      </c>
      <c r="J1674" s="1" t="s">
        <v>93</v>
      </c>
      <c r="K1674" s="1" t="s">
        <v>117</v>
      </c>
      <c r="L1674" t="str">
        <f>VLOOKUP(D1674, Products!A:C, 3, FALSE)</f>
        <v>Beauty</v>
      </c>
      <c r="M1674" t="str">
        <f>VLOOKUP(C1674, Customers!A:E, 5, FALSE)</f>
        <v>SMB</v>
      </c>
      <c r="N1674">
        <f>VLOOKUP(C1674, Customers!A:E, 3, FALSE)</f>
        <v>46</v>
      </c>
      <c r="O1674" s="93" t="str">
        <f>VLOOKUP(E1674, Sales_Reps!A:C, 3, FALSE)</f>
        <v>West</v>
      </c>
      <c r="P1674">
        <f>VLOOKUP(D1674, Products!A:E, 4, FALSE)</f>
        <v>2420</v>
      </c>
      <c r="Q1674">
        <f>IF(COUNTIF($A$2:A1674, A1674)=2, 1, 0)</f>
        <v>0</v>
      </c>
      <c r="R1674">
        <f>IF(ISNA(MATCH(C1674, Customers!$A:$A, 0)), 1, 0)</f>
        <v>0</v>
      </c>
      <c r="S1674" s="94" t="b">
        <f>VLOOKUP(D1674, Products!A:F, 6, FALSE)</f>
        <v>1</v>
      </c>
    </row>
    <row r="1675" spans="1:19">
      <c r="A1675" s="102" t="s">
        <v>2172</v>
      </c>
      <c r="B1675" s="2">
        <v>45598</v>
      </c>
      <c r="C1675" s="1" t="s">
        <v>411</v>
      </c>
      <c r="D1675" s="1" t="s">
        <v>367</v>
      </c>
      <c r="E1675" s="1" t="s">
        <v>201</v>
      </c>
      <c r="F1675" s="83">
        <v>4</v>
      </c>
      <c r="G1675" s="92">
        <v>2380</v>
      </c>
      <c r="H1675" s="3">
        <v>6.9</v>
      </c>
      <c r="I1675" s="3">
        <v>8863.1200000000008</v>
      </c>
      <c r="J1675" s="1" t="s">
        <v>87</v>
      </c>
      <c r="K1675" s="1" t="s">
        <v>112</v>
      </c>
      <c r="L1675" t="str">
        <f>VLOOKUP(D1675, Products!A:C, 3, FALSE)</f>
        <v>Grocery</v>
      </c>
      <c r="M1675" t="str">
        <f>VLOOKUP(C1675, Customers!A:E, 5, FALSE)</f>
        <v>Retail</v>
      </c>
      <c r="N1675">
        <f>VLOOKUP(C1675, Customers!A:E, 3, FALSE)</f>
        <v>61</v>
      </c>
      <c r="O1675" s="93" t="str">
        <f>VLOOKUP(E1675, Sales_Reps!A:C, 3, FALSE)</f>
        <v>West</v>
      </c>
      <c r="P1675">
        <f>VLOOKUP(D1675, Products!A:E, 4, FALSE)</f>
        <v>1182</v>
      </c>
      <c r="Q1675">
        <f>IF(COUNTIF($A$2:A1675, A1675)=2, 1, 0)</f>
        <v>0</v>
      </c>
      <c r="R1675">
        <f>IF(ISNA(MATCH(C1675, Customers!$A:$A, 0)), 1, 0)</f>
        <v>0</v>
      </c>
      <c r="S1675" s="94" t="b">
        <f>VLOOKUP(D1675, Products!A:F, 6, FALSE)</f>
        <v>1</v>
      </c>
    </row>
    <row r="1676" spans="1:19">
      <c r="A1676" s="102" t="s">
        <v>2173</v>
      </c>
      <c r="B1676" s="2">
        <v>45419</v>
      </c>
      <c r="C1676" s="1" t="s">
        <v>281</v>
      </c>
      <c r="D1676" s="1" t="s">
        <v>226</v>
      </c>
      <c r="E1676" s="1" t="s">
        <v>148</v>
      </c>
      <c r="F1676" s="83">
        <v>2</v>
      </c>
      <c r="G1676" s="92">
        <v>3730</v>
      </c>
      <c r="H1676" s="3">
        <v>22.9</v>
      </c>
      <c r="I1676" s="3">
        <v>5751.66</v>
      </c>
      <c r="J1676" s="1" t="s">
        <v>87</v>
      </c>
      <c r="K1676" s="1" t="s">
        <v>88</v>
      </c>
      <c r="L1676" t="str">
        <f>VLOOKUP(D1676, Products!A:C, 3, FALSE)</f>
        <v>Home</v>
      </c>
      <c r="M1676" t="str">
        <f>VLOOKUP(C1676, Customers!A:E, 5, FALSE)</f>
        <v>Retail</v>
      </c>
      <c r="N1676">
        <f>VLOOKUP(C1676, Customers!A:E, 3, FALSE)</f>
        <v>25</v>
      </c>
      <c r="O1676" s="93" t="str">
        <f>VLOOKUP(E1676, Sales_Reps!A:C, 3, FALSE)</f>
        <v>North</v>
      </c>
      <c r="P1676">
        <f>VLOOKUP(D1676, Products!A:E, 4, FALSE)</f>
        <v>2135</v>
      </c>
      <c r="Q1676">
        <f>IF(COUNTIF($A$2:A1676, A1676)=2, 1, 0)</f>
        <v>0</v>
      </c>
      <c r="R1676">
        <f>IF(ISNA(MATCH(C1676, Customers!$A:$A, 0)), 1, 0)</f>
        <v>0</v>
      </c>
      <c r="S1676" s="94" t="b">
        <f>VLOOKUP(D1676, Products!A:F, 6, FALSE)</f>
        <v>1</v>
      </c>
    </row>
    <row r="1677" spans="1:19">
      <c r="A1677" s="102" t="s">
        <v>2174</v>
      </c>
      <c r="B1677" s="2">
        <v>45549</v>
      </c>
      <c r="C1677" s="1" t="s">
        <v>373</v>
      </c>
      <c r="D1677" s="1" t="s">
        <v>143</v>
      </c>
      <c r="E1677" s="1" t="s">
        <v>297</v>
      </c>
      <c r="F1677" s="83">
        <v>7</v>
      </c>
      <c r="G1677" s="92">
        <v>3250</v>
      </c>
      <c r="H1677" s="3">
        <v>6</v>
      </c>
      <c r="I1677" s="3">
        <v>21385</v>
      </c>
      <c r="J1677" s="1" t="s">
        <v>87</v>
      </c>
      <c r="K1677" s="1" t="s">
        <v>88</v>
      </c>
      <c r="L1677" t="str">
        <f>VLOOKUP(D1677, Products!A:C, 3, FALSE)</f>
        <v>Home</v>
      </c>
      <c r="M1677" t="str">
        <f>VLOOKUP(C1677, Customers!A:E, 5, FALSE)</f>
        <v>Retail</v>
      </c>
      <c r="N1677">
        <f>VLOOKUP(C1677, Customers!A:E, 3, FALSE)</f>
        <v>43</v>
      </c>
      <c r="O1677" s="93" t="str">
        <f>VLOOKUP(E1677, Sales_Reps!A:C, 3, FALSE)</f>
        <v>North</v>
      </c>
      <c r="P1677">
        <f>VLOOKUP(D1677, Products!A:E, 4, FALSE)</f>
        <v>1556</v>
      </c>
      <c r="Q1677">
        <f>IF(COUNTIF($A$2:A1677, A1677)=2, 1, 0)</f>
        <v>0</v>
      </c>
      <c r="R1677">
        <f>IF(ISNA(MATCH(C1677, Customers!$A:$A, 0)), 1, 0)</f>
        <v>0</v>
      </c>
      <c r="S1677" s="94" t="b">
        <f>VLOOKUP(D1677, Products!A:F, 6, FALSE)</f>
        <v>1</v>
      </c>
    </row>
    <row r="1678" spans="1:19">
      <c r="A1678" s="102" t="s">
        <v>2175</v>
      </c>
      <c r="B1678" s="2">
        <v>45519</v>
      </c>
      <c r="C1678" s="1" t="s">
        <v>770</v>
      </c>
      <c r="D1678" s="1" t="s">
        <v>97</v>
      </c>
      <c r="E1678" s="1" t="s">
        <v>192</v>
      </c>
      <c r="F1678" s="83">
        <v>9</v>
      </c>
      <c r="G1678" s="92">
        <v>470</v>
      </c>
      <c r="H1678" s="3">
        <v>11.6</v>
      </c>
      <c r="I1678" s="3">
        <v>3739.32</v>
      </c>
      <c r="J1678" s="1" t="s">
        <v>87</v>
      </c>
      <c r="K1678" s="1" t="s">
        <v>88</v>
      </c>
      <c r="L1678" t="str">
        <f>VLOOKUP(D1678, Products!A:C, 3, FALSE)</f>
        <v>Sports</v>
      </c>
      <c r="M1678" t="str">
        <f>VLOOKUP(C1678, Customers!A:E, 5, FALSE)</f>
        <v>Retail</v>
      </c>
      <c r="N1678">
        <f>VLOOKUP(C1678, Customers!A:E, 3, FALSE)</f>
        <v>35</v>
      </c>
      <c r="O1678" s="93" t="str">
        <f>VLOOKUP(E1678, Sales_Reps!A:C, 3, FALSE)</f>
        <v>East</v>
      </c>
      <c r="P1678">
        <f>VLOOKUP(D1678, Products!A:E, 4, FALSE)</f>
        <v>302</v>
      </c>
      <c r="Q1678">
        <f>IF(COUNTIF($A$2:A1678, A1678)=2, 1, 0)</f>
        <v>0</v>
      </c>
      <c r="R1678">
        <f>IF(ISNA(MATCH(C1678, Customers!$A:$A, 0)), 1, 0)</f>
        <v>0</v>
      </c>
      <c r="S1678" s="94" t="b">
        <f>VLOOKUP(D1678, Products!A:F, 6, FALSE)</f>
        <v>0</v>
      </c>
    </row>
    <row r="1679" spans="1:19">
      <c r="A1679" s="102" t="s">
        <v>2176</v>
      </c>
      <c r="B1679" s="2">
        <v>45574</v>
      </c>
      <c r="C1679" s="1" t="s">
        <v>757</v>
      </c>
      <c r="D1679" s="1" t="s">
        <v>386</v>
      </c>
      <c r="E1679" s="1" t="s">
        <v>201</v>
      </c>
      <c r="F1679" s="83">
        <v>5</v>
      </c>
      <c r="G1679" s="92">
        <v>2290</v>
      </c>
      <c r="H1679" s="3">
        <v>27.6</v>
      </c>
      <c r="I1679" s="3">
        <v>8289.7999999999993</v>
      </c>
      <c r="J1679" s="1" t="s">
        <v>87</v>
      </c>
      <c r="K1679" s="1" t="s">
        <v>117</v>
      </c>
      <c r="L1679" t="str">
        <f>VLOOKUP(D1679, Products!A:C, 3, FALSE)</f>
        <v>Beauty</v>
      </c>
      <c r="M1679" t="str">
        <f>VLOOKUP(C1679, Customers!A:E, 5, FALSE)</f>
        <v>Corporate</v>
      </c>
      <c r="N1679">
        <f>VLOOKUP(C1679, Customers!A:E, 3, FALSE)</f>
        <v>43</v>
      </c>
      <c r="O1679" s="93" t="str">
        <f>VLOOKUP(E1679, Sales_Reps!A:C, 3, FALSE)</f>
        <v>West</v>
      </c>
      <c r="P1679">
        <f>VLOOKUP(D1679, Products!A:E, 4, FALSE)</f>
        <v>1219</v>
      </c>
      <c r="Q1679">
        <f>IF(COUNTIF($A$2:A1679, A1679)=2, 1, 0)</f>
        <v>0</v>
      </c>
      <c r="R1679">
        <f>IF(ISNA(MATCH(C1679, Customers!$A:$A, 0)), 1, 0)</f>
        <v>0</v>
      </c>
      <c r="S1679" s="94" t="b">
        <f>VLOOKUP(D1679, Products!A:F, 6, FALSE)</f>
        <v>1</v>
      </c>
    </row>
    <row r="1680" spans="1:19">
      <c r="A1680" s="102" t="s">
        <v>2177</v>
      </c>
      <c r="B1680" s="2">
        <v>45462</v>
      </c>
      <c r="C1680" s="1" t="s">
        <v>669</v>
      </c>
      <c r="D1680" s="1" t="s">
        <v>120</v>
      </c>
      <c r="E1680" s="1" t="s">
        <v>229</v>
      </c>
      <c r="F1680" s="83">
        <v>6</v>
      </c>
      <c r="G1680" s="92">
        <v>1430</v>
      </c>
      <c r="H1680" s="3">
        <v>18.399999999999999</v>
      </c>
      <c r="I1680" s="3">
        <v>7001.28</v>
      </c>
      <c r="J1680" s="1" t="s">
        <v>93</v>
      </c>
      <c r="K1680" s="1" t="s">
        <v>133</v>
      </c>
      <c r="L1680" t="str">
        <f>VLOOKUP(D1680, Products!A:C, 3, FALSE)</f>
        <v>Electronics</v>
      </c>
      <c r="M1680" t="str">
        <f>VLOOKUP(C1680, Customers!A:E, 5, FALSE)</f>
        <v>Retail</v>
      </c>
      <c r="N1680">
        <f>VLOOKUP(C1680, Customers!A:E, 3, FALSE)</f>
        <v>31</v>
      </c>
      <c r="O1680" s="93" t="str">
        <f>VLOOKUP(E1680, Sales_Reps!A:C, 3, FALSE)</f>
        <v>West</v>
      </c>
      <c r="P1680">
        <f>VLOOKUP(D1680, Products!A:E, 4, FALSE)</f>
        <v>861</v>
      </c>
      <c r="Q1680">
        <f>IF(COUNTIF($A$2:A1680, A1680)=2, 1, 0)</f>
        <v>0</v>
      </c>
      <c r="R1680">
        <f>IF(ISNA(MATCH(C1680, Customers!$A:$A, 0)), 1, 0)</f>
        <v>0</v>
      </c>
      <c r="S1680" s="94" t="b">
        <f>VLOOKUP(D1680, Products!A:F, 6, FALSE)</f>
        <v>1</v>
      </c>
    </row>
    <row r="1681" spans="1:19">
      <c r="A1681" s="102" t="s">
        <v>2178</v>
      </c>
      <c r="B1681" s="2">
        <v>45336</v>
      </c>
      <c r="C1681" s="1" t="s">
        <v>1261</v>
      </c>
      <c r="D1681" s="1" t="s">
        <v>195</v>
      </c>
      <c r="E1681" s="1" t="s">
        <v>297</v>
      </c>
      <c r="F1681" s="83">
        <v>7</v>
      </c>
      <c r="G1681" s="92">
        <v>2860</v>
      </c>
      <c r="H1681" s="3">
        <v>19.5</v>
      </c>
      <c r="I1681" s="3">
        <v>16116.1</v>
      </c>
      <c r="J1681" s="1" t="s">
        <v>87</v>
      </c>
      <c r="K1681" s="1" t="s">
        <v>117</v>
      </c>
      <c r="L1681" t="str">
        <f>VLOOKUP(D1681, Products!A:C, 3, FALSE)</f>
        <v>Sports</v>
      </c>
      <c r="M1681" t="str">
        <f>VLOOKUP(C1681, Customers!A:E, 5, FALSE)</f>
        <v>Retail</v>
      </c>
      <c r="N1681">
        <f>VLOOKUP(C1681, Customers!A:E, 3, FALSE)</f>
        <v>54</v>
      </c>
      <c r="O1681" s="93" t="str">
        <f>VLOOKUP(E1681, Sales_Reps!A:C, 3, FALSE)</f>
        <v>North</v>
      </c>
      <c r="P1681">
        <f>VLOOKUP(D1681, Products!A:E, 4, FALSE)</f>
        <v>2028</v>
      </c>
      <c r="Q1681">
        <f>IF(COUNTIF($A$2:A1681, A1681)=2, 1, 0)</f>
        <v>0</v>
      </c>
      <c r="R1681">
        <f>IF(ISNA(MATCH(C1681, Customers!$A:$A, 0)), 1, 0)</f>
        <v>0</v>
      </c>
      <c r="S1681" s="94" t="b">
        <f>VLOOKUP(D1681, Products!A:F, 6, FALSE)</f>
        <v>1</v>
      </c>
    </row>
    <row r="1682" spans="1:19">
      <c r="A1682" s="102" t="s">
        <v>2179</v>
      </c>
      <c r="B1682" s="2">
        <v>45439</v>
      </c>
      <c r="C1682" s="1" t="s">
        <v>557</v>
      </c>
      <c r="D1682" s="1" t="s">
        <v>157</v>
      </c>
      <c r="E1682" s="1" t="s">
        <v>192</v>
      </c>
      <c r="F1682" s="83">
        <v>8</v>
      </c>
      <c r="G1682" s="92">
        <v>3450</v>
      </c>
      <c r="H1682" s="3">
        <v>25.5</v>
      </c>
      <c r="I1682" s="3">
        <v>20562</v>
      </c>
      <c r="J1682" s="1" t="s">
        <v>93</v>
      </c>
      <c r="K1682" s="1" t="s">
        <v>112</v>
      </c>
      <c r="L1682" t="str">
        <f>VLOOKUP(D1682, Products!A:C, 3, FALSE)</f>
        <v>Beauty</v>
      </c>
      <c r="M1682" t="str">
        <f>VLOOKUP(C1682, Customers!A:E, 5, FALSE)</f>
        <v>Retail</v>
      </c>
      <c r="N1682">
        <f>VLOOKUP(C1682, Customers!A:E, 3, FALSE)</f>
        <v>65</v>
      </c>
      <c r="O1682" s="93" t="str">
        <f>VLOOKUP(E1682, Sales_Reps!A:C, 3, FALSE)</f>
        <v>East</v>
      </c>
      <c r="P1682">
        <f>VLOOKUP(D1682, Products!A:E, 4, FALSE)</f>
        <v>2420</v>
      </c>
      <c r="Q1682">
        <f>IF(COUNTIF($A$2:A1682, A1682)=2, 1, 0)</f>
        <v>0</v>
      </c>
      <c r="R1682">
        <f>IF(ISNA(MATCH(C1682, Customers!$A:$A, 0)), 1, 0)</f>
        <v>0</v>
      </c>
      <c r="S1682" s="94" t="b">
        <f>VLOOKUP(D1682, Products!A:F, 6, FALSE)</f>
        <v>1</v>
      </c>
    </row>
    <row r="1683" spans="1:19">
      <c r="A1683" s="102" t="s">
        <v>2180</v>
      </c>
      <c r="B1683" s="2">
        <v>45578</v>
      </c>
      <c r="C1683" s="1" t="s">
        <v>559</v>
      </c>
      <c r="D1683" s="1" t="s">
        <v>360</v>
      </c>
      <c r="E1683" s="1" t="s">
        <v>121</v>
      </c>
      <c r="F1683" s="83">
        <v>7</v>
      </c>
      <c r="G1683" s="92">
        <v>5410</v>
      </c>
      <c r="H1683" s="3">
        <v>15.2</v>
      </c>
      <c r="I1683" s="3">
        <v>32113.759999999998</v>
      </c>
      <c r="J1683" s="1" t="s">
        <v>140</v>
      </c>
      <c r="K1683" s="1" t="s">
        <v>88</v>
      </c>
      <c r="L1683" t="str">
        <f>VLOOKUP(D1683, Products!A:C, 3, FALSE)</f>
        <v>Sports</v>
      </c>
      <c r="M1683" t="str">
        <f>VLOOKUP(C1683, Customers!A:E, 5, FALSE)</f>
        <v>Retail</v>
      </c>
      <c r="N1683">
        <f>VLOOKUP(C1683, Customers!A:E, 3, FALSE)</f>
        <v>62</v>
      </c>
      <c r="O1683" s="93" t="str">
        <f>VLOOKUP(E1683, Sales_Reps!A:C, 3, FALSE)</f>
        <v>East</v>
      </c>
      <c r="P1683">
        <f>VLOOKUP(D1683, Products!A:E, 4, FALSE)</f>
        <v>2265</v>
      </c>
      <c r="Q1683">
        <f>IF(COUNTIF($A$2:A1683, A1683)=2, 1, 0)</f>
        <v>0</v>
      </c>
      <c r="R1683">
        <f>IF(ISNA(MATCH(C1683, Customers!$A:$A, 0)), 1, 0)</f>
        <v>0</v>
      </c>
      <c r="S1683" s="94" t="b">
        <f>VLOOKUP(D1683, Products!A:F, 6, FALSE)</f>
        <v>1</v>
      </c>
    </row>
    <row r="1684" spans="1:19">
      <c r="A1684" s="102" t="s">
        <v>2181</v>
      </c>
      <c r="B1684" s="2">
        <v>45588</v>
      </c>
      <c r="C1684" s="1" t="s">
        <v>559</v>
      </c>
      <c r="D1684" s="1" t="s">
        <v>164</v>
      </c>
      <c r="E1684" s="1" t="s">
        <v>111</v>
      </c>
      <c r="F1684" s="83">
        <v>3</v>
      </c>
      <c r="G1684" s="92">
        <v>1080</v>
      </c>
      <c r="H1684" s="3">
        <v>26</v>
      </c>
      <c r="I1684" s="3">
        <v>2397.6</v>
      </c>
      <c r="J1684" s="1" t="s">
        <v>87</v>
      </c>
      <c r="K1684" s="1" t="s">
        <v>88</v>
      </c>
      <c r="L1684" t="str">
        <f>VLOOKUP(D1684, Products!A:C, 3, FALSE)</f>
        <v>Home</v>
      </c>
      <c r="M1684" t="str">
        <f>VLOOKUP(C1684, Customers!A:E, 5, FALSE)</f>
        <v>Retail</v>
      </c>
      <c r="N1684">
        <f>VLOOKUP(C1684, Customers!A:E, 3, FALSE)</f>
        <v>62</v>
      </c>
      <c r="O1684" s="93" t="str">
        <f>VLOOKUP(E1684, Sales_Reps!A:C, 3, FALSE)</f>
        <v>West</v>
      </c>
      <c r="P1684">
        <f>VLOOKUP(D1684, Products!A:E, 4, FALSE)</f>
        <v>519</v>
      </c>
      <c r="Q1684">
        <f>IF(COUNTIF($A$2:A1684, A1684)=2, 1, 0)</f>
        <v>0</v>
      </c>
      <c r="R1684">
        <f>IF(ISNA(MATCH(C1684, Customers!$A:$A, 0)), 1, 0)</f>
        <v>0</v>
      </c>
      <c r="S1684" s="94" t="b">
        <f>VLOOKUP(D1684, Products!A:F, 6, FALSE)</f>
        <v>1</v>
      </c>
    </row>
    <row r="1685" spans="1:19">
      <c r="A1685" s="102" t="s">
        <v>2182</v>
      </c>
      <c r="B1685" s="2">
        <v>45354</v>
      </c>
      <c r="C1685" s="1" t="s">
        <v>312</v>
      </c>
      <c r="D1685" s="1" t="s">
        <v>195</v>
      </c>
      <c r="E1685" s="1" t="s">
        <v>121</v>
      </c>
      <c r="F1685" s="83">
        <v>8</v>
      </c>
      <c r="G1685" s="92">
        <v>2860</v>
      </c>
      <c r="H1685" s="3">
        <v>14.8</v>
      </c>
      <c r="I1685" s="3">
        <v>19493.759999999998</v>
      </c>
      <c r="J1685" s="1" t="s">
        <v>87</v>
      </c>
      <c r="K1685" s="1" t="s">
        <v>133</v>
      </c>
      <c r="L1685" t="str">
        <f>VLOOKUP(D1685, Products!A:C, 3, FALSE)</f>
        <v>Sports</v>
      </c>
      <c r="M1685" t="str">
        <f>VLOOKUP(C1685, Customers!A:E, 5, FALSE)</f>
        <v>Retail</v>
      </c>
      <c r="N1685">
        <f>VLOOKUP(C1685, Customers!A:E, 3, FALSE)</f>
        <v>46</v>
      </c>
      <c r="O1685" s="93" t="str">
        <f>VLOOKUP(E1685, Sales_Reps!A:C, 3, FALSE)</f>
        <v>East</v>
      </c>
      <c r="P1685">
        <f>VLOOKUP(D1685, Products!A:E, 4, FALSE)</f>
        <v>2028</v>
      </c>
      <c r="Q1685">
        <f>IF(COUNTIF($A$2:A1685, A1685)=2, 1, 0)</f>
        <v>0</v>
      </c>
      <c r="R1685">
        <f>IF(ISNA(MATCH(C1685, Customers!$A:$A, 0)), 1, 0)</f>
        <v>0</v>
      </c>
      <c r="S1685" s="94" t="b">
        <f>VLOOKUP(D1685, Products!A:F, 6, FALSE)</f>
        <v>1</v>
      </c>
    </row>
    <row r="1686" spans="1:19">
      <c r="A1686" s="102" t="s">
        <v>2183</v>
      </c>
      <c r="B1686" s="2">
        <v>45332</v>
      </c>
      <c r="C1686" s="1" t="s">
        <v>2184</v>
      </c>
      <c r="D1686" s="1" t="s">
        <v>276</v>
      </c>
      <c r="E1686" s="1" t="s">
        <v>252</v>
      </c>
      <c r="F1686" s="83">
        <v>4</v>
      </c>
      <c r="G1686" s="92">
        <v>3020</v>
      </c>
      <c r="H1686" s="3">
        <v>8.1</v>
      </c>
      <c r="I1686" s="3">
        <v>11101.52</v>
      </c>
      <c r="J1686" s="1" t="s">
        <v>87</v>
      </c>
      <c r="K1686" s="1" t="s">
        <v>133</v>
      </c>
      <c r="L1686" t="str">
        <f>VLOOKUP(D1686, Products!A:C, 3, FALSE)</f>
        <v>Beauty</v>
      </c>
      <c r="M1686" t="e">
        <f>VLOOKUP(C1686, Customers!A:E, 5, FALSE)</f>
        <v>#N/A</v>
      </c>
      <c r="N1686" t="e">
        <f>VLOOKUP(C1686, Customers!A:E, 3, FALSE)</f>
        <v>#N/A</v>
      </c>
      <c r="O1686" s="93" t="str">
        <f>VLOOKUP(E1686, Sales_Reps!A:C, 3, FALSE)</f>
        <v>South</v>
      </c>
      <c r="P1686">
        <f>VLOOKUP(D1686, Products!A:E, 4, FALSE)</f>
        <v>1626</v>
      </c>
      <c r="Q1686">
        <f>IF(COUNTIF($A$2:A1686, A1686)=2, 1, 0)</f>
        <v>0</v>
      </c>
      <c r="R1686">
        <f>IF(ISNA(MATCH(C1686, Customers!$A:$A, 0)), 1, 0)</f>
        <v>1</v>
      </c>
      <c r="S1686" s="94" t="b">
        <f>VLOOKUP(D1686, Products!A:F, 6, FALSE)</f>
        <v>1</v>
      </c>
    </row>
    <row r="1687" spans="1:19">
      <c r="A1687" s="102" t="s">
        <v>2185</v>
      </c>
      <c r="B1687" s="2">
        <v>45649</v>
      </c>
      <c r="C1687" s="1" t="s">
        <v>228</v>
      </c>
      <c r="D1687" s="1" t="s">
        <v>115</v>
      </c>
      <c r="E1687" s="1" t="s">
        <v>111</v>
      </c>
      <c r="F1687" s="83">
        <v>4</v>
      </c>
      <c r="G1687" s="92">
        <v>960</v>
      </c>
      <c r="H1687" s="3">
        <v>6.4</v>
      </c>
      <c r="I1687" s="3">
        <v>3594.24</v>
      </c>
      <c r="J1687" s="1" t="s">
        <v>140</v>
      </c>
      <c r="K1687" s="1" t="s">
        <v>112</v>
      </c>
      <c r="L1687" t="str">
        <f>VLOOKUP(D1687, Products!A:C, 3, FALSE)</f>
        <v>Sports</v>
      </c>
      <c r="M1687" t="str">
        <f>VLOOKUP(C1687, Customers!A:E, 5, FALSE)</f>
        <v>SMB</v>
      </c>
      <c r="N1687">
        <f>VLOOKUP(C1687, Customers!A:E, 3, FALSE)</f>
        <v>54</v>
      </c>
      <c r="O1687" s="93" t="str">
        <f>VLOOKUP(E1687, Sales_Reps!A:C, 3, FALSE)</f>
        <v>West</v>
      </c>
      <c r="P1687">
        <f>VLOOKUP(D1687, Products!A:E, 4, FALSE)</f>
        <v>705</v>
      </c>
      <c r="Q1687">
        <f>IF(COUNTIF($A$2:A1687, A1687)=2, 1, 0)</f>
        <v>0</v>
      </c>
      <c r="R1687">
        <f>IF(ISNA(MATCH(C1687, Customers!$A:$A, 0)), 1, 0)</f>
        <v>0</v>
      </c>
      <c r="S1687" s="94" t="b">
        <f>VLOOKUP(D1687, Products!A:F, 6, FALSE)</f>
        <v>1</v>
      </c>
    </row>
    <row r="1688" spans="1:19">
      <c r="A1688" s="102" t="s">
        <v>2186</v>
      </c>
      <c r="B1688" s="2">
        <v>45596</v>
      </c>
      <c r="C1688" s="1" t="s">
        <v>551</v>
      </c>
      <c r="D1688" s="1" t="s">
        <v>248</v>
      </c>
      <c r="E1688" s="1" t="s">
        <v>229</v>
      </c>
      <c r="F1688" s="83">
        <v>4</v>
      </c>
      <c r="G1688" s="92">
        <v>3870</v>
      </c>
      <c r="H1688" s="3">
        <v>15.9</v>
      </c>
      <c r="I1688" s="3">
        <v>13018.68</v>
      </c>
      <c r="J1688" s="1" t="s">
        <v>87</v>
      </c>
      <c r="K1688" s="1" t="s">
        <v>112</v>
      </c>
      <c r="L1688" t="str">
        <f>VLOOKUP(D1688, Products!A:C, 3, FALSE)</f>
        <v>Electronics</v>
      </c>
      <c r="M1688" t="str">
        <f>VLOOKUP(C1688, Customers!A:E, 5, FALSE)</f>
        <v>Corporate</v>
      </c>
      <c r="N1688">
        <f>VLOOKUP(C1688, Customers!A:E, 3, FALSE)</f>
        <v>60</v>
      </c>
      <c r="O1688" s="93" t="str">
        <f>VLOOKUP(E1688, Sales_Reps!A:C, 3, FALSE)</f>
        <v>West</v>
      </c>
      <c r="P1688">
        <f>VLOOKUP(D1688, Products!A:E, 4, FALSE)</f>
        <v>1559</v>
      </c>
      <c r="Q1688">
        <f>IF(COUNTIF($A$2:A1688, A1688)=2, 1, 0)</f>
        <v>0</v>
      </c>
      <c r="R1688">
        <f>IF(ISNA(MATCH(C1688, Customers!$A:$A, 0)), 1, 0)</f>
        <v>0</v>
      </c>
      <c r="S1688" s="94" t="b">
        <f>VLOOKUP(D1688, Products!A:F, 6, FALSE)</f>
        <v>1</v>
      </c>
    </row>
    <row r="1689" spans="1:19">
      <c r="A1689" s="102" t="s">
        <v>2187</v>
      </c>
      <c r="B1689" s="2">
        <v>45378</v>
      </c>
      <c r="C1689" s="1" t="s">
        <v>1172</v>
      </c>
      <c r="D1689" s="1" t="s">
        <v>106</v>
      </c>
      <c r="E1689" s="1" t="s">
        <v>192</v>
      </c>
      <c r="F1689" s="83">
        <v>5</v>
      </c>
      <c r="G1689" s="92">
        <v>3160</v>
      </c>
      <c r="H1689" s="3">
        <v>29.8</v>
      </c>
      <c r="I1689" s="3">
        <v>11091.6</v>
      </c>
      <c r="J1689" s="1" t="s">
        <v>87</v>
      </c>
      <c r="K1689" s="1" t="s">
        <v>88</v>
      </c>
      <c r="L1689" t="str">
        <f>VLOOKUP(D1689, Products!A:C, 3, FALSE)</f>
        <v>Apparel</v>
      </c>
      <c r="M1689" t="str">
        <f>VLOOKUP(C1689, Customers!A:E, 5, FALSE)</f>
        <v>Retail</v>
      </c>
      <c r="N1689">
        <f>VLOOKUP(C1689, Customers!A:E, 3, FALSE)</f>
        <v>39</v>
      </c>
      <c r="O1689" s="93" t="str">
        <f>VLOOKUP(E1689, Sales_Reps!A:C, 3, FALSE)</f>
        <v>East</v>
      </c>
      <c r="P1689">
        <f>VLOOKUP(D1689, Products!A:E, 4, FALSE)</f>
        <v>1886</v>
      </c>
      <c r="Q1689">
        <f>IF(COUNTIF($A$2:A1689, A1689)=2, 1, 0)</f>
        <v>0</v>
      </c>
      <c r="R1689">
        <f>IF(ISNA(MATCH(C1689, Customers!$A:$A, 0)), 1, 0)</f>
        <v>0</v>
      </c>
      <c r="S1689" s="94" t="b">
        <f>VLOOKUP(D1689, Products!A:F, 6, FALSE)</f>
        <v>1</v>
      </c>
    </row>
    <row r="1690" spans="1:19">
      <c r="A1690" s="102" t="s">
        <v>2188</v>
      </c>
      <c r="B1690" s="2">
        <v>45403</v>
      </c>
      <c r="C1690" s="1" t="s">
        <v>440</v>
      </c>
      <c r="D1690" s="1" t="s">
        <v>157</v>
      </c>
      <c r="E1690" s="1" t="s">
        <v>343</v>
      </c>
      <c r="F1690" s="83">
        <v>5</v>
      </c>
      <c r="G1690" s="92">
        <v>3450</v>
      </c>
      <c r="H1690" s="3">
        <v>29.4</v>
      </c>
      <c r="I1690" s="3">
        <v>12178.5</v>
      </c>
      <c r="J1690" s="1" t="s">
        <v>87</v>
      </c>
      <c r="K1690" s="1" t="s">
        <v>88</v>
      </c>
      <c r="L1690" t="str">
        <f>VLOOKUP(D1690, Products!A:C, 3, FALSE)</f>
        <v>Beauty</v>
      </c>
      <c r="M1690" t="str">
        <f>VLOOKUP(C1690, Customers!A:E, 5, FALSE)</f>
        <v>SMB</v>
      </c>
      <c r="N1690">
        <f>VLOOKUP(C1690, Customers!A:E, 3, FALSE)</f>
        <v>30</v>
      </c>
      <c r="O1690" s="93" t="str">
        <f>VLOOKUP(E1690, Sales_Reps!A:C, 3, FALSE)</f>
        <v>West</v>
      </c>
      <c r="P1690">
        <f>VLOOKUP(D1690, Products!A:E, 4, FALSE)</f>
        <v>2420</v>
      </c>
      <c r="Q1690">
        <f>IF(COUNTIF($A$2:A1690, A1690)=2, 1, 0)</f>
        <v>0</v>
      </c>
      <c r="R1690">
        <f>IF(ISNA(MATCH(C1690, Customers!$A:$A, 0)), 1, 0)</f>
        <v>0</v>
      </c>
      <c r="S1690" s="94" t="b">
        <f>VLOOKUP(D1690, Products!A:F, 6, FALSE)</f>
        <v>1</v>
      </c>
    </row>
    <row r="1691" spans="1:19">
      <c r="A1691" s="102" t="s">
        <v>2189</v>
      </c>
      <c r="B1691" s="2">
        <v>45535</v>
      </c>
      <c r="C1691" s="1" t="s">
        <v>850</v>
      </c>
      <c r="D1691" s="1" t="s">
        <v>380</v>
      </c>
      <c r="E1691" s="1" t="s">
        <v>303</v>
      </c>
      <c r="F1691" s="83">
        <v>10</v>
      </c>
      <c r="G1691" s="92">
        <v>960</v>
      </c>
      <c r="H1691" s="3">
        <v>27</v>
      </c>
      <c r="I1691" s="3">
        <v>7008</v>
      </c>
      <c r="J1691" s="1" t="s">
        <v>140</v>
      </c>
      <c r="K1691" s="1" t="s">
        <v>94</v>
      </c>
      <c r="L1691" t="str">
        <f>VLOOKUP(D1691, Products!A:C, 3, FALSE)</f>
        <v>Beauty</v>
      </c>
      <c r="M1691" t="str">
        <f>VLOOKUP(C1691, Customers!A:E, 5, FALSE)</f>
        <v>SMB</v>
      </c>
      <c r="N1691">
        <f>VLOOKUP(C1691, Customers!A:E, 3, FALSE)</f>
        <v>26</v>
      </c>
      <c r="O1691" s="93" t="str">
        <f>VLOOKUP(E1691, Sales_Reps!A:C, 3, FALSE)</f>
        <v>East</v>
      </c>
      <c r="P1691">
        <f>VLOOKUP(D1691, Products!A:E, 4, FALSE)</f>
        <v>675</v>
      </c>
      <c r="Q1691">
        <f>IF(COUNTIF($A$2:A1691, A1691)=2, 1, 0)</f>
        <v>0</v>
      </c>
      <c r="R1691">
        <f>IF(ISNA(MATCH(C1691, Customers!$A:$A, 0)), 1, 0)</f>
        <v>0</v>
      </c>
      <c r="S1691" s="94" t="b">
        <f>VLOOKUP(D1691, Products!A:F, 6, FALSE)</f>
        <v>1</v>
      </c>
    </row>
    <row r="1692" spans="1:19">
      <c r="A1692" s="102" t="s">
        <v>2190</v>
      </c>
      <c r="B1692" s="2">
        <v>45429</v>
      </c>
      <c r="C1692" s="1" t="s">
        <v>779</v>
      </c>
      <c r="D1692" s="1" t="s">
        <v>515</v>
      </c>
      <c r="E1692" s="1" t="s">
        <v>303</v>
      </c>
      <c r="F1692" s="83">
        <v>10</v>
      </c>
      <c r="G1692" s="92">
        <v>6940</v>
      </c>
      <c r="H1692" s="3">
        <v>20.100000000000001</v>
      </c>
      <c r="I1692" s="3">
        <v>55450.6</v>
      </c>
      <c r="J1692" s="1" t="s">
        <v>87</v>
      </c>
      <c r="K1692" s="1" t="s">
        <v>117</v>
      </c>
      <c r="L1692" t="str">
        <f>VLOOKUP(D1692, Products!A:C, 3, FALSE)</f>
        <v>Sports</v>
      </c>
      <c r="M1692" t="str">
        <f>VLOOKUP(C1692, Customers!A:E, 5, FALSE)</f>
        <v>Retail</v>
      </c>
      <c r="N1692">
        <f>VLOOKUP(C1692, Customers!A:E, 3, FALSE)</f>
        <v>27</v>
      </c>
      <c r="O1692" s="93" t="str">
        <f>VLOOKUP(E1692, Sales_Reps!A:C, 3, FALSE)</f>
        <v>East</v>
      </c>
      <c r="P1692">
        <f>VLOOKUP(D1692, Products!A:E, 4, FALSE)</f>
        <v>2827</v>
      </c>
      <c r="Q1692">
        <f>IF(COUNTIF($A$2:A1692, A1692)=2, 1, 0)</f>
        <v>0</v>
      </c>
      <c r="R1692">
        <f>IF(ISNA(MATCH(C1692, Customers!$A:$A, 0)), 1, 0)</f>
        <v>0</v>
      </c>
      <c r="S1692" s="94" t="b">
        <f>VLOOKUP(D1692, Products!A:F, 6, FALSE)</f>
        <v>1</v>
      </c>
    </row>
    <row r="1693" spans="1:19">
      <c r="A1693" s="102" t="s">
        <v>2191</v>
      </c>
      <c r="B1693" s="2">
        <v>45436</v>
      </c>
      <c r="C1693" s="1" t="s">
        <v>599</v>
      </c>
      <c r="D1693" s="1" t="s">
        <v>151</v>
      </c>
      <c r="E1693" s="1" t="s">
        <v>204</v>
      </c>
      <c r="F1693" s="83">
        <v>9</v>
      </c>
      <c r="G1693" s="92">
        <v>2400</v>
      </c>
      <c r="H1693" s="3">
        <v>7.8</v>
      </c>
      <c r="I1693" s="3">
        <v>19915.2</v>
      </c>
      <c r="J1693" s="1" t="s">
        <v>87</v>
      </c>
      <c r="K1693" s="1" t="s">
        <v>117</v>
      </c>
      <c r="L1693" t="str">
        <f>VLOOKUP(D1693, Products!A:C, 3, FALSE)</f>
        <v>Sports</v>
      </c>
      <c r="M1693" t="str">
        <f>VLOOKUP(C1693, Customers!A:E, 5, FALSE)</f>
        <v>Corporate</v>
      </c>
      <c r="N1693">
        <f>VLOOKUP(C1693, Customers!A:E, 3, FALSE)</f>
        <v>26</v>
      </c>
      <c r="O1693" s="93" t="str">
        <f>VLOOKUP(E1693, Sales_Reps!A:C, 3, FALSE)</f>
        <v>South</v>
      </c>
      <c r="P1693">
        <f>VLOOKUP(D1693, Products!A:E, 4, FALSE)</f>
        <v>974</v>
      </c>
      <c r="Q1693">
        <f>IF(COUNTIF($A$2:A1693, A1693)=2, 1, 0)</f>
        <v>0</v>
      </c>
      <c r="R1693">
        <f>IF(ISNA(MATCH(C1693, Customers!$A:$A, 0)), 1, 0)</f>
        <v>0</v>
      </c>
      <c r="S1693" s="94" t="b">
        <f>VLOOKUP(D1693, Products!A:F, 6, FALSE)</f>
        <v>1</v>
      </c>
    </row>
    <row r="1694" spans="1:19">
      <c r="A1694" s="102" t="s">
        <v>2192</v>
      </c>
      <c r="B1694" s="2">
        <v>45397</v>
      </c>
      <c r="C1694" s="1" t="s">
        <v>1297</v>
      </c>
      <c r="D1694" s="1" t="s">
        <v>360</v>
      </c>
      <c r="E1694" s="1" t="s">
        <v>238</v>
      </c>
      <c r="F1694" s="83">
        <v>1</v>
      </c>
      <c r="G1694" s="92">
        <v>5410</v>
      </c>
      <c r="H1694" s="3">
        <v>22.8</v>
      </c>
      <c r="I1694" s="3">
        <v>4176.5200000000004</v>
      </c>
      <c r="J1694" s="1" t="s">
        <v>87</v>
      </c>
      <c r="K1694" s="1" t="s">
        <v>112</v>
      </c>
      <c r="L1694" t="str">
        <f>VLOOKUP(D1694, Products!A:C, 3, FALSE)</f>
        <v>Sports</v>
      </c>
      <c r="M1694" t="str">
        <f>VLOOKUP(C1694, Customers!A:E, 5, FALSE)</f>
        <v>Retail</v>
      </c>
      <c r="N1694">
        <f>VLOOKUP(C1694, Customers!A:E, 3, FALSE)</f>
        <v>38</v>
      </c>
      <c r="O1694" s="93" t="str">
        <f>VLOOKUP(E1694, Sales_Reps!A:C, 3, FALSE)</f>
        <v>East</v>
      </c>
      <c r="P1694">
        <f>VLOOKUP(D1694, Products!A:E, 4, FALSE)</f>
        <v>2265</v>
      </c>
      <c r="Q1694">
        <f>IF(COUNTIF($A$2:A1694, A1694)=2, 1, 0)</f>
        <v>0</v>
      </c>
      <c r="R1694">
        <f>IF(ISNA(MATCH(C1694, Customers!$A:$A, 0)), 1, 0)</f>
        <v>0</v>
      </c>
      <c r="S1694" s="94" t="b">
        <f>VLOOKUP(D1694, Products!A:F, 6, FALSE)</f>
        <v>1</v>
      </c>
    </row>
    <row r="1695" spans="1:19">
      <c r="A1695" s="102" t="s">
        <v>2193</v>
      </c>
      <c r="B1695" s="2">
        <v>45629</v>
      </c>
      <c r="C1695" s="1" t="s">
        <v>1261</v>
      </c>
      <c r="D1695" s="1" t="s">
        <v>267</v>
      </c>
      <c r="E1695" s="1" t="s">
        <v>139</v>
      </c>
      <c r="F1695" s="83">
        <v>7</v>
      </c>
      <c r="G1695" s="92">
        <v>1220</v>
      </c>
      <c r="H1695" s="3">
        <v>18.8</v>
      </c>
      <c r="I1695" s="3">
        <v>6934.48</v>
      </c>
      <c r="J1695" s="1" t="s">
        <v>93</v>
      </c>
      <c r="K1695" s="1" t="s">
        <v>117</v>
      </c>
      <c r="L1695" t="str">
        <f>VLOOKUP(D1695, Products!A:C, 3, FALSE)</f>
        <v>Electronics</v>
      </c>
      <c r="M1695" t="str">
        <f>VLOOKUP(C1695, Customers!A:E, 5, FALSE)</f>
        <v>Retail</v>
      </c>
      <c r="N1695">
        <f>VLOOKUP(C1695, Customers!A:E, 3, FALSE)</f>
        <v>54</v>
      </c>
      <c r="O1695" s="93" t="str">
        <f>VLOOKUP(E1695, Sales_Reps!A:C, 3, FALSE)</f>
        <v>North</v>
      </c>
      <c r="P1695">
        <f>VLOOKUP(D1695, Products!A:E, 4, FALSE)</f>
        <v>517</v>
      </c>
      <c r="Q1695">
        <f>IF(COUNTIF($A$2:A1695, A1695)=2, 1, 0)</f>
        <v>0</v>
      </c>
      <c r="R1695">
        <f>IF(ISNA(MATCH(C1695, Customers!$A:$A, 0)), 1, 0)</f>
        <v>0</v>
      </c>
      <c r="S1695" s="94" t="b">
        <f>VLOOKUP(D1695, Products!A:F, 6, FALSE)</f>
        <v>1</v>
      </c>
    </row>
    <row r="1696" spans="1:19">
      <c r="A1696" s="102" t="s">
        <v>2194</v>
      </c>
      <c r="B1696" s="2">
        <v>45595</v>
      </c>
      <c r="C1696" s="1" t="s">
        <v>181</v>
      </c>
      <c r="D1696" s="1" t="s">
        <v>502</v>
      </c>
      <c r="E1696" s="1" t="s">
        <v>121</v>
      </c>
      <c r="F1696" s="83">
        <v>1</v>
      </c>
      <c r="G1696" s="92">
        <v>1090</v>
      </c>
      <c r="H1696" s="3">
        <v>23.5</v>
      </c>
      <c r="I1696" s="3">
        <v>833.85</v>
      </c>
      <c r="J1696" s="1" t="s">
        <v>87</v>
      </c>
      <c r="K1696" s="1" t="s">
        <v>99</v>
      </c>
      <c r="L1696" t="str">
        <f>VLOOKUP(D1696, Products!A:C, 3, FALSE)</f>
        <v>Home</v>
      </c>
      <c r="M1696" t="str">
        <f>VLOOKUP(C1696, Customers!A:E, 5, FALSE)</f>
        <v>Retail</v>
      </c>
      <c r="N1696">
        <f>VLOOKUP(C1696, Customers!A:E, 3, FALSE)</f>
        <v>31</v>
      </c>
      <c r="O1696" s="93" t="str">
        <f>VLOOKUP(E1696, Sales_Reps!A:C, 3, FALSE)</f>
        <v>East</v>
      </c>
      <c r="P1696">
        <f>VLOOKUP(D1696, Products!A:E, 4, FALSE)</f>
        <v>464</v>
      </c>
      <c r="Q1696">
        <f>IF(COUNTIF($A$2:A1696, A1696)=2, 1, 0)</f>
        <v>0</v>
      </c>
      <c r="R1696">
        <f>IF(ISNA(MATCH(C1696, Customers!$A:$A, 0)), 1, 0)</f>
        <v>0</v>
      </c>
      <c r="S1696" s="94" t="b">
        <f>VLOOKUP(D1696, Products!A:F, 6, FALSE)</f>
        <v>1</v>
      </c>
    </row>
    <row r="1697" spans="1:19">
      <c r="A1697" s="102" t="s">
        <v>2195</v>
      </c>
      <c r="B1697" s="2">
        <v>45531</v>
      </c>
      <c r="C1697" s="1" t="s">
        <v>921</v>
      </c>
      <c r="D1697" s="1" t="s">
        <v>200</v>
      </c>
      <c r="E1697" s="1" t="s">
        <v>154</v>
      </c>
      <c r="F1697" s="83">
        <v>2</v>
      </c>
      <c r="G1697" s="92">
        <v>2760</v>
      </c>
      <c r="H1697" s="3">
        <v>2.2999999999999998</v>
      </c>
      <c r="I1697" s="3">
        <v>5393.04</v>
      </c>
      <c r="J1697" s="1" t="s">
        <v>87</v>
      </c>
      <c r="K1697" s="1" t="s">
        <v>117</v>
      </c>
      <c r="L1697" t="str">
        <f>VLOOKUP(D1697, Products!A:C, 3, FALSE)</f>
        <v>Grocery</v>
      </c>
      <c r="M1697" t="str">
        <f>VLOOKUP(C1697, Customers!A:E, 5, FALSE)</f>
        <v>Retail</v>
      </c>
      <c r="N1697">
        <f>VLOOKUP(C1697, Customers!A:E, 3, FALSE)</f>
        <v>28</v>
      </c>
      <c r="O1697" s="93" t="str">
        <f>VLOOKUP(E1697, Sales_Reps!A:C, 3, FALSE)</f>
        <v>East</v>
      </c>
      <c r="P1697">
        <f>VLOOKUP(D1697, Products!A:E, 4, FALSE)</f>
        <v>1435</v>
      </c>
      <c r="Q1697">
        <f>IF(COUNTIF($A$2:A1697, A1697)=2, 1, 0)</f>
        <v>0</v>
      </c>
      <c r="R1697">
        <f>IF(ISNA(MATCH(C1697, Customers!$A:$A, 0)), 1, 0)</f>
        <v>0</v>
      </c>
      <c r="S1697" s="94" t="b">
        <f>VLOOKUP(D1697, Products!A:F, 6, FALSE)</f>
        <v>1</v>
      </c>
    </row>
    <row r="1698" spans="1:19">
      <c r="A1698" s="102" t="s">
        <v>2196</v>
      </c>
      <c r="B1698" s="2">
        <v>45626</v>
      </c>
      <c r="C1698" s="1" t="s">
        <v>561</v>
      </c>
      <c r="D1698" s="1" t="s">
        <v>187</v>
      </c>
      <c r="E1698" s="1" t="s">
        <v>201</v>
      </c>
      <c r="F1698" s="83">
        <v>3</v>
      </c>
      <c r="G1698" s="92">
        <v>3570</v>
      </c>
      <c r="H1698" s="3">
        <v>18.399999999999999</v>
      </c>
      <c r="I1698" s="3">
        <v>8739.36</v>
      </c>
      <c r="J1698" s="1" t="s">
        <v>144</v>
      </c>
      <c r="K1698" s="1" t="s">
        <v>133</v>
      </c>
      <c r="L1698" t="str">
        <f>VLOOKUP(D1698, Products!A:C, 3, FALSE)</f>
        <v>Electronics</v>
      </c>
      <c r="M1698" t="str">
        <f>VLOOKUP(C1698, Customers!A:E, 5, FALSE)</f>
        <v>SMB</v>
      </c>
      <c r="N1698">
        <f>VLOOKUP(C1698, Customers!A:E, 3, FALSE)</f>
        <v>43</v>
      </c>
      <c r="O1698" s="93" t="str">
        <f>VLOOKUP(E1698, Sales_Reps!A:C, 3, FALSE)</f>
        <v>West</v>
      </c>
      <c r="P1698">
        <f>VLOOKUP(D1698, Products!A:E, 4, FALSE)</f>
        <v>1665</v>
      </c>
      <c r="Q1698">
        <f>IF(COUNTIF($A$2:A1698, A1698)=2, 1, 0)</f>
        <v>0</v>
      </c>
      <c r="R1698">
        <f>IF(ISNA(MATCH(C1698, Customers!$A:$A, 0)), 1, 0)</f>
        <v>0</v>
      </c>
      <c r="S1698" s="94" t="b">
        <f>VLOOKUP(D1698, Products!A:F, 6, FALSE)</f>
        <v>1</v>
      </c>
    </row>
    <row r="1699" spans="1:19">
      <c r="A1699" s="102" t="s">
        <v>2197</v>
      </c>
      <c r="B1699" s="2">
        <v>45502</v>
      </c>
      <c r="C1699" s="1" t="s">
        <v>689</v>
      </c>
      <c r="D1699" s="1" t="s">
        <v>267</v>
      </c>
      <c r="E1699" s="1" t="s">
        <v>139</v>
      </c>
      <c r="F1699" s="83">
        <v>7</v>
      </c>
      <c r="G1699" s="92">
        <v>1220</v>
      </c>
      <c r="H1699" s="3">
        <v>25.8</v>
      </c>
      <c r="I1699" s="3">
        <v>6336.68</v>
      </c>
      <c r="J1699" s="1" t="s">
        <v>144</v>
      </c>
      <c r="K1699" s="1" t="s">
        <v>133</v>
      </c>
      <c r="L1699" t="str">
        <f>VLOOKUP(D1699, Products!A:C, 3, FALSE)</f>
        <v>Electronics</v>
      </c>
      <c r="M1699" t="str">
        <f>VLOOKUP(C1699, Customers!A:E, 5, FALSE)</f>
        <v>Retail</v>
      </c>
      <c r="N1699">
        <f>VLOOKUP(C1699, Customers!A:E, 3, FALSE)</f>
        <v>28</v>
      </c>
      <c r="O1699" s="93" t="str">
        <f>VLOOKUP(E1699, Sales_Reps!A:C, 3, FALSE)</f>
        <v>North</v>
      </c>
      <c r="P1699">
        <f>VLOOKUP(D1699, Products!A:E, 4, FALSE)</f>
        <v>517</v>
      </c>
      <c r="Q1699">
        <f>IF(COUNTIF($A$2:A1699, A1699)=2, 1, 0)</f>
        <v>0</v>
      </c>
      <c r="R1699">
        <f>IF(ISNA(MATCH(C1699, Customers!$A:$A, 0)), 1, 0)</f>
        <v>0</v>
      </c>
      <c r="S1699" s="94" t="b">
        <f>VLOOKUP(D1699, Products!A:F, 6, FALSE)</f>
        <v>1</v>
      </c>
    </row>
    <row r="1700" spans="1:19">
      <c r="A1700" s="102" t="s">
        <v>2198</v>
      </c>
      <c r="B1700" s="2">
        <v>45501</v>
      </c>
      <c r="C1700" s="1" t="s">
        <v>1172</v>
      </c>
      <c r="D1700" s="1" t="s">
        <v>161</v>
      </c>
      <c r="E1700" s="1" t="s">
        <v>229</v>
      </c>
      <c r="F1700" s="83">
        <v>6</v>
      </c>
      <c r="G1700" s="92">
        <v>3450</v>
      </c>
      <c r="H1700" s="3">
        <v>13.1</v>
      </c>
      <c r="I1700" s="3">
        <v>17988.3</v>
      </c>
      <c r="J1700" s="1" t="s">
        <v>87</v>
      </c>
      <c r="K1700" s="1" t="s">
        <v>88</v>
      </c>
      <c r="L1700" t="str">
        <f>VLOOKUP(D1700, Products!A:C, 3, FALSE)</f>
        <v>Sports</v>
      </c>
      <c r="M1700" t="str">
        <f>VLOOKUP(C1700, Customers!A:E, 5, FALSE)</f>
        <v>Retail</v>
      </c>
      <c r="N1700">
        <f>VLOOKUP(C1700, Customers!A:E, 3, FALSE)</f>
        <v>39</v>
      </c>
      <c r="O1700" s="93" t="str">
        <f>VLOOKUP(E1700, Sales_Reps!A:C, 3, FALSE)</f>
        <v>West</v>
      </c>
      <c r="P1700">
        <f>VLOOKUP(D1700, Products!A:E, 4, FALSE)</f>
        <v>2467</v>
      </c>
      <c r="Q1700">
        <f>IF(COUNTIF($A$2:A1700, A1700)=2, 1, 0)</f>
        <v>0</v>
      </c>
      <c r="R1700">
        <f>IF(ISNA(MATCH(C1700, Customers!$A:$A, 0)), 1, 0)</f>
        <v>0</v>
      </c>
      <c r="S1700" s="94" t="b">
        <f>VLOOKUP(D1700, Products!A:F, 6, FALSE)</f>
        <v>1</v>
      </c>
    </row>
    <row r="1701" spans="1:19">
      <c r="A1701" s="102" t="s">
        <v>2199</v>
      </c>
      <c r="B1701" s="2">
        <v>45435</v>
      </c>
      <c r="C1701" s="1" t="s">
        <v>109</v>
      </c>
      <c r="D1701" s="1" t="s">
        <v>338</v>
      </c>
      <c r="E1701" s="1" t="s">
        <v>139</v>
      </c>
      <c r="F1701" s="83">
        <v>10</v>
      </c>
      <c r="G1701" s="92">
        <v>2210</v>
      </c>
      <c r="H1701" s="3">
        <v>16.600000000000001</v>
      </c>
      <c r="I1701" s="3">
        <v>18431.400000000001</v>
      </c>
      <c r="J1701" s="1" t="s">
        <v>87</v>
      </c>
      <c r="K1701" s="1" t="s">
        <v>112</v>
      </c>
      <c r="L1701" t="str">
        <f>VLOOKUP(D1701, Products!A:C, 3, FALSE)</f>
        <v>Grocery</v>
      </c>
      <c r="M1701" t="str">
        <f>VLOOKUP(C1701, Customers!A:E, 5, FALSE)</f>
        <v>Retail</v>
      </c>
      <c r="N1701">
        <f>VLOOKUP(C1701, Customers!A:E, 3, FALSE)</f>
        <v>36</v>
      </c>
      <c r="O1701" s="93" t="str">
        <f>VLOOKUP(E1701, Sales_Reps!A:C, 3, FALSE)</f>
        <v>North</v>
      </c>
      <c r="P1701">
        <f>VLOOKUP(D1701, Products!A:E, 4, FALSE)</f>
        <v>1010</v>
      </c>
      <c r="Q1701">
        <f>IF(COUNTIF($A$2:A1701, A1701)=2, 1, 0)</f>
        <v>0</v>
      </c>
      <c r="R1701">
        <f>IF(ISNA(MATCH(C1701, Customers!$A:$A, 0)), 1, 0)</f>
        <v>0</v>
      </c>
      <c r="S1701" s="94" t="b">
        <f>VLOOKUP(D1701, Products!A:F, 6, FALSE)</f>
        <v>1</v>
      </c>
    </row>
    <row r="1702" spans="1:19">
      <c r="A1702" s="102" t="s">
        <v>2200</v>
      </c>
      <c r="B1702" s="2">
        <v>45295</v>
      </c>
      <c r="C1702" s="1" t="s">
        <v>416</v>
      </c>
      <c r="D1702" s="1" t="s">
        <v>167</v>
      </c>
      <c r="E1702" s="1" t="s">
        <v>343</v>
      </c>
      <c r="F1702" s="83">
        <v>10</v>
      </c>
      <c r="G1702" s="92">
        <v>2480</v>
      </c>
      <c r="H1702" s="3">
        <v>17.5</v>
      </c>
      <c r="I1702" s="3">
        <v>20460</v>
      </c>
      <c r="J1702" s="1" t="s">
        <v>87</v>
      </c>
      <c r="K1702" s="1" t="s">
        <v>117</v>
      </c>
      <c r="L1702" t="str">
        <f>VLOOKUP(D1702, Products!A:C, 3, FALSE)</f>
        <v>Apparel</v>
      </c>
      <c r="M1702" t="str">
        <f>VLOOKUP(C1702, Customers!A:E, 5, FALSE)</f>
        <v>Corporate</v>
      </c>
      <c r="N1702">
        <f>VLOOKUP(C1702, Customers!A:E, 3, FALSE)</f>
        <v>42</v>
      </c>
      <c r="O1702" s="93" t="str">
        <f>VLOOKUP(E1702, Sales_Reps!A:C, 3, FALSE)</f>
        <v>West</v>
      </c>
      <c r="P1702">
        <f>VLOOKUP(D1702, Products!A:E, 4, FALSE)</f>
        <v>1173</v>
      </c>
      <c r="Q1702">
        <f>IF(COUNTIF($A$2:A1702, A1702)=2, 1, 0)</f>
        <v>0</v>
      </c>
      <c r="R1702">
        <f>IF(ISNA(MATCH(C1702, Customers!$A:$A, 0)), 1, 0)</f>
        <v>0</v>
      </c>
      <c r="S1702" s="94" t="b">
        <f>VLOOKUP(D1702, Products!A:F, 6, FALSE)</f>
        <v>1</v>
      </c>
    </row>
    <row r="1703" spans="1:19">
      <c r="A1703" s="102" t="s">
        <v>2201</v>
      </c>
      <c r="B1703" s="2">
        <v>45566</v>
      </c>
      <c r="C1703" s="1" t="s">
        <v>1172</v>
      </c>
      <c r="D1703" s="1" t="s">
        <v>143</v>
      </c>
      <c r="E1703" s="1" t="s">
        <v>121</v>
      </c>
      <c r="F1703" s="83">
        <v>9</v>
      </c>
      <c r="G1703" s="92">
        <v>3250</v>
      </c>
      <c r="H1703" s="3">
        <v>25.9</v>
      </c>
      <c r="I1703" s="3">
        <v>21674.25</v>
      </c>
      <c r="J1703" s="1" t="s">
        <v>87</v>
      </c>
      <c r="K1703" s="1" t="s">
        <v>88</v>
      </c>
      <c r="L1703" t="str">
        <f>VLOOKUP(D1703, Products!A:C, 3, FALSE)</f>
        <v>Home</v>
      </c>
      <c r="M1703" t="str">
        <f>VLOOKUP(C1703, Customers!A:E, 5, FALSE)</f>
        <v>Retail</v>
      </c>
      <c r="N1703">
        <f>VLOOKUP(C1703, Customers!A:E, 3, FALSE)</f>
        <v>39</v>
      </c>
      <c r="O1703" s="93" t="str">
        <f>VLOOKUP(E1703, Sales_Reps!A:C, 3, FALSE)</f>
        <v>East</v>
      </c>
      <c r="P1703">
        <f>VLOOKUP(D1703, Products!A:E, 4, FALSE)</f>
        <v>1556</v>
      </c>
      <c r="Q1703">
        <f>IF(COUNTIF($A$2:A1703, A1703)=2, 1, 0)</f>
        <v>0</v>
      </c>
      <c r="R1703">
        <f>IF(ISNA(MATCH(C1703, Customers!$A:$A, 0)), 1, 0)</f>
        <v>0</v>
      </c>
      <c r="S1703" s="94" t="b">
        <f>VLOOKUP(D1703, Products!A:F, 6, FALSE)</f>
        <v>1</v>
      </c>
    </row>
    <row r="1704" spans="1:19">
      <c r="A1704" s="102" t="s">
        <v>2202</v>
      </c>
      <c r="B1704" s="2">
        <v>45474</v>
      </c>
      <c r="C1704" s="1" t="s">
        <v>837</v>
      </c>
      <c r="D1704" s="1" t="s">
        <v>151</v>
      </c>
      <c r="E1704" s="1" t="s">
        <v>107</v>
      </c>
      <c r="F1704" s="83">
        <v>3</v>
      </c>
      <c r="G1704" s="92">
        <v>2400</v>
      </c>
      <c r="H1704" s="3">
        <v>17.5</v>
      </c>
      <c r="I1704" s="3">
        <v>5940</v>
      </c>
      <c r="J1704" s="1" t="s">
        <v>87</v>
      </c>
      <c r="K1704" s="1" t="s">
        <v>117</v>
      </c>
      <c r="L1704" t="str">
        <f>VLOOKUP(D1704, Products!A:C, 3, FALSE)</f>
        <v>Sports</v>
      </c>
      <c r="M1704" t="str">
        <f>VLOOKUP(C1704, Customers!A:E, 5, FALSE)</f>
        <v>Retail</v>
      </c>
      <c r="N1704">
        <f>VLOOKUP(C1704, Customers!A:E, 3, FALSE)</f>
        <v>37</v>
      </c>
      <c r="O1704" s="93" t="str">
        <f>VLOOKUP(E1704, Sales_Reps!A:C, 3, FALSE)</f>
        <v>North</v>
      </c>
      <c r="P1704">
        <f>VLOOKUP(D1704, Products!A:E, 4, FALSE)</f>
        <v>974</v>
      </c>
      <c r="Q1704">
        <f>IF(COUNTIF($A$2:A1704, A1704)=2, 1, 0)</f>
        <v>0</v>
      </c>
      <c r="R1704">
        <f>IF(ISNA(MATCH(C1704, Customers!$A:$A, 0)), 1, 0)</f>
        <v>0</v>
      </c>
      <c r="S1704" s="94" t="b">
        <f>VLOOKUP(D1704, Products!A:F, 6, FALSE)</f>
        <v>1</v>
      </c>
    </row>
    <row r="1705" spans="1:19">
      <c r="A1705" s="102" t="s">
        <v>2203</v>
      </c>
      <c r="B1705" s="2">
        <v>45372</v>
      </c>
      <c r="C1705" s="1" t="s">
        <v>291</v>
      </c>
      <c r="D1705" s="1" t="s">
        <v>360</v>
      </c>
      <c r="E1705" s="1" t="s">
        <v>103</v>
      </c>
      <c r="F1705" s="83">
        <v>8</v>
      </c>
      <c r="G1705" s="92">
        <v>5410</v>
      </c>
      <c r="H1705" s="3">
        <v>8.3000000000000007</v>
      </c>
      <c r="I1705" s="3">
        <v>39687.760000000002</v>
      </c>
      <c r="J1705" s="1" t="s">
        <v>87</v>
      </c>
      <c r="K1705" s="1" t="s">
        <v>99</v>
      </c>
      <c r="L1705" t="str">
        <f>VLOOKUP(D1705, Products!A:C, 3, FALSE)</f>
        <v>Sports</v>
      </c>
      <c r="M1705" t="str">
        <f>VLOOKUP(C1705, Customers!A:E, 5, FALSE)</f>
        <v>Retail</v>
      </c>
      <c r="N1705">
        <f>VLOOKUP(C1705, Customers!A:E, 3, FALSE)</f>
        <v>35</v>
      </c>
      <c r="O1705" s="93" t="str">
        <f>VLOOKUP(E1705, Sales_Reps!A:C, 3, FALSE)</f>
        <v>North</v>
      </c>
      <c r="P1705">
        <f>VLOOKUP(D1705, Products!A:E, 4, FALSE)</f>
        <v>2265</v>
      </c>
      <c r="Q1705">
        <f>IF(COUNTIF($A$2:A1705, A1705)=2, 1, 0)</f>
        <v>0</v>
      </c>
      <c r="R1705">
        <f>IF(ISNA(MATCH(C1705, Customers!$A:$A, 0)), 1, 0)</f>
        <v>0</v>
      </c>
      <c r="S1705" s="94" t="b">
        <f>VLOOKUP(D1705, Products!A:F, 6, FALSE)</f>
        <v>1</v>
      </c>
    </row>
    <row r="1706" spans="1:19">
      <c r="A1706" s="102" t="s">
        <v>2204</v>
      </c>
      <c r="B1706" s="2">
        <v>45622</v>
      </c>
      <c r="C1706" s="1" t="s">
        <v>835</v>
      </c>
      <c r="D1706" s="1" t="s">
        <v>138</v>
      </c>
      <c r="E1706" s="1" t="s">
        <v>303</v>
      </c>
      <c r="F1706" s="83">
        <v>1</v>
      </c>
      <c r="G1706" s="92">
        <v>2600</v>
      </c>
      <c r="H1706" s="3">
        <v>5.9</v>
      </c>
      <c r="I1706" s="3">
        <v>2446.6</v>
      </c>
      <c r="J1706" s="1" t="s">
        <v>87</v>
      </c>
      <c r="K1706" s="1" t="s">
        <v>117</v>
      </c>
      <c r="L1706" t="str">
        <f>VLOOKUP(D1706, Products!A:C, 3, FALSE)</f>
        <v>Electronics</v>
      </c>
      <c r="M1706" t="str">
        <f>VLOOKUP(C1706, Customers!A:E, 5, FALSE)</f>
        <v>Retail</v>
      </c>
      <c r="N1706">
        <f>VLOOKUP(C1706, Customers!A:E, 3, FALSE)</f>
        <v>52</v>
      </c>
      <c r="O1706" s="93" t="str">
        <f>VLOOKUP(E1706, Sales_Reps!A:C, 3, FALSE)</f>
        <v>East</v>
      </c>
      <c r="P1706">
        <f>VLOOKUP(D1706, Products!A:E, 4, FALSE)</f>
        <v>1052</v>
      </c>
      <c r="Q1706">
        <f>IF(COUNTIF($A$2:A1706, A1706)=2, 1, 0)</f>
        <v>0</v>
      </c>
      <c r="R1706">
        <f>IF(ISNA(MATCH(C1706, Customers!$A:$A, 0)), 1, 0)</f>
        <v>0</v>
      </c>
      <c r="S1706" s="94" t="b">
        <f>VLOOKUP(D1706, Products!A:F, 6, FALSE)</f>
        <v>1</v>
      </c>
    </row>
    <row r="1707" spans="1:19">
      <c r="A1707" s="102" t="s">
        <v>2205</v>
      </c>
      <c r="B1707" s="2">
        <v>45603</v>
      </c>
      <c r="C1707" s="1" t="s">
        <v>366</v>
      </c>
      <c r="D1707" s="1" t="s">
        <v>351</v>
      </c>
      <c r="E1707" s="1" t="s">
        <v>148</v>
      </c>
      <c r="F1707" s="83">
        <v>10</v>
      </c>
      <c r="G1707" s="92">
        <v>4060</v>
      </c>
      <c r="H1707" s="3">
        <v>2.2999999999999998</v>
      </c>
      <c r="I1707" s="3">
        <v>39666.199999999997</v>
      </c>
      <c r="J1707" s="1" t="s">
        <v>87</v>
      </c>
      <c r="K1707" s="1" t="s">
        <v>112</v>
      </c>
      <c r="L1707" t="str">
        <f>VLOOKUP(D1707, Products!A:C, 3, FALSE)</f>
        <v>Grocery</v>
      </c>
      <c r="M1707" t="str">
        <f>VLOOKUP(C1707, Customers!A:E, 5, FALSE)</f>
        <v>Retail</v>
      </c>
      <c r="N1707">
        <f>VLOOKUP(C1707, Customers!A:E, 3, FALSE)</f>
        <v>25</v>
      </c>
      <c r="O1707" s="93" t="str">
        <f>VLOOKUP(E1707, Sales_Reps!A:C, 3, FALSE)</f>
        <v>North</v>
      </c>
      <c r="P1707">
        <f>VLOOKUP(D1707, Products!A:E, 4, FALSE)</f>
        <v>2911</v>
      </c>
      <c r="Q1707">
        <f>IF(COUNTIF($A$2:A1707, A1707)=2, 1, 0)</f>
        <v>0</v>
      </c>
      <c r="R1707">
        <f>IF(ISNA(MATCH(C1707, Customers!$A:$A, 0)), 1, 0)</f>
        <v>0</v>
      </c>
      <c r="S1707" s="94" t="b">
        <f>VLOOKUP(D1707, Products!A:F, 6, FALSE)</f>
        <v>1</v>
      </c>
    </row>
    <row r="1708" spans="1:19">
      <c r="A1708" s="102" t="s">
        <v>2206</v>
      </c>
      <c r="B1708" s="2">
        <v>45352</v>
      </c>
      <c r="C1708" s="1" t="s">
        <v>729</v>
      </c>
      <c r="D1708" s="1" t="s">
        <v>364</v>
      </c>
      <c r="E1708" s="1" t="s">
        <v>192</v>
      </c>
      <c r="F1708" s="83">
        <v>9</v>
      </c>
      <c r="G1708" s="92">
        <v>5330</v>
      </c>
      <c r="H1708" s="3">
        <v>23.5</v>
      </c>
      <c r="I1708" s="3">
        <v>36697.050000000003</v>
      </c>
      <c r="J1708" s="1" t="s">
        <v>87</v>
      </c>
      <c r="K1708" s="1" t="s">
        <v>112</v>
      </c>
      <c r="L1708" t="str">
        <f>VLOOKUP(D1708, Products!A:C, 3, FALSE)</f>
        <v>Electronics</v>
      </c>
      <c r="M1708" t="str">
        <f>VLOOKUP(C1708, Customers!A:E, 5, FALSE)</f>
        <v>Retail</v>
      </c>
      <c r="N1708">
        <f>VLOOKUP(C1708, Customers!A:E, 3, FALSE)</f>
        <v>56</v>
      </c>
      <c r="O1708" s="93" t="str">
        <f>VLOOKUP(E1708, Sales_Reps!A:C, 3, FALSE)</f>
        <v>East</v>
      </c>
      <c r="P1708">
        <f>VLOOKUP(D1708, Products!A:E, 4, FALSE)</f>
        <v>2405</v>
      </c>
      <c r="Q1708">
        <f>IF(COUNTIF($A$2:A1708, A1708)=2, 1, 0)</f>
        <v>0</v>
      </c>
      <c r="R1708">
        <f>IF(ISNA(MATCH(C1708, Customers!$A:$A, 0)), 1, 0)</f>
        <v>0</v>
      </c>
      <c r="S1708" s="94" t="b">
        <f>VLOOKUP(D1708, Products!A:F, 6, FALSE)</f>
        <v>1</v>
      </c>
    </row>
    <row r="1709" spans="1:19">
      <c r="A1709" s="102" t="s">
        <v>2207</v>
      </c>
      <c r="B1709" s="2">
        <v>45600</v>
      </c>
      <c r="C1709" s="1" t="s">
        <v>299</v>
      </c>
      <c r="D1709" s="1" t="s">
        <v>179</v>
      </c>
      <c r="E1709" s="1" t="s">
        <v>111</v>
      </c>
      <c r="F1709" s="83">
        <v>7</v>
      </c>
      <c r="G1709" s="92">
        <v>3350</v>
      </c>
      <c r="H1709" s="3">
        <v>13.4</v>
      </c>
      <c r="I1709" s="3">
        <v>20307.7</v>
      </c>
      <c r="J1709" s="1" t="s">
        <v>93</v>
      </c>
      <c r="K1709" s="1" t="s">
        <v>133</v>
      </c>
      <c r="L1709" t="str">
        <f>VLOOKUP(D1709, Products!A:C, 3, FALSE)</f>
        <v>Beauty</v>
      </c>
      <c r="M1709" t="str">
        <f>VLOOKUP(C1709, Customers!A:E, 5, FALSE)</f>
        <v>Retail</v>
      </c>
      <c r="N1709">
        <f>VLOOKUP(C1709, Customers!A:E, 3, FALSE)</f>
        <v>29</v>
      </c>
      <c r="O1709" s="93" t="str">
        <f>VLOOKUP(E1709, Sales_Reps!A:C, 3, FALSE)</f>
        <v>West</v>
      </c>
      <c r="P1709">
        <f>VLOOKUP(D1709, Products!A:E, 4, FALSE)</f>
        <v>1728</v>
      </c>
      <c r="Q1709">
        <f>IF(COUNTIF($A$2:A1709, A1709)=2, 1, 0)</f>
        <v>0</v>
      </c>
      <c r="R1709">
        <f>IF(ISNA(MATCH(C1709, Customers!$A:$A, 0)), 1, 0)</f>
        <v>0</v>
      </c>
      <c r="S1709" s="94" t="b">
        <f>VLOOKUP(D1709, Products!A:F, 6, FALSE)</f>
        <v>1</v>
      </c>
    </row>
    <row r="1710" spans="1:19">
      <c r="A1710" s="102" t="s">
        <v>2208</v>
      </c>
      <c r="B1710" s="2">
        <v>45631</v>
      </c>
      <c r="C1710" s="1" t="s">
        <v>565</v>
      </c>
      <c r="D1710" s="1" t="s">
        <v>355</v>
      </c>
      <c r="E1710" s="1" t="s">
        <v>98</v>
      </c>
      <c r="F1710" s="83">
        <v>4</v>
      </c>
      <c r="G1710" s="92">
        <v>2510</v>
      </c>
      <c r="H1710" s="3">
        <v>26.6</v>
      </c>
      <c r="I1710" s="3">
        <v>7369.36</v>
      </c>
      <c r="J1710" s="1" t="s">
        <v>87</v>
      </c>
      <c r="K1710" s="1" t="s">
        <v>112</v>
      </c>
      <c r="L1710" t="str">
        <f>VLOOKUP(D1710, Products!A:C, 3, FALSE)</f>
        <v>Apparel</v>
      </c>
      <c r="M1710" t="str">
        <f>VLOOKUP(C1710, Customers!A:E, 5, FALSE)</f>
        <v>SMB</v>
      </c>
      <c r="N1710">
        <f>VLOOKUP(C1710, Customers!A:E, 3, FALSE)</f>
        <v>61</v>
      </c>
      <c r="O1710" s="93" t="str">
        <f>VLOOKUP(E1710, Sales_Reps!A:C, 3, FALSE)</f>
        <v>South</v>
      </c>
      <c r="P1710">
        <f>VLOOKUP(D1710, Products!A:E, 4, FALSE)</f>
        <v>1075</v>
      </c>
      <c r="Q1710">
        <f>IF(COUNTIF($A$2:A1710, A1710)=2, 1, 0)</f>
        <v>0</v>
      </c>
      <c r="R1710">
        <f>IF(ISNA(MATCH(C1710, Customers!$A:$A, 0)), 1, 0)</f>
        <v>0</v>
      </c>
      <c r="S1710" s="94" t="b">
        <f>VLOOKUP(D1710, Products!A:F, 6, FALSE)</f>
        <v>0</v>
      </c>
    </row>
    <row r="1711" spans="1:19">
      <c r="A1711" s="102" t="s">
        <v>2209</v>
      </c>
      <c r="B1711" s="2">
        <v>45456</v>
      </c>
      <c r="C1711" s="1" t="s">
        <v>194</v>
      </c>
      <c r="D1711" s="1" t="s">
        <v>276</v>
      </c>
      <c r="E1711" s="1" t="s">
        <v>158</v>
      </c>
      <c r="F1711" s="83">
        <v>1</v>
      </c>
      <c r="G1711" s="92">
        <v>3020</v>
      </c>
      <c r="H1711" s="3">
        <v>15.2</v>
      </c>
      <c r="I1711" s="3">
        <v>2560.96</v>
      </c>
      <c r="J1711" s="1" t="s">
        <v>140</v>
      </c>
      <c r="K1711" s="1" t="s">
        <v>88</v>
      </c>
      <c r="L1711" t="str">
        <f>VLOOKUP(D1711, Products!A:C, 3, FALSE)</f>
        <v>Beauty</v>
      </c>
      <c r="M1711" t="str">
        <f>VLOOKUP(C1711, Customers!A:E, 5, FALSE)</f>
        <v>SMB</v>
      </c>
      <c r="N1711">
        <f>VLOOKUP(C1711, Customers!A:E, 3, FALSE)</f>
        <v>44</v>
      </c>
      <c r="O1711" s="93" t="str">
        <f>VLOOKUP(E1711, Sales_Reps!A:C, 3, FALSE)</f>
        <v>East</v>
      </c>
      <c r="P1711">
        <f>VLOOKUP(D1711, Products!A:E, 4, FALSE)</f>
        <v>1626</v>
      </c>
      <c r="Q1711">
        <f>IF(COUNTIF($A$2:A1711, A1711)=2, 1, 0)</f>
        <v>0</v>
      </c>
      <c r="R1711">
        <f>IF(ISNA(MATCH(C1711, Customers!$A:$A, 0)), 1, 0)</f>
        <v>0</v>
      </c>
      <c r="S1711" s="94" t="b">
        <f>VLOOKUP(D1711, Products!A:F, 6, FALSE)</f>
        <v>1</v>
      </c>
    </row>
    <row r="1712" spans="1:19">
      <c r="A1712" s="102" t="s">
        <v>2210</v>
      </c>
      <c r="B1712" s="2">
        <v>45539</v>
      </c>
      <c r="C1712" s="1" t="s">
        <v>970</v>
      </c>
      <c r="D1712" s="1" t="s">
        <v>91</v>
      </c>
      <c r="E1712" s="1" t="s">
        <v>229</v>
      </c>
      <c r="F1712" s="83">
        <v>1</v>
      </c>
      <c r="G1712" s="92">
        <v>820</v>
      </c>
      <c r="H1712" s="3">
        <v>6.3</v>
      </c>
      <c r="I1712" s="3">
        <v>768.34</v>
      </c>
      <c r="J1712" s="1" t="s">
        <v>87</v>
      </c>
      <c r="K1712" s="1" t="s">
        <v>112</v>
      </c>
      <c r="L1712" t="str">
        <f>VLOOKUP(D1712, Products!A:C, 3, FALSE)</f>
        <v>Apparel</v>
      </c>
      <c r="M1712" t="str">
        <f>VLOOKUP(C1712, Customers!A:E, 5, FALSE)</f>
        <v>Retail</v>
      </c>
      <c r="N1712">
        <f>VLOOKUP(C1712, Customers!A:E, 3, FALSE)</f>
        <v>40</v>
      </c>
      <c r="O1712" s="93" t="str">
        <f>VLOOKUP(E1712, Sales_Reps!A:C, 3, FALSE)</f>
        <v>West</v>
      </c>
      <c r="P1712">
        <f>VLOOKUP(D1712, Products!A:E, 4, FALSE)</f>
        <v>391</v>
      </c>
      <c r="Q1712">
        <f>IF(COUNTIF($A$2:A1712, A1712)=2, 1, 0)</f>
        <v>0</v>
      </c>
      <c r="R1712">
        <f>IF(ISNA(MATCH(C1712, Customers!$A:$A, 0)), 1, 0)</f>
        <v>0</v>
      </c>
      <c r="S1712" s="94" t="b">
        <f>VLOOKUP(D1712, Products!A:F, 6, FALSE)</f>
        <v>1</v>
      </c>
    </row>
    <row r="1713" spans="1:19">
      <c r="A1713" s="102" t="s">
        <v>2211</v>
      </c>
      <c r="B1713" s="2">
        <v>45488</v>
      </c>
      <c r="C1713" s="1" t="s">
        <v>968</v>
      </c>
      <c r="D1713" s="1" t="s">
        <v>106</v>
      </c>
      <c r="E1713" s="1" t="s">
        <v>343</v>
      </c>
      <c r="F1713" s="83">
        <v>4</v>
      </c>
      <c r="G1713" s="92">
        <v>3160</v>
      </c>
      <c r="H1713" s="3">
        <v>3.6</v>
      </c>
      <c r="I1713" s="3">
        <v>12184.96</v>
      </c>
      <c r="J1713" s="1" t="s">
        <v>93</v>
      </c>
      <c r="K1713" s="1" t="s">
        <v>99</v>
      </c>
      <c r="L1713" t="str">
        <f>VLOOKUP(D1713, Products!A:C, 3, FALSE)</f>
        <v>Apparel</v>
      </c>
      <c r="M1713" t="str">
        <f>VLOOKUP(C1713, Customers!A:E, 5, FALSE)</f>
        <v>Retail</v>
      </c>
      <c r="N1713">
        <f>VLOOKUP(C1713, Customers!A:E, 3, FALSE)</f>
        <v>47</v>
      </c>
      <c r="O1713" s="93" t="str">
        <f>VLOOKUP(E1713, Sales_Reps!A:C, 3, FALSE)</f>
        <v>West</v>
      </c>
      <c r="P1713">
        <f>VLOOKUP(D1713, Products!A:E, 4, FALSE)</f>
        <v>1886</v>
      </c>
      <c r="Q1713">
        <f>IF(COUNTIF($A$2:A1713, A1713)=2, 1, 0)</f>
        <v>0</v>
      </c>
      <c r="R1713">
        <f>IF(ISNA(MATCH(C1713, Customers!$A:$A, 0)), 1, 0)</f>
        <v>0</v>
      </c>
      <c r="S1713" s="94" t="b">
        <f>VLOOKUP(D1713, Products!A:F, 6, FALSE)</f>
        <v>1</v>
      </c>
    </row>
    <row r="1714" spans="1:19">
      <c r="A1714" s="102" t="s">
        <v>2212</v>
      </c>
      <c r="B1714" s="2">
        <v>45370</v>
      </c>
      <c r="C1714" s="1" t="s">
        <v>522</v>
      </c>
      <c r="D1714" s="1" t="s">
        <v>102</v>
      </c>
      <c r="E1714" s="1" t="s">
        <v>325</v>
      </c>
      <c r="F1714" s="83">
        <v>1</v>
      </c>
      <c r="G1714" s="92">
        <v>3660</v>
      </c>
      <c r="H1714" s="3">
        <v>28.2</v>
      </c>
      <c r="I1714" s="3">
        <v>2627.88</v>
      </c>
      <c r="J1714" s="1" t="s">
        <v>93</v>
      </c>
      <c r="K1714" s="1" t="s">
        <v>99</v>
      </c>
      <c r="L1714" t="str">
        <f>VLOOKUP(D1714, Products!A:C, 3, FALSE)</f>
        <v>Grocery</v>
      </c>
      <c r="M1714" t="str">
        <f>VLOOKUP(C1714, Customers!A:E, 5, FALSE)</f>
        <v>SMB</v>
      </c>
      <c r="N1714">
        <f>VLOOKUP(C1714, Customers!A:E, 3, FALSE)</f>
        <v>55</v>
      </c>
      <c r="O1714" s="93" t="str">
        <f>VLOOKUP(E1714, Sales_Reps!A:C, 3, FALSE)</f>
        <v>South</v>
      </c>
      <c r="P1714">
        <f>VLOOKUP(D1714, Products!A:E, 4, FALSE)</f>
        <v>2214</v>
      </c>
      <c r="Q1714">
        <f>IF(COUNTIF($A$2:A1714, A1714)=2, 1, 0)</f>
        <v>0</v>
      </c>
      <c r="R1714">
        <f>IF(ISNA(MATCH(C1714, Customers!$A:$A, 0)), 1, 0)</f>
        <v>0</v>
      </c>
      <c r="S1714" s="94" t="b">
        <f>VLOOKUP(D1714, Products!A:F, 6, FALSE)</f>
        <v>0</v>
      </c>
    </row>
    <row r="1715" spans="1:19">
      <c r="A1715" s="102" t="s">
        <v>2213</v>
      </c>
      <c r="B1715" s="2">
        <v>45394</v>
      </c>
      <c r="C1715" s="1" t="s">
        <v>96</v>
      </c>
      <c r="D1715" s="1" t="s">
        <v>91</v>
      </c>
      <c r="E1715" s="1" t="s">
        <v>201</v>
      </c>
      <c r="F1715" s="83">
        <v>2</v>
      </c>
      <c r="G1715" s="92">
        <v>820</v>
      </c>
      <c r="H1715" s="3">
        <v>7</v>
      </c>
      <c r="I1715" s="3">
        <v>1525.2</v>
      </c>
      <c r="J1715" s="1" t="s">
        <v>87</v>
      </c>
      <c r="K1715" s="1" t="s">
        <v>99</v>
      </c>
      <c r="L1715" t="str">
        <f>VLOOKUP(D1715, Products!A:C, 3, FALSE)</f>
        <v>Apparel</v>
      </c>
      <c r="M1715" t="str">
        <f>VLOOKUP(C1715, Customers!A:E, 5, FALSE)</f>
        <v>Retail</v>
      </c>
      <c r="N1715">
        <f>VLOOKUP(C1715, Customers!A:E, 3, FALSE)</f>
        <v>52</v>
      </c>
      <c r="O1715" s="93" t="str">
        <f>VLOOKUP(E1715, Sales_Reps!A:C, 3, FALSE)</f>
        <v>West</v>
      </c>
      <c r="P1715">
        <f>VLOOKUP(D1715, Products!A:E, 4, FALSE)</f>
        <v>391</v>
      </c>
      <c r="Q1715">
        <f>IF(COUNTIF($A$2:A1715, A1715)=2, 1, 0)</f>
        <v>0</v>
      </c>
      <c r="R1715">
        <f>IF(ISNA(MATCH(C1715, Customers!$A:$A, 0)), 1, 0)</f>
        <v>0</v>
      </c>
      <c r="S1715" s="94" t="b">
        <f>VLOOKUP(D1715, Products!A:F, 6, FALSE)</f>
        <v>1</v>
      </c>
    </row>
    <row r="1716" spans="1:19">
      <c r="A1716" s="102" t="s">
        <v>2214</v>
      </c>
      <c r="B1716" s="2">
        <v>45446</v>
      </c>
      <c r="C1716" s="1" t="s">
        <v>263</v>
      </c>
      <c r="D1716" s="1" t="s">
        <v>367</v>
      </c>
      <c r="E1716" s="1" t="s">
        <v>285</v>
      </c>
      <c r="F1716" s="83">
        <v>5</v>
      </c>
      <c r="G1716" s="92">
        <v>2380</v>
      </c>
      <c r="H1716" s="3">
        <v>23</v>
      </c>
      <c r="I1716" s="3">
        <v>9163</v>
      </c>
      <c r="J1716" s="1" t="s">
        <v>87</v>
      </c>
      <c r="K1716" s="1" t="s">
        <v>133</v>
      </c>
      <c r="L1716" t="str">
        <f>VLOOKUP(D1716, Products!A:C, 3, FALSE)</f>
        <v>Grocery</v>
      </c>
      <c r="M1716" t="str">
        <f>VLOOKUP(C1716, Customers!A:E, 5, FALSE)</f>
        <v>Retail</v>
      </c>
      <c r="N1716">
        <f>VLOOKUP(C1716, Customers!A:E, 3, FALSE)</f>
        <v>53</v>
      </c>
      <c r="O1716" s="93" t="str">
        <f>VLOOKUP(E1716, Sales_Reps!A:C, 3, FALSE)</f>
        <v>East</v>
      </c>
      <c r="P1716">
        <f>VLOOKUP(D1716, Products!A:E, 4, FALSE)</f>
        <v>1182</v>
      </c>
      <c r="Q1716">
        <f>IF(COUNTIF($A$2:A1716, A1716)=2, 1, 0)</f>
        <v>0</v>
      </c>
      <c r="R1716">
        <f>IF(ISNA(MATCH(C1716, Customers!$A:$A, 0)), 1, 0)</f>
        <v>0</v>
      </c>
      <c r="S1716" s="94" t="b">
        <f>VLOOKUP(D1716, Products!A:F, 6, FALSE)</f>
        <v>1</v>
      </c>
    </row>
    <row r="1717" spans="1:19">
      <c r="A1717" s="102" t="s">
        <v>2215</v>
      </c>
      <c r="B1717" s="2">
        <v>45612</v>
      </c>
      <c r="C1717" s="1" t="s">
        <v>561</v>
      </c>
      <c r="D1717" s="1" t="s">
        <v>248</v>
      </c>
      <c r="E1717" s="1" t="s">
        <v>252</v>
      </c>
      <c r="F1717" s="83">
        <v>1</v>
      </c>
      <c r="G1717" s="92">
        <v>3870</v>
      </c>
      <c r="H1717" s="3">
        <v>27.3</v>
      </c>
      <c r="I1717" s="3">
        <v>2813.49</v>
      </c>
      <c r="J1717" s="1" t="s">
        <v>87</v>
      </c>
      <c r="K1717" s="1" t="s">
        <v>133</v>
      </c>
      <c r="L1717" t="str">
        <f>VLOOKUP(D1717, Products!A:C, 3, FALSE)</f>
        <v>Electronics</v>
      </c>
      <c r="M1717" t="str">
        <f>VLOOKUP(C1717, Customers!A:E, 5, FALSE)</f>
        <v>SMB</v>
      </c>
      <c r="N1717">
        <f>VLOOKUP(C1717, Customers!A:E, 3, FALSE)</f>
        <v>43</v>
      </c>
      <c r="O1717" s="93" t="str">
        <f>VLOOKUP(E1717, Sales_Reps!A:C, 3, FALSE)</f>
        <v>South</v>
      </c>
      <c r="P1717">
        <f>VLOOKUP(D1717, Products!A:E, 4, FALSE)</f>
        <v>1559</v>
      </c>
      <c r="Q1717">
        <f>IF(COUNTIF($A$2:A1717, A1717)=2, 1, 0)</f>
        <v>0</v>
      </c>
      <c r="R1717">
        <f>IF(ISNA(MATCH(C1717, Customers!$A:$A, 0)), 1, 0)</f>
        <v>0</v>
      </c>
      <c r="S1717" s="94" t="b">
        <f>VLOOKUP(D1717, Products!A:F, 6, FALSE)</f>
        <v>1</v>
      </c>
    </row>
    <row r="1718" spans="1:19">
      <c r="A1718" s="102" t="s">
        <v>2216</v>
      </c>
      <c r="B1718" s="2">
        <v>45301</v>
      </c>
      <c r="C1718" s="1" t="s">
        <v>662</v>
      </c>
      <c r="D1718" s="1" t="s">
        <v>282</v>
      </c>
      <c r="E1718" s="1" t="s">
        <v>86</v>
      </c>
      <c r="F1718" s="83">
        <v>10</v>
      </c>
      <c r="G1718" s="92">
        <v>300</v>
      </c>
      <c r="H1718" s="3">
        <v>14.1</v>
      </c>
      <c r="I1718" s="3">
        <v>2577</v>
      </c>
      <c r="J1718" s="1" t="s">
        <v>140</v>
      </c>
      <c r="K1718" s="1" t="s">
        <v>94</v>
      </c>
      <c r="L1718" t="str">
        <f>VLOOKUP(D1718, Products!A:C, 3, FALSE)</f>
        <v>Electronics</v>
      </c>
      <c r="M1718" t="str">
        <f>VLOOKUP(C1718, Customers!A:E, 5, FALSE)</f>
        <v>Corporate</v>
      </c>
      <c r="N1718">
        <f>VLOOKUP(C1718, Customers!A:E, 3, FALSE)</f>
        <v>41</v>
      </c>
      <c r="O1718" s="93" t="str">
        <f>VLOOKUP(E1718, Sales_Reps!A:C, 3, FALSE)</f>
        <v>North</v>
      </c>
      <c r="P1718">
        <f>VLOOKUP(D1718, Products!A:E, 4, FALSE)</f>
        <v>128</v>
      </c>
      <c r="Q1718">
        <f>IF(COUNTIF($A$2:A1718, A1718)=2, 1, 0)</f>
        <v>0</v>
      </c>
      <c r="R1718">
        <f>IF(ISNA(MATCH(C1718, Customers!$A:$A, 0)), 1, 0)</f>
        <v>0</v>
      </c>
      <c r="S1718" s="94" t="b">
        <f>VLOOKUP(D1718, Products!A:F, 6, FALSE)</f>
        <v>1</v>
      </c>
    </row>
    <row r="1719" spans="1:19">
      <c r="A1719" s="102" t="s">
        <v>2217</v>
      </c>
      <c r="B1719" s="2">
        <v>45647</v>
      </c>
      <c r="C1719" s="1" t="s">
        <v>895</v>
      </c>
      <c r="D1719" s="1" t="s">
        <v>191</v>
      </c>
      <c r="E1719" s="1" t="s">
        <v>343</v>
      </c>
      <c r="F1719" s="83">
        <v>10</v>
      </c>
      <c r="G1719" s="92">
        <v>5100</v>
      </c>
      <c r="H1719" s="3">
        <v>12.7</v>
      </c>
      <c r="I1719" s="3">
        <v>44523</v>
      </c>
      <c r="J1719" s="1" t="s">
        <v>87</v>
      </c>
      <c r="K1719" s="1" t="s">
        <v>117</v>
      </c>
      <c r="L1719" t="str">
        <f>VLOOKUP(D1719, Products!A:C, 3, FALSE)</f>
        <v>Beauty</v>
      </c>
      <c r="M1719" t="str">
        <f>VLOOKUP(C1719, Customers!A:E, 5, FALSE)</f>
        <v>Retail</v>
      </c>
      <c r="N1719">
        <f>VLOOKUP(C1719, Customers!A:E, 3, FALSE)</f>
        <v>46</v>
      </c>
      <c r="O1719" s="93" t="str">
        <f>VLOOKUP(E1719, Sales_Reps!A:C, 3, FALSE)</f>
        <v>West</v>
      </c>
      <c r="P1719">
        <f>VLOOKUP(D1719, Products!A:E, 4, FALSE)</f>
        <v>2237</v>
      </c>
      <c r="Q1719">
        <f>IF(COUNTIF($A$2:A1719, A1719)=2, 1, 0)</f>
        <v>0</v>
      </c>
      <c r="R1719">
        <f>IF(ISNA(MATCH(C1719, Customers!$A:$A, 0)), 1, 0)</f>
        <v>0</v>
      </c>
      <c r="S1719" s="94" t="b">
        <f>VLOOKUP(D1719, Products!A:F, 6, FALSE)</f>
        <v>1</v>
      </c>
    </row>
    <row r="1720" spans="1:19">
      <c r="A1720" s="102" t="s">
        <v>2218</v>
      </c>
      <c r="B1720" s="2">
        <v>45589</v>
      </c>
      <c r="C1720" s="1" t="s">
        <v>902</v>
      </c>
      <c r="D1720" s="1" t="s">
        <v>200</v>
      </c>
      <c r="E1720" s="1" t="s">
        <v>252</v>
      </c>
      <c r="F1720" s="83">
        <v>1</v>
      </c>
      <c r="G1720" s="92">
        <v>2760</v>
      </c>
      <c r="H1720" s="3">
        <v>17.8</v>
      </c>
      <c r="I1720" s="3">
        <v>2268.7199999999998</v>
      </c>
      <c r="J1720" s="1" t="s">
        <v>144</v>
      </c>
      <c r="K1720" s="1" t="s">
        <v>112</v>
      </c>
      <c r="L1720" t="str">
        <f>VLOOKUP(D1720, Products!A:C, 3, FALSE)</f>
        <v>Grocery</v>
      </c>
      <c r="M1720" t="str">
        <f>VLOOKUP(C1720, Customers!A:E, 5, FALSE)</f>
        <v>Retail</v>
      </c>
      <c r="N1720">
        <f>VLOOKUP(C1720, Customers!A:E, 3, FALSE)</f>
        <v>37</v>
      </c>
      <c r="O1720" s="93" t="str">
        <f>VLOOKUP(E1720, Sales_Reps!A:C, 3, FALSE)</f>
        <v>South</v>
      </c>
      <c r="P1720">
        <f>VLOOKUP(D1720, Products!A:E, 4, FALSE)</f>
        <v>1435</v>
      </c>
      <c r="Q1720">
        <f>IF(COUNTIF($A$2:A1720, A1720)=2, 1, 0)</f>
        <v>0</v>
      </c>
      <c r="R1720">
        <f>IF(ISNA(MATCH(C1720, Customers!$A:$A, 0)), 1, 0)</f>
        <v>0</v>
      </c>
      <c r="S1720" s="94" t="b">
        <f>VLOOKUP(D1720, Products!A:F, 6, FALSE)</f>
        <v>1</v>
      </c>
    </row>
    <row r="1721" spans="1:19">
      <c r="A1721" s="102" t="s">
        <v>2219</v>
      </c>
      <c r="B1721" s="2">
        <v>45382</v>
      </c>
      <c r="C1721" s="1" t="s">
        <v>501</v>
      </c>
      <c r="D1721" s="1" t="s">
        <v>364</v>
      </c>
      <c r="E1721" s="1" t="s">
        <v>297</v>
      </c>
      <c r="F1721" s="83">
        <v>8</v>
      </c>
      <c r="G1721" s="92">
        <v>5330</v>
      </c>
      <c r="H1721" s="3">
        <v>16.399999999999999</v>
      </c>
      <c r="I1721" s="3">
        <v>35647.040000000001</v>
      </c>
      <c r="J1721" s="1" t="s">
        <v>87</v>
      </c>
      <c r="K1721" s="1" t="s">
        <v>133</v>
      </c>
      <c r="L1721" t="str">
        <f>VLOOKUP(D1721, Products!A:C, 3, FALSE)</f>
        <v>Electronics</v>
      </c>
      <c r="M1721" t="str">
        <f>VLOOKUP(C1721, Customers!A:E, 5, FALSE)</f>
        <v>SMB</v>
      </c>
      <c r="N1721">
        <f>VLOOKUP(C1721, Customers!A:E, 3, FALSE)</f>
        <v>65</v>
      </c>
      <c r="O1721" s="93" t="str">
        <f>VLOOKUP(E1721, Sales_Reps!A:C, 3, FALSE)</f>
        <v>North</v>
      </c>
      <c r="P1721">
        <f>VLOOKUP(D1721, Products!A:E, 4, FALSE)</f>
        <v>2405</v>
      </c>
      <c r="Q1721">
        <f>IF(COUNTIF($A$2:A1721, A1721)=2, 1, 0)</f>
        <v>0</v>
      </c>
      <c r="R1721">
        <f>IF(ISNA(MATCH(C1721, Customers!$A:$A, 0)), 1, 0)</f>
        <v>0</v>
      </c>
      <c r="S1721" s="94" t="b">
        <f>VLOOKUP(D1721, Products!A:F, 6, FALSE)</f>
        <v>1</v>
      </c>
    </row>
    <row r="1722" spans="1:19">
      <c r="A1722" s="102" t="s">
        <v>2220</v>
      </c>
      <c r="B1722" s="2">
        <v>45457</v>
      </c>
      <c r="C1722" s="1" t="s">
        <v>662</v>
      </c>
      <c r="D1722" s="1" t="s">
        <v>182</v>
      </c>
      <c r="E1722" s="1" t="s">
        <v>346</v>
      </c>
      <c r="F1722" s="83">
        <v>1</v>
      </c>
      <c r="G1722" s="92">
        <v>1010</v>
      </c>
      <c r="H1722" s="3">
        <v>20.399999999999999</v>
      </c>
      <c r="I1722" s="3">
        <v>803.96</v>
      </c>
      <c r="J1722" s="1" t="s">
        <v>140</v>
      </c>
      <c r="K1722" s="1" t="s">
        <v>94</v>
      </c>
      <c r="L1722" t="str">
        <f>VLOOKUP(D1722, Products!A:C, 3, FALSE)</f>
        <v>Sports</v>
      </c>
      <c r="M1722" t="str">
        <f>VLOOKUP(C1722, Customers!A:E, 5, FALSE)</f>
        <v>Corporate</v>
      </c>
      <c r="N1722">
        <f>VLOOKUP(C1722, Customers!A:E, 3, FALSE)</f>
        <v>41</v>
      </c>
      <c r="O1722" s="93" t="str">
        <f>VLOOKUP(E1722, Sales_Reps!A:C, 3, FALSE)</f>
        <v>South</v>
      </c>
      <c r="P1722">
        <f>VLOOKUP(D1722, Products!A:E, 4, FALSE)</f>
        <v>516</v>
      </c>
      <c r="Q1722">
        <f>IF(COUNTIF($A$2:A1722, A1722)=2, 1, 0)</f>
        <v>0</v>
      </c>
      <c r="R1722">
        <f>IF(ISNA(MATCH(C1722, Customers!$A:$A, 0)), 1, 0)</f>
        <v>0</v>
      </c>
      <c r="S1722" s="94" t="b">
        <f>VLOOKUP(D1722, Products!A:F, 6, FALSE)</f>
        <v>1</v>
      </c>
    </row>
    <row r="1723" spans="1:19">
      <c r="A1723" s="102" t="s">
        <v>2221</v>
      </c>
      <c r="B1723" s="2">
        <v>45376</v>
      </c>
      <c r="C1723" s="1" t="s">
        <v>109</v>
      </c>
      <c r="D1723" s="1" t="s">
        <v>279</v>
      </c>
      <c r="E1723" s="1" t="s">
        <v>121</v>
      </c>
      <c r="F1723" s="83">
        <v>10</v>
      </c>
      <c r="G1723" s="92">
        <v>2660</v>
      </c>
      <c r="H1723" s="3">
        <v>29.3</v>
      </c>
      <c r="I1723" s="3">
        <v>18806.2</v>
      </c>
      <c r="J1723" s="1" t="s">
        <v>87</v>
      </c>
      <c r="K1723" s="1" t="s">
        <v>112</v>
      </c>
      <c r="L1723" t="str">
        <f>VLOOKUP(D1723, Products!A:C, 3, FALSE)</f>
        <v>Electronics</v>
      </c>
      <c r="M1723" t="str">
        <f>VLOOKUP(C1723, Customers!A:E, 5, FALSE)</f>
        <v>Retail</v>
      </c>
      <c r="N1723">
        <f>VLOOKUP(C1723, Customers!A:E, 3, FALSE)</f>
        <v>36</v>
      </c>
      <c r="O1723" s="93" t="str">
        <f>VLOOKUP(E1723, Sales_Reps!A:C, 3, FALSE)</f>
        <v>East</v>
      </c>
      <c r="P1723">
        <f>VLOOKUP(D1723, Products!A:E, 4, FALSE)</f>
        <v>1259</v>
      </c>
      <c r="Q1723">
        <f>IF(COUNTIF($A$2:A1723, A1723)=2, 1, 0)</f>
        <v>0</v>
      </c>
      <c r="R1723">
        <f>IF(ISNA(MATCH(C1723, Customers!$A:$A, 0)), 1, 0)</f>
        <v>0</v>
      </c>
      <c r="S1723" s="94" t="b">
        <f>VLOOKUP(D1723, Products!A:F, 6, FALSE)</f>
        <v>0</v>
      </c>
    </row>
    <row r="1724" spans="1:19">
      <c r="A1724" s="102" t="s">
        <v>2222</v>
      </c>
      <c r="B1724" s="2">
        <v>45506</v>
      </c>
      <c r="C1724" s="1" t="s">
        <v>169</v>
      </c>
      <c r="D1724" s="1" t="s">
        <v>408</v>
      </c>
      <c r="E1724" s="1" t="s">
        <v>273</v>
      </c>
      <c r="F1724" s="83">
        <v>9</v>
      </c>
      <c r="G1724" s="92">
        <v>3970</v>
      </c>
      <c r="H1724" s="3">
        <v>10.4</v>
      </c>
      <c r="I1724" s="3">
        <v>32014.080000000002</v>
      </c>
      <c r="J1724" s="1" t="s">
        <v>93</v>
      </c>
      <c r="K1724" s="1" t="s">
        <v>112</v>
      </c>
      <c r="L1724" t="str">
        <f>VLOOKUP(D1724, Products!A:C, 3, FALSE)</f>
        <v>Electronics</v>
      </c>
      <c r="M1724" t="str">
        <f>VLOOKUP(C1724, Customers!A:E, 5, FALSE)</f>
        <v>Retail</v>
      </c>
      <c r="N1724">
        <f>VLOOKUP(C1724, Customers!A:E, 3, FALSE)</f>
        <v>34</v>
      </c>
      <c r="O1724" s="93" t="str">
        <f>VLOOKUP(E1724, Sales_Reps!A:C, 3, FALSE)</f>
        <v>South</v>
      </c>
      <c r="P1724">
        <f>VLOOKUP(D1724, Products!A:E, 4, FALSE)</f>
        <v>2865</v>
      </c>
      <c r="Q1724">
        <f>IF(COUNTIF($A$2:A1724, A1724)=2, 1, 0)</f>
        <v>0</v>
      </c>
      <c r="R1724">
        <f>IF(ISNA(MATCH(C1724, Customers!$A:$A, 0)), 1, 0)</f>
        <v>0</v>
      </c>
      <c r="S1724" s="94" t="b">
        <f>VLOOKUP(D1724, Products!A:F, 6, FALSE)</f>
        <v>1</v>
      </c>
    </row>
    <row r="1725" spans="1:19">
      <c r="A1725" s="102" t="s">
        <v>2223</v>
      </c>
      <c r="B1725" s="2">
        <v>45472</v>
      </c>
      <c r="C1725" s="1" t="s">
        <v>905</v>
      </c>
      <c r="D1725" s="1" t="s">
        <v>85</v>
      </c>
      <c r="E1725" s="1" t="s">
        <v>107</v>
      </c>
      <c r="F1725" s="83">
        <v>3</v>
      </c>
      <c r="G1725" s="92">
        <v>3620</v>
      </c>
      <c r="H1725" s="3">
        <v>22</v>
      </c>
      <c r="I1725" s="3">
        <v>8470.7999999999993</v>
      </c>
      <c r="J1725" s="1" t="s">
        <v>87</v>
      </c>
      <c r="K1725" s="1" t="s">
        <v>112</v>
      </c>
      <c r="L1725" t="str">
        <f>VLOOKUP(D1725, Products!A:C, 3, FALSE)</f>
        <v>Apparel</v>
      </c>
      <c r="M1725" t="str">
        <f>VLOOKUP(C1725, Customers!A:E, 5, FALSE)</f>
        <v>SMB</v>
      </c>
      <c r="N1725">
        <f>VLOOKUP(C1725, Customers!A:E, 3, FALSE)</f>
        <v>43</v>
      </c>
      <c r="O1725" s="93" t="str">
        <f>VLOOKUP(E1725, Sales_Reps!A:C, 3, FALSE)</f>
        <v>North</v>
      </c>
      <c r="P1725">
        <f>VLOOKUP(D1725, Products!A:E, 4, FALSE)</f>
        <v>2509</v>
      </c>
      <c r="Q1725">
        <f>IF(COUNTIF($A$2:A1725, A1725)=2, 1, 0)</f>
        <v>0</v>
      </c>
      <c r="R1725">
        <f>IF(ISNA(MATCH(C1725, Customers!$A:$A, 0)), 1, 0)</f>
        <v>0</v>
      </c>
      <c r="S1725" s="94" t="b">
        <f>VLOOKUP(D1725, Products!A:F, 6, FALSE)</f>
        <v>1</v>
      </c>
    </row>
    <row r="1726" spans="1:19">
      <c r="A1726" s="102" t="s">
        <v>2224</v>
      </c>
      <c r="B1726" s="2">
        <v>45383</v>
      </c>
      <c r="C1726" s="1" t="s">
        <v>539</v>
      </c>
      <c r="D1726" s="1" t="s">
        <v>245</v>
      </c>
      <c r="E1726" s="1" t="s">
        <v>303</v>
      </c>
      <c r="F1726" s="83">
        <v>6</v>
      </c>
      <c r="G1726" s="92">
        <v>2270</v>
      </c>
      <c r="H1726" s="3">
        <v>11.1</v>
      </c>
      <c r="I1726" s="3">
        <v>12108.18</v>
      </c>
      <c r="J1726" s="1" t="s">
        <v>140</v>
      </c>
      <c r="K1726" s="1" t="s">
        <v>133</v>
      </c>
      <c r="L1726" t="str">
        <f>VLOOKUP(D1726, Products!A:C, 3, FALSE)</f>
        <v>Grocery</v>
      </c>
      <c r="M1726" t="str">
        <f>VLOOKUP(C1726, Customers!A:E, 5, FALSE)</f>
        <v>Retail</v>
      </c>
      <c r="N1726">
        <f>VLOOKUP(C1726, Customers!A:E, 3, FALSE)</f>
        <v>38</v>
      </c>
      <c r="O1726" s="93" t="str">
        <f>VLOOKUP(E1726, Sales_Reps!A:C, 3, FALSE)</f>
        <v>East</v>
      </c>
      <c r="P1726">
        <f>VLOOKUP(D1726, Products!A:E, 4, FALSE)</f>
        <v>1412</v>
      </c>
      <c r="Q1726">
        <f>IF(COUNTIF($A$2:A1726, A1726)=2, 1, 0)</f>
        <v>0</v>
      </c>
      <c r="R1726">
        <f>IF(ISNA(MATCH(C1726, Customers!$A:$A, 0)), 1, 0)</f>
        <v>0</v>
      </c>
      <c r="S1726" s="94" t="b">
        <f>VLOOKUP(D1726, Products!A:F, 6, FALSE)</f>
        <v>1</v>
      </c>
    </row>
    <row r="1727" spans="1:19">
      <c r="A1727" s="102" t="s">
        <v>2225</v>
      </c>
      <c r="B1727" s="2">
        <v>45543</v>
      </c>
      <c r="C1727" s="1" t="s">
        <v>1361</v>
      </c>
      <c r="D1727" s="1" t="s">
        <v>245</v>
      </c>
      <c r="E1727" s="1" t="s">
        <v>98</v>
      </c>
      <c r="F1727" s="83">
        <v>4</v>
      </c>
      <c r="G1727" s="92">
        <v>2270</v>
      </c>
      <c r="H1727" s="3">
        <v>27.2</v>
      </c>
      <c r="I1727" s="3">
        <v>6610.24</v>
      </c>
      <c r="J1727" s="1" t="s">
        <v>93</v>
      </c>
      <c r="K1727" s="1" t="s">
        <v>94</v>
      </c>
      <c r="L1727" t="str">
        <f>VLOOKUP(D1727, Products!A:C, 3, FALSE)</f>
        <v>Grocery</v>
      </c>
      <c r="M1727" t="str">
        <f>VLOOKUP(C1727, Customers!A:E, 5, FALSE)</f>
        <v>Retail</v>
      </c>
      <c r="N1727">
        <f>VLOOKUP(C1727, Customers!A:E, 3, FALSE)</f>
        <v>34</v>
      </c>
      <c r="O1727" s="93" t="str">
        <f>VLOOKUP(E1727, Sales_Reps!A:C, 3, FALSE)</f>
        <v>South</v>
      </c>
      <c r="P1727">
        <f>VLOOKUP(D1727, Products!A:E, 4, FALSE)</f>
        <v>1412</v>
      </c>
      <c r="Q1727">
        <f>IF(COUNTIF($A$2:A1727, A1727)=2, 1, 0)</f>
        <v>0</v>
      </c>
      <c r="R1727">
        <f>IF(ISNA(MATCH(C1727, Customers!$A:$A, 0)), 1, 0)</f>
        <v>0</v>
      </c>
      <c r="S1727" s="94" t="b">
        <f>VLOOKUP(D1727, Products!A:F, 6, FALSE)</f>
        <v>1</v>
      </c>
    </row>
    <row r="1728" spans="1:19">
      <c r="A1728" s="102" t="s">
        <v>2226</v>
      </c>
      <c r="B1728" s="2">
        <v>45576</v>
      </c>
      <c r="C1728" s="1" t="s">
        <v>447</v>
      </c>
      <c r="D1728" s="1" t="s">
        <v>270</v>
      </c>
      <c r="E1728" s="1" t="s">
        <v>325</v>
      </c>
      <c r="F1728" s="83">
        <v>8</v>
      </c>
      <c r="G1728" s="92">
        <v>4610</v>
      </c>
      <c r="H1728" s="3">
        <v>24.5</v>
      </c>
      <c r="I1728" s="3">
        <v>27844.400000000001</v>
      </c>
      <c r="J1728" s="1" t="s">
        <v>87</v>
      </c>
      <c r="K1728" s="1" t="s">
        <v>112</v>
      </c>
      <c r="L1728" t="str">
        <f>VLOOKUP(D1728, Products!A:C, 3, FALSE)</f>
        <v>Home</v>
      </c>
      <c r="M1728" t="str">
        <f>VLOOKUP(C1728, Customers!A:E, 5, FALSE)</f>
        <v>Retail</v>
      </c>
      <c r="N1728">
        <f>VLOOKUP(C1728, Customers!A:E, 3, FALSE)</f>
        <v>41</v>
      </c>
      <c r="O1728" s="93" t="str">
        <f>VLOOKUP(E1728, Sales_Reps!A:C, 3, FALSE)</f>
        <v>South</v>
      </c>
      <c r="P1728">
        <f>VLOOKUP(D1728, Products!A:E, 4, FALSE)</f>
        <v>1850</v>
      </c>
      <c r="Q1728">
        <f>IF(COUNTIF($A$2:A1728, A1728)=2, 1, 0)</f>
        <v>0</v>
      </c>
      <c r="R1728">
        <f>IF(ISNA(MATCH(C1728, Customers!$A:$A, 0)), 1, 0)</f>
        <v>0</v>
      </c>
      <c r="S1728" s="94" t="b">
        <f>VLOOKUP(D1728, Products!A:F, 6, FALSE)</f>
        <v>1</v>
      </c>
    </row>
    <row r="1729" spans="1:19">
      <c r="A1729" s="102" t="s">
        <v>2227</v>
      </c>
      <c r="B1729" s="2">
        <v>45366</v>
      </c>
      <c r="C1729" s="1" t="s">
        <v>684</v>
      </c>
      <c r="D1729" s="1" t="s">
        <v>147</v>
      </c>
      <c r="E1729" s="1" t="s">
        <v>192</v>
      </c>
      <c r="F1729" s="83">
        <v>6</v>
      </c>
      <c r="G1729" s="92">
        <v>190</v>
      </c>
      <c r="H1729" s="3">
        <v>8.6999999999999993</v>
      </c>
      <c r="I1729" s="3">
        <v>1040.82</v>
      </c>
      <c r="J1729" s="1" t="s">
        <v>140</v>
      </c>
      <c r="K1729" s="1" t="s">
        <v>99</v>
      </c>
      <c r="L1729" t="str">
        <f>VLOOKUP(D1729, Products!A:C, 3, FALSE)</f>
        <v>Sports</v>
      </c>
      <c r="M1729" t="str">
        <f>VLOOKUP(C1729, Customers!A:E, 5, FALSE)</f>
        <v>Retail</v>
      </c>
      <c r="N1729">
        <f>VLOOKUP(C1729, Customers!A:E, 3, FALSE)</f>
        <v>41</v>
      </c>
      <c r="O1729" s="93" t="str">
        <f>VLOOKUP(E1729, Sales_Reps!A:C, 3, FALSE)</f>
        <v>East</v>
      </c>
      <c r="P1729">
        <f>VLOOKUP(D1729, Products!A:E, 4, FALSE)</f>
        <v>147</v>
      </c>
      <c r="Q1729">
        <f>IF(COUNTIF($A$2:A1729, A1729)=2, 1, 0)</f>
        <v>0</v>
      </c>
      <c r="R1729">
        <f>IF(ISNA(MATCH(C1729, Customers!$A:$A, 0)), 1, 0)</f>
        <v>0</v>
      </c>
      <c r="S1729" s="94" t="b">
        <f>VLOOKUP(D1729, Products!A:F, 6, FALSE)</f>
        <v>1</v>
      </c>
    </row>
    <row r="1730" spans="1:19">
      <c r="A1730" s="102" t="s">
        <v>2228</v>
      </c>
      <c r="B1730" s="2">
        <v>45617</v>
      </c>
      <c r="C1730" s="1" t="s">
        <v>244</v>
      </c>
      <c r="D1730" s="1" t="s">
        <v>295</v>
      </c>
      <c r="E1730" s="1" t="s">
        <v>201</v>
      </c>
      <c r="F1730" s="83">
        <v>5</v>
      </c>
      <c r="G1730" s="92">
        <v>2030</v>
      </c>
      <c r="H1730" s="3">
        <v>0.9</v>
      </c>
      <c r="I1730" s="3">
        <v>10058.65</v>
      </c>
      <c r="J1730" s="1" t="s">
        <v>140</v>
      </c>
      <c r="K1730" s="1" t="s">
        <v>94</v>
      </c>
      <c r="L1730" t="str">
        <f>VLOOKUP(D1730, Products!A:C, 3, FALSE)</f>
        <v>Home</v>
      </c>
      <c r="M1730" t="str">
        <f>VLOOKUP(C1730, Customers!A:E, 5, FALSE)</f>
        <v>Corporate</v>
      </c>
      <c r="N1730">
        <f>VLOOKUP(C1730, Customers!A:E, 3, FALSE)</f>
        <v>52</v>
      </c>
      <c r="O1730" s="93" t="str">
        <f>VLOOKUP(E1730, Sales_Reps!A:C, 3, FALSE)</f>
        <v>West</v>
      </c>
      <c r="P1730">
        <f>VLOOKUP(D1730, Products!A:E, 4, FALSE)</f>
        <v>1143</v>
      </c>
      <c r="Q1730">
        <f>IF(COUNTIF($A$2:A1730, A1730)=2, 1, 0)</f>
        <v>0</v>
      </c>
      <c r="R1730">
        <f>IF(ISNA(MATCH(C1730, Customers!$A:$A, 0)), 1, 0)</f>
        <v>0</v>
      </c>
      <c r="S1730" s="94" t="b">
        <f>VLOOKUP(D1730, Products!A:F, 6, FALSE)</f>
        <v>1</v>
      </c>
    </row>
    <row r="1731" spans="1:19">
      <c r="A1731" s="102" t="s">
        <v>2229</v>
      </c>
      <c r="B1731" s="2">
        <v>45614</v>
      </c>
      <c r="C1731" s="1" t="s">
        <v>440</v>
      </c>
      <c r="D1731" s="1" t="s">
        <v>264</v>
      </c>
      <c r="E1731" s="1" t="s">
        <v>192</v>
      </c>
      <c r="F1731" s="83">
        <v>1</v>
      </c>
      <c r="G1731" s="92">
        <v>4070</v>
      </c>
      <c r="H1731" s="3">
        <v>9.3000000000000007</v>
      </c>
      <c r="I1731" s="3">
        <v>3691.49</v>
      </c>
      <c r="J1731" s="1" t="s">
        <v>144</v>
      </c>
      <c r="K1731" s="1" t="s">
        <v>88</v>
      </c>
      <c r="L1731" t="str">
        <f>VLOOKUP(D1731, Products!A:C, 3, FALSE)</f>
        <v>Grocery</v>
      </c>
      <c r="M1731" t="str">
        <f>VLOOKUP(C1731, Customers!A:E, 5, FALSE)</f>
        <v>SMB</v>
      </c>
      <c r="N1731">
        <f>VLOOKUP(C1731, Customers!A:E, 3, FALSE)</f>
        <v>30</v>
      </c>
      <c r="O1731" s="93" t="str">
        <f>VLOOKUP(E1731, Sales_Reps!A:C, 3, FALSE)</f>
        <v>East</v>
      </c>
      <c r="P1731">
        <f>VLOOKUP(D1731, Products!A:E, 4, FALSE)</f>
        <v>2027</v>
      </c>
      <c r="Q1731">
        <f>IF(COUNTIF($A$2:A1731, A1731)=2, 1, 0)</f>
        <v>0</v>
      </c>
      <c r="R1731">
        <f>IF(ISNA(MATCH(C1731, Customers!$A:$A, 0)), 1, 0)</f>
        <v>0</v>
      </c>
      <c r="S1731" s="94" t="b">
        <f>VLOOKUP(D1731, Products!A:F, 6, FALSE)</f>
        <v>1</v>
      </c>
    </row>
    <row r="1732" spans="1:19">
      <c r="A1732" s="102" t="s">
        <v>2230</v>
      </c>
      <c r="B1732" s="2">
        <v>45460</v>
      </c>
      <c r="C1732" s="1" t="s">
        <v>533</v>
      </c>
      <c r="D1732" s="1" t="s">
        <v>386</v>
      </c>
      <c r="E1732" s="1" t="s">
        <v>215</v>
      </c>
      <c r="F1732" s="83">
        <v>3</v>
      </c>
      <c r="G1732" s="92">
        <v>2290</v>
      </c>
      <c r="H1732" s="3">
        <v>12.1</v>
      </c>
      <c r="I1732" s="3">
        <v>6038.73</v>
      </c>
      <c r="J1732" s="1" t="s">
        <v>87</v>
      </c>
      <c r="K1732" s="1" t="s">
        <v>99</v>
      </c>
      <c r="L1732" t="str">
        <f>VLOOKUP(D1732, Products!A:C, 3, FALSE)</f>
        <v>Beauty</v>
      </c>
      <c r="M1732" t="str">
        <f>VLOOKUP(C1732, Customers!A:E, 5, FALSE)</f>
        <v>SMB</v>
      </c>
      <c r="N1732">
        <f>VLOOKUP(C1732, Customers!A:E, 3, FALSE)</f>
        <v>48</v>
      </c>
      <c r="O1732" s="93" t="str">
        <f>VLOOKUP(E1732, Sales_Reps!A:C, 3, FALSE)</f>
        <v>North</v>
      </c>
      <c r="P1732">
        <f>VLOOKUP(D1732, Products!A:E, 4, FALSE)</f>
        <v>1219</v>
      </c>
      <c r="Q1732">
        <f>IF(COUNTIF($A$2:A1732, A1732)=2, 1, 0)</f>
        <v>0</v>
      </c>
      <c r="R1732">
        <f>IF(ISNA(MATCH(C1732, Customers!$A:$A, 0)), 1, 0)</f>
        <v>0</v>
      </c>
      <c r="S1732" s="94" t="b">
        <f>VLOOKUP(D1732, Products!A:F, 6, FALSE)</f>
        <v>1</v>
      </c>
    </row>
    <row r="1733" spans="1:19">
      <c r="A1733" s="102" t="s">
        <v>2231</v>
      </c>
      <c r="B1733" s="2">
        <v>45514</v>
      </c>
      <c r="C1733" s="1" t="s">
        <v>418</v>
      </c>
      <c r="D1733" s="1" t="s">
        <v>226</v>
      </c>
      <c r="E1733" s="1" t="s">
        <v>192</v>
      </c>
      <c r="F1733" s="83">
        <v>7</v>
      </c>
      <c r="G1733" s="92">
        <v>3730</v>
      </c>
      <c r="H1733" s="3">
        <v>4.5</v>
      </c>
      <c r="I1733" s="3">
        <v>24935.05</v>
      </c>
      <c r="J1733" s="1" t="s">
        <v>87</v>
      </c>
      <c r="K1733" s="1" t="s">
        <v>133</v>
      </c>
      <c r="L1733" t="str">
        <f>VLOOKUP(D1733, Products!A:C, 3, FALSE)</f>
        <v>Home</v>
      </c>
      <c r="M1733" t="str">
        <f>VLOOKUP(C1733, Customers!A:E, 5, FALSE)</f>
        <v>Retail</v>
      </c>
      <c r="N1733">
        <f>VLOOKUP(C1733, Customers!A:E, 3, FALSE)</f>
        <v>22</v>
      </c>
      <c r="O1733" s="93" t="str">
        <f>VLOOKUP(E1733, Sales_Reps!A:C, 3, FALSE)</f>
        <v>East</v>
      </c>
      <c r="P1733">
        <f>VLOOKUP(D1733, Products!A:E, 4, FALSE)</f>
        <v>2135</v>
      </c>
      <c r="Q1733">
        <f>IF(COUNTIF($A$2:A1733, A1733)=2, 1, 0)</f>
        <v>0</v>
      </c>
      <c r="R1733">
        <f>IF(ISNA(MATCH(C1733, Customers!$A:$A, 0)), 1, 0)</f>
        <v>0</v>
      </c>
      <c r="S1733" s="94" t="b">
        <f>VLOOKUP(D1733, Products!A:F, 6, FALSE)</f>
        <v>1</v>
      </c>
    </row>
    <row r="1734" spans="1:19">
      <c r="A1734" s="102" t="s">
        <v>2232</v>
      </c>
      <c r="B1734" s="2">
        <v>45306</v>
      </c>
      <c r="C1734" s="1" t="s">
        <v>413</v>
      </c>
      <c r="D1734" s="1" t="s">
        <v>292</v>
      </c>
      <c r="E1734" s="1" t="s">
        <v>92</v>
      </c>
      <c r="F1734" s="83">
        <v>5</v>
      </c>
      <c r="G1734" s="92">
        <v>620</v>
      </c>
      <c r="H1734" s="3">
        <v>7.5</v>
      </c>
      <c r="I1734" s="3">
        <v>2867.5</v>
      </c>
      <c r="J1734" s="1" t="s">
        <v>87</v>
      </c>
      <c r="K1734" s="1" t="s">
        <v>88</v>
      </c>
      <c r="L1734" t="str">
        <f>VLOOKUP(D1734, Products!A:C, 3, FALSE)</f>
        <v>Apparel</v>
      </c>
      <c r="M1734" t="str">
        <f>VLOOKUP(C1734, Customers!A:E, 5, FALSE)</f>
        <v>Retail</v>
      </c>
      <c r="N1734">
        <f>VLOOKUP(C1734, Customers!A:E, 3, FALSE)</f>
        <v>22</v>
      </c>
      <c r="O1734" s="93" t="str">
        <f>VLOOKUP(E1734, Sales_Reps!A:C, 3, FALSE)</f>
        <v>North</v>
      </c>
      <c r="P1734">
        <f>VLOOKUP(D1734, Products!A:E, 4, FALSE)</f>
        <v>396</v>
      </c>
      <c r="Q1734">
        <f>IF(COUNTIF($A$2:A1734, A1734)=2, 1, 0)</f>
        <v>0</v>
      </c>
      <c r="R1734">
        <f>IF(ISNA(MATCH(C1734, Customers!$A:$A, 0)), 1, 0)</f>
        <v>0</v>
      </c>
      <c r="S1734" s="94" t="b">
        <f>VLOOKUP(D1734, Products!A:F, 6, FALSE)</f>
        <v>1</v>
      </c>
    </row>
    <row r="1735" spans="1:19">
      <c r="A1735" s="102" t="s">
        <v>2233</v>
      </c>
      <c r="B1735" s="2">
        <v>45455</v>
      </c>
      <c r="C1735" s="1" t="s">
        <v>382</v>
      </c>
      <c r="D1735" s="1" t="s">
        <v>135</v>
      </c>
      <c r="E1735" s="1" t="s">
        <v>132</v>
      </c>
      <c r="F1735" s="83">
        <v>8</v>
      </c>
      <c r="G1735" s="92">
        <v>2640</v>
      </c>
      <c r="H1735" s="3">
        <v>16.399999999999999</v>
      </c>
      <c r="I1735" s="3">
        <v>17656.32</v>
      </c>
      <c r="J1735" s="1" t="s">
        <v>87</v>
      </c>
      <c r="K1735" s="1" t="s">
        <v>99</v>
      </c>
      <c r="L1735" t="str">
        <f>VLOOKUP(D1735, Products!A:C, 3, FALSE)</f>
        <v>Electronics</v>
      </c>
      <c r="M1735" t="str">
        <f>VLOOKUP(C1735, Customers!A:E, 5, FALSE)</f>
        <v>Corporate</v>
      </c>
      <c r="N1735">
        <f>VLOOKUP(C1735, Customers!A:E, 3, FALSE)</f>
        <v>27</v>
      </c>
      <c r="O1735" s="93" t="str">
        <f>VLOOKUP(E1735, Sales_Reps!A:C, 3, FALSE)</f>
        <v>South</v>
      </c>
      <c r="P1735">
        <f>VLOOKUP(D1735, Products!A:E, 4, FALSE)</f>
        <v>1149</v>
      </c>
      <c r="Q1735">
        <f>IF(COUNTIF($A$2:A1735, A1735)=2, 1, 0)</f>
        <v>0</v>
      </c>
      <c r="R1735">
        <f>IF(ISNA(MATCH(C1735, Customers!$A:$A, 0)), 1, 0)</f>
        <v>0</v>
      </c>
      <c r="S1735" s="94" t="b">
        <f>VLOOKUP(D1735, Products!A:F, 6, FALSE)</f>
        <v>1</v>
      </c>
    </row>
    <row r="1736" spans="1:19">
      <c r="A1736" s="102" t="s">
        <v>2234</v>
      </c>
      <c r="B1736" s="2">
        <v>45564</v>
      </c>
      <c r="C1736" s="1" t="s">
        <v>318</v>
      </c>
      <c r="D1736" s="1" t="s">
        <v>102</v>
      </c>
      <c r="E1736" s="1" t="s">
        <v>139</v>
      </c>
      <c r="F1736" s="83">
        <v>6</v>
      </c>
      <c r="G1736" s="92">
        <v>3660</v>
      </c>
      <c r="H1736" s="3">
        <v>6.2</v>
      </c>
      <c r="I1736" s="3">
        <v>20598.48</v>
      </c>
      <c r="J1736" s="1" t="s">
        <v>87</v>
      </c>
      <c r="K1736" s="1" t="s">
        <v>94</v>
      </c>
      <c r="L1736" t="str">
        <f>VLOOKUP(D1736, Products!A:C, 3, FALSE)</f>
        <v>Grocery</v>
      </c>
      <c r="M1736" t="str">
        <f>VLOOKUP(C1736, Customers!A:E, 5, FALSE)</f>
        <v>SMB</v>
      </c>
      <c r="N1736">
        <f>VLOOKUP(C1736, Customers!A:E, 3, FALSE)</f>
        <v>57</v>
      </c>
      <c r="O1736" s="93" t="str">
        <f>VLOOKUP(E1736, Sales_Reps!A:C, 3, FALSE)</f>
        <v>North</v>
      </c>
      <c r="P1736">
        <f>VLOOKUP(D1736, Products!A:E, 4, FALSE)</f>
        <v>2214</v>
      </c>
      <c r="Q1736">
        <f>IF(COUNTIF($A$2:A1736, A1736)=2, 1, 0)</f>
        <v>0</v>
      </c>
      <c r="R1736">
        <f>IF(ISNA(MATCH(C1736, Customers!$A:$A, 0)), 1, 0)</f>
        <v>0</v>
      </c>
      <c r="S1736" s="94" t="b">
        <f>VLOOKUP(D1736, Products!A:F, 6, FALSE)</f>
        <v>0</v>
      </c>
    </row>
    <row r="1737" spans="1:19">
      <c r="A1737" s="102" t="s">
        <v>2235</v>
      </c>
      <c r="B1737" s="2">
        <v>45507</v>
      </c>
      <c r="C1737" s="1" t="s">
        <v>651</v>
      </c>
      <c r="D1737" s="1" t="s">
        <v>91</v>
      </c>
      <c r="E1737" s="1" t="s">
        <v>192</v>
      </c>
      <c r="F1737" s="83">
        <v>2</v>
      </c>
      <c r="G1737" s="92">
        <v>820</v>
      </c>
      <c r="H1737" s="3">
        <v>25.4</v>
      </c>
      <c r="I1737" s="3">
        <v>1223.44</v>
      </c>
      <c r="J1737" s="1" t="s">
        <v>87</v>
      </c>
      <c r="K1737" s="1" t="s">
        <v>133</v>
      </c>
      <c r="L1737" t="str">
        <f>VLOOKUP(D1737, Products!A:C, 3, FALSE)</f>
        <v>Apparel</v>
      </c>
      <c r="M1737" t="str">
        <f>VLOOKUP(C1737, Customers!A:E, 5, FALSE)</f>
        <v>Retail</v>
      </c>
      <c r="N1737">
        <f>VLOOKUP(C1737, Customers!A:E, 3, FALSE)</f>
        <v>50</v>
      </c>
      <c r="O1737" s="93" t="str">
        <f>VLOOKUP(E1737, Sales_Reps!A:C, 3, FALSE)</f>
        <v>East</v>
      </c>
      <c r="P1737">
        <f>VLOOKUP(D1737, Products!A:E, 4, FALSE)</f>
        <v>391</v>
      </c>
      <c r="Q1737">
        <f>IF(COUNTIF($A$2:A1737, A1737)=2, 1, 0)</f>
        <v>0</v>
      </c>
      <c r="R1737">
        <f>IF(ISNA(MATCH(C1737, Customers!$A:$A, 0)), 1, 0)</f>
        <v>0</v>
      </c>
      <c r="S1737" s="94" t="b">
        <f>VLOOKUP(D1737, Products!A:F, 6, FALSE)</f>
        <v>1</v>
      </c>
    </row>
    <row r="1738" spans="1:19">
      <c r="A1738" s="102" t="s">
        <v>2236</v>
      </c>
      <c r="B1738" s="2">
        <v>45596</v>
      </c>
      <c r="C1738" s="1" t="s">
        <v>1234</v>
      </c>
      <c r="D1738" s="1" t="s">
        <v>167</v>
      </c>
      <c r="E1738" s="1" t="s">
        <v>158</v>
      </c>
      <c r="F1738" s="83">
        <v>3</v>
      </c>
      <c r="G1738" s="92">
        <v>2480</v>
      </c>
      <c r="H1738" s="3">
        <v>28.7</v>
      </c>
      <c r="I1738" s="3">
        <v>5304.72</v>
      </c>
      <c r="J1738" s="1" t="s">
        <v>93</v>
      </c>
      <c r="K1738" s="1" t="s">
        <v>112</v>
      </c>
      <c r="L1738" t="str">
        <f>VLOOKUP(D1738, Products!A:C, 3, FALSE)</f>
        <v>Apparel</v>
      </c>
      <c r="M1738" t="str">
        <f>VLOOKUP(C1738, Customers!A:E, 5, FALSE)</f>
        <v>Retail</v>
      </c>
      <c r="N1738">
        <f>VLOOKUP(C1738, Customers!A:E, 3, FALSE)</f>
        <v>29</v>
      </c>
      <c r="O1738" s="93" t="str">
        <f>VLOOKUP(E1738, Sales_Reps!A:C, 3, FALSE)</f>
        <v>East</v>
      </c>
      <c r="P1738">
        <f>VLOOKUP(D1738, Products!A:E, 4, FALSE)</f>
        <v>1173</v>
      </c>
      <c r="Q1738">
        <f>IF(COUNTIF($A$2:A1738, A1738)=2, 1, 0)</f>
        <v>0</v>
      </c>
      <c r="R1738">
        <f>IF(ISNA(MATCH(C1738, Customers!$A:$A, 0)), 1, 0)</f>
        <v>0</v>
      </c>
      <c r="S1738" s="94" t="b">
        <f>VLOOKUP(D1738, Products!A:F, 6, FALSE)</f>
        <v>1</v>
      </c>
    </row>
    <row r="1739" spans="1:19">
      <c r="A1739" s="102" t="s">
        <v>2237</v>
      </c>
      <c r="B1739" s="2">
        <v>45534</v>
      </c>
      <c r="C1739" s="1" t="s">
        <v>823</v>
      </c>
      <c r="D1739" s="1" t="s">
        <v>241</v>
      </c>
      <c r="E1739" s="1" t="s">
        <v>128</v>
      </c>
      <c r="F1739" s="83">
        <v>10</v>
      </c>
      <c r="G1739" s="92">
        <v>6080</v>
      </c>
      <c r="H1739" s="3">
        <v>18.899999999999999</v>
      </c>
      <c r="I1739" s="3">
        <v>49308.800000000003</v>
      </c>
      <c r="J1739" s="1" t="s">
        <v>87</v>
      </c>
      <c r="K1739" s="1" t="s">
        <v>94</v>
      </c>
      <c r="L1739" t="str">
        <f>VLOOKUP(D1739, Products!A:C, 3, FALSE)</f>
        <v>Beauty</v>
      </c>
      <c r="M1739" t="str">
        <f>VLOOKUP(C1739, Customers!A:E, 5, FALSE)</f>
        <v>Retail</v>
      </c>
      <c r="N1739">
        <f>VLOOKUP(C1739, Customers!A:E, 3, FALSE)</f>
        <v>32</v>
      </c>
      <c r="O1739" s="93" t="str">
        <f>VLOOKUP(E1739, Sales_Reps!A:C, 3, FALSE)</f>
        <v>West</v>
      </c>
      <c r="P1739">
        <f>VLOOKUP(D1739, Products!A:E, 4, FALSE)</f>
        <v>2617</v>
      </c>
      <c r="Q1739">
        <f>IF(COUNTIF($A$2:A1739, A1739)=2, 1, 0)</f>
        <v>0</v>
      </c>
      <c r="R1739">
        <f>IF(ISNA(MATCH(C1739, Customers!$A:$A, 0)), 1, 0)</f>
        <v>0</v>
      </c>
      <c r="S1739" s="94" t="b">
        <f>VLOOKUP(D1739, Products!A:F, 6, FALSE)</f>
        <v>1</v>
      </c>
    </row>
    <row r="1740" spans="1:19">
      <c r="A1740" s="102" t="s">
        <v>2238</v>
      </c>
      <c r="B1740" s="2">
        <v>45336</v>
      </c>
      <c r="C1740" s="1" t="s">
        <v>142</v>
      </c>
      <c r="D1740" s="1" t="s">
        <v>147</v>
      </c>
      <c r="E1740" s="1" t="s">
        <v>285</v>
      </c>
      <c r="F1740" s="83">
        <v>1</v>
      </c>
      <c r="G1740" s="92">
        <v>190</v>
      </c>
      <c r="H1740" s="3">
        <v>5.7</v>
      </c>
      <c r="I1740" s="3">
        <v>179.17</v>
      </c>
      <c r="J1740" s="1" t="s">
        <v>87</v>
      </c>
      <c r="K1740" s="1" t="s">
        <v>88</v>
      </c>
      <c r="L1740" t="str">
        <f>VLOOKUP(D1740, Products!A:C, 3, FALSE)</f>
        <v>Sports</v>
      </c>
      <c r="M1740" t="str">
        <f>VLOOKUP(C1740, Customers!A:E, 5, FALSE)</f>
        <v>SMB</v>
      </c>
      <c r="N1740">
        <f>VLOOKUP(C1740, Customers!A:E, 3, FALSE)</f>
        <v>39</v>
      </c>
      <c r="O1740" s="93" t="str">
        <f>VLOOKUP(E1740, Sales_Reps!A:C, 3, FALSE)</f>
        <v>East</v>
      </c>
      <c r="P1740">
        <f>VLOOKUP(D1740, Products!A:E, 4, FALSE)</f>
        <v>147</v>
      </c>
      <c r="Q1740">
        <f>IF(COUNTIF($A$2:A1740, A1740)=2, 1, 0)</f>
        <v>0</v>
      </c>
      <c r="R1740">
        <f>IF(ISNA(MATCH(C1740, Customers!$A:$A, 0)), 1, 0)</f>
        <v>0</v>
      </c>
      <c r="S1740" s="94" t="b">
        <f>VLOOKUP(D1740, Products!A:F, 6, FALSE)</f>
        <v>1</v>
      </c>
    </row>
    <row r="1741" spans="1:19">
      <c r="A1741" s="102" t="s">
        <v>2239</v>
      </c>
      <c r="B1741" s="2">
        <v>45463</v>
      </c>
      <c r="C1741" s="1" t="s">
        <v>210</v>
      </c>
      <c r="D1741" s="1" t="s">
        <v>461</v>
      </c>
      <c r="E1741" s="1" t="s">
        <v>201</v>
      </c>
      <c r="F1741" s="83">
        <v>2</v>
      </c>
      <c r="G1741" s="92">
        <v>3780</v>
      </c>
      <c r="H1741" s="3">
        <v>11.8</v>
      </c>
      <c r="I1741" s="3">
        <v>6667.92</v>
      </c>
      <c r="J1741" s="1" t="s">
        <v>87</v>
      </c>
      <c r="K1741" s="1" t="s">
        <v>99</v>
      </c>
      <c r="L1741" t="str">
        <f>VLOOKUP(D1741, Products!A:C, 3, FALSE)</f>
        <v>Sports</v>
      </c>
      <c r="M1741" t="str">
        <f>VLOOKUP(C1741, Customers!A:E, 5, FALSE)</f>
        <v>Retail</v>
      </c>
      <c r="N1741">
        <f>VLOOKUP(C1741, Customers!A:E, 3, FALSE)</f>
        <v>41</v>
      </c>
      <c r="O1741" s="93" t="str">
        <f>VLOOKUP(E1741, Sales_Reps!A:C, 3, FALSE)</f>
        <v>West</v>
      </c>
      <c r="P1741">
        <f>VLOOKUP(D1741, Products!A:E, 4, FALSE)</f>
        <v>1860</v>
      </c>
      <c r="Q1741">
        <f>IF(COUNTIF($A$2:A1741, A1741)=2, 1, 0)</f>
        <v>0</v>
      </c>
      <c r="R1741">
        <f>IF(ISNA(MATCH(C1741, Customers!$A:$A, 0)), 1, 0)</f>
        <v>0</v>
      </c>
      <c r="S1741" s="94" t="b">
        <f>VLOOKUP(D1741, Products!A:F, 6, FALSE)</f>
        <v>1</v>
      </c>
    </row>
    <row r="1742" spans="1:19">
      <c r="A1742" s="102" t="s">
        <v>2240</v>
      </c>
      <c r="B1742" s="2">
        <v>45602</v>
      </c>
      <c r="C1742" s="1" t="s">
        <v>247</v>
      </c>
      <c r="D1742" s="1" t="s">
        <v>143</v>
      </c>
      <c r="E1742" s="1" t="s">
        <v>215</v>
      </c>
      <c r="F1742" s="83">
        <v>5</v>
      </c>
      <c r="G1742" s="92">
        <v>3250</v>
      </c>
      <c r="H1742" s="3">
        <v>19.899999999999999</v>
      </c>
      <c r="I1742" s="3">
        <v>13016.25</v>
      </c>
      <c r="J1742" s="1" t="s">
        <v>87</v>
      </c>
      <c r="K1742" s="1" t="s">
        <v>117</v>
      </c>
      <c r="L1742" t="str">
        <f>VLOOKUP(D1742, Products!A:C, 3, FALSE)</f>
        <v>Home</v>
      </c>
      <c r="M1742" t="str">
        <f>VLOOKUP(C1742, Customers!A:E, 5, FALSE)</f>
        <v>Retail</v>
      </c>
      <c r="N1742">
        <f>VLOOKUP(C1742, Customers!A:E, 3, FALSE)</f>
        <v>34</v>
      </c>
      <c r="O1742" s="93" t="str">
        <f>VLOOKUP(E1742, Sales_Reps!A:C, 3, FALSE)</f>
        <v>North</v>
      </c>
      <c r="P1742">
        <f>VLOOKUP(D1742, Products!A:E, 4, FALSE)</f>
        <v>1556</v>
      </c>
      <c r="Q1742">
        <f>IF(COUNTIF($A$2:A1742, A1742)=2, 1, 0)</f>
        <v>0</v>
      </c>
      <c r="R1742">
        <f>IF(ISNA(MATCH(C1742, Customers!$A:$A, 0)), 1, 0)</f>
        <v>0</v>
      </c>
      <c r="S1742" s="94" t="b">
        <f>VLOOKUP(D1742, Products!A:F, 6, FALSE)</f>
        <v>1</v>
      </c>
    </row>
    <row r="1743" spans="1:19">
      <c r="A1743" s="102" t="s">
        <v>2241</v>
      </c>
      <c r="B1743" s="2">
        <v>45365</v>
      </c>
      <c r="C1743" s="1" t="s">
        <v>1890</v>
      </c>
      <c r="D1743" s="1" t="s">
        <v>295</v>
      </c>
      <c r="E1743" s="1" t="s">
        <v>107</v>
      </c>
      <c r="F1743" s="83">
        <v>7</v>
      </c>
      <c r="G1743" s="92">
        <v>2030</v>
      </c>
      <c r="H1743" s="3">
        <v>4.0999999999999996</v>
      </c>
      <c r="I1743" s="3">
        <v>13627.39</v>
      </c>
      <c r="J1743" s="1" t="s">
        <v>87</v>
      </c>
      <c r="K1743" s="1" t="s">
        <v>133</v>
      </c>
      <c r="L1743" t="str">
        <f>VLOOKUP(D1743, Products!A:C, 3, FALSE)</f>
        <v>Home</v>
      </c>
      <c r="M1743" t="str">
        <f>VLOOKUP(C1743, Customers!A:E, 5, FALSE)</f>
        <v>SMB</v>
      </c>
      <c r="N1743">
        <f>VLOOKUP(C1743, Customers!A:E, 3, FALSE)</f>
        <v>34</v>
      </c>
      <c r="O1743" s="93" t="str">
        <f>VLOOKUP(E1743, Sales_Reps!A:C, 3, FALSE)</f>
        <v>North</v>
      </c>
      <c r="P1743">
        <f>VLOOKUP(D1743, Products!A:E, 4, FALSE)</f>
        <v>1143</v>
      </c>
      <c r="Q1743">
        <f>IF(COUNTIF($A$2:A1743, A1743)=2, 1, 0)</f>
        <v>0</v>
      </c>
      <c r="R1743">
        <f>IF(ISNA(MATCH(C1743, Customers!$A:$A, 0)), 1, 0)</f>
        <v>0</v>
      </c>
      <c r="S1743" s="94" t="b">
        <f>VLOOKUP(D1743, Products!A:F, 6, FALSE)</f>
        <v>1</v>
      </c>
    </row>
    <row r="1744" spans="1:19">
      <c r="A1744" s="102" t="s">
        <v>2242</v>
      </c>
      <c r="B1744" s="2">
        <v>45651</v>
      </c>
      <c r="C1744" s="1" t="s">
        <v>697</v>
      </c>
      <c r="D1744" s="1" t="s">
        <v>184</v>
      </c>
      <c r="E1744" s="1" t="s">
        <v>325</v>
      </c>
      <c r="F1744" s="83">
        <v>5</v>
      </c>
      <c r="G1744" s="92">
        <v>4880</v>
      </c>
      <c r="H1744" s="3">
        <v>22.9</v>
      </c>
      <c r="I1744" s="3">
        <v>18812.400000000001</v>
      </c>
      <c r="J1744" s="1" t="s">
        <v>87</v>
      </c>
      <c r="K1744" s="1" t="s">
        <v>133</v>
      </c>
      <c r="L1744" t="str">
        <f>VLOOKUP(D1744, Products!A:C, 3, FALSE)</f>
        <v>Beauty</v>
      </c>
      <c r="M1744" t="str">
        <f>VLOOKUP(C1744, Customers!A:E, 5, FALSE)</f>
        <v>Retail</v>
      </c>
      <c r="N1744">
        <f>VLOOKUP(C1744, Customers!A:E, 3, FALSE)</f>
        <v>65</v>
      </c>
      <c r="O1744" s="93" t="str">
        <f>VLOOKUP(E1744, Sales_Reps!A:C, 3, FALSE)</f>
        <v>South</v>
      </c>
      <c r="P1744">
        <f>VLOOKUP(D1744, Products!A:E, 4, FALSE)</f>
        <v>2768</v>
      </c>
      <c r="Q1744">
        <f>IF(COUNTIF($A$2:A1744, A1744)=2, 1, 0)</f>
        <v>0</v>
      </c>
      <c r="R1744">
        <f>IF(ISNA(MATCH(C1744, Customers!$A:$A, 0)), 1, 0)</f>
        <v>0</v>
      </c>
      <c r="S1744" s="94" t="b">
        <f>VLOOKUP(D1744, Products!A:F, 6, FALSE)</f>
        <v>1</v>
      </c>
    </row>
    <row r="1745" spans="1:19">
      <c r="A1745" s="102" t="s">
        <v>2243</v>
      </c>
      <c r="B1745" s="2">
        <v>45297</v>
      </c>
      <c r="C1745" s="1" t="s">
        <v>741</v>
      </c>
      <c r="D1745" s="1" t="s">
        <v>179</v>
      </c>
      <c r="E1745" s="1" t="s">
        <v>192</v>
      </c>
      <c r="F1745" s="83">
        <v>3</v>
      </c>
      <c r="G1745" s="92">
        <v>3350</v>
      </c>
      <c r="H1745" s="3">
        <v>15.2</v>
      </c>
      <c r="I1745" s="3">
        <v>8522.4</v>
      </c>
      <c r="J1745" s="1" t="s">
        <v>93</v>
      </c>
      <c r="K1745" s="1" t="s">
        <v>133</v>
      </c>
      <c r="L1745" t="str">
        <f>VLOOKUP(D1745, Products!A:C, 3, FALSE)</f>
        <v>Beauty</v>
      </c>
      <c r="M1745" t="str">
        <f>VLOOKUP(C1745, Customers!A:E, 5, FALSE)</f>
        <v>SMB</v>
      </c>
      <c r="N1745">
        <f>VLOOKUP(C1745, Customers!A:E, 3, FALSE)</f>
        <v>29</v>
      </c>
      <c r="O1745" s="93" t="str">
        <f>VLOOKUP(E1745, Sales_Reps!A:C, 3, FALSE)</f>
        <v>East</v>
      </c>
      <c r="P1745">
        <f>VLOOKUP(D1745, Products!A:E, 4, FALSE)</f>
        <v>1728</v>
      </c>
      <c r="Q1745">
        <f>IF(COUNTIF($A$2:A1745, A1745)=2, 1, 0)</f>
        <v>0</v>
      </c>
      <c r="R1745">
        <f>IF(ISNA(MATCH(C1745, Customers!$A:$A, 0)), 1, 0)</f>
        <v>0</v>
      </c>
      <c r="S1745" s="94" t="b">
        <f>VLOOKUP(D1745, Products!A:F, 6, FALSE)</f>
        <v>1</v>
      </c>
    </row>
    <row r="1746" spans="1:19">
      <c r="A1746" s="102" t="s">
        <v>2244</v>
      </c>
      <c r="B1746" s="2">
        <v>45425</v>
      </c>
      <c r="C1746" s="1" t="s">
        <v>507</v>
      </c>
      <c r="D1746" s="1" t="s">
        <v>195</v>
      </c>
      <c r="E1746" s="1" t="s">
        <v>229</v>
      </c>
      <c r="F1746" s="83">
        <v>10</v>
      </c>
      <c r="G1746" s="92">
        <v>2860</v>
      </c>
      <c r="H1746" s="3">
        <v>15</v>
      </c>
      <c r="I1746" s="3">
        <v>24310</v>
      </c>
      <c r="J1746" s="1" t="s">
        <v>87</v>
      </c>
      <c r="K1746" s="1" t="s">
        <v>88</v>
      </c>
      <c r="L1746" t="str">
        <f>VLOOKUP(D1746, Products!A:C, 3, FALSE)</f>
        <v>Sports</v>
      </c>
      <c r="M1746" t="str">
        <f>VLOOKUP(C1746, Customers!A:E, 5, FALSE)</f>
        <v>Retail</v>
      </c>
      <c r="N1746">
        <f>VLOOKUP(C1746, Customers!A:E, 3, FALSE)</f>
        <v>59</v>
      </c>
      <c r="O1746" s="93" t="str">
        <f>VLOOKUP(E1746, Sales_Reps!A:C, 3, FALSE)</f>
        <v>West</v>
      </c>
      <c r="P1746">
        <f>VLOOKUP(D1746, Products!A:E, 4, FALSE)</f>
        <v>2028</v>
      </c>
      <c r="Q1746">
        <f>IF(COUNTIF($A$2:A1746, A1746)=2, 1, 0)</f>
        <v>0</v>
      </c>
      <c r="R1746">
        <f>IF(ISNA(MATCH(C1746, Customers!$A:$A, 0)), 1, 0)</f>
        <v>0</v>
      </c>
      <c r="S1746" s="94" t="b">
        <f>VLOOKUP(D1746, Products!A:F, 6, FALSE)</f>
        <v>1</v>
      </c>
    </row>
    <row r="1747" spans="1:19">
      <c r="A1747" s="102" t="s">
        <v>2245</v>
      </c>
      <c r="B1747" s="2">
        <v>45444</v>
      </c>
      <c r="C1747" s="1" t="s">
        <v>310</v>
      </c>
      <c r="D1747" s="1" t="s">
        <v>157</v>
      </c>
      <c r="E1747" s="1" t="s">
        <v>303</v>
      </c>
      <c r="F1747" s="83">
        <v>5</v>
      </c>
      <c r="G1747" s="92">
        <v>3450</v>
      </c>
      <c r="H1747" s="3">
        <v>2.2999999999999998</v>
      </c>
      <c r="I1747" s="3">
        <v>16853.25</v>
      </c>
      <c r="J1747" s="1" t="s">
        <v>87</v>
      </c>
      <c r="K1747" s="1" t="s">
        <v>117</v>
      </c>
      <c r="L1747" t="str">
        <f>VLOOKUP(D1747, Products!A:C, 3, FALSE)</f>
        <v>Beauty</v>
      </c>
      <c r="M1747" t="str">
        <f>VLOOKUP(C1747, Customers!A:E, 5, FALSE)</f>
        <v>Retail</v>
      </c>
      <c r="N1747">
        <f>VLOOKUP(C1747, Customers!A:E, 3, FALSE)</f>
        <v>42</v>
      </c>
      <c r="O1747" s="93" t="str">
        <f>VLOOKUP(E1747, Sales_Reps!A:C, 3, FALSE)</f>
        <v>East</v>
      </c>
      <c r="P1747">
        <f>VLOOKUP(D1747, Products!A:E, 4, FALSE)</f>
        <v>2420</v>
      </c>
      <c r="Q1747">
        <f>IF(COUNTIF($A$2:A1747, A1747)=2, 1, 0)</f>
        <v>0</v>
      </c>
      <c r="R1747">
        <f>IF(ISNA(MATCH(C1747, Customers!$A:$A, 0)), 1, 0)</f>
        <v>0</v>
      </c>
      <c r="S1747" s="94" t="b">
        <f>VLOOKUP(D1747, Products!A:F, 6, FALSE)</f>
        <v>1</v>
      </c>
    </row>
    <row r="1748" spans="1:19">
      <c r="A1748" s="102" t="s">
        <v>2246</v>
      </c>
      <c r="B1748" s="2">
        <v>45397</v>
      </c>
      <c r="C1748" s="1" t="s">
        <v>194</v>
      </c>
      <c r="D1748" s="1" t="s">
        <v>131</v>
      </c>
      <c r="E1748" s="1" t="s">
        <v>188</v>
      </c>
      <c r="F1748" s="83">
        <v>3</v>
      </c>
      <c r="G1748" s="92">
        <v>2270</v>
      </c>
      <c r="H1748" s="3">
        <v>2.8</v>
      </c>
      <c r="I1748" s="3">
        <v>6619.32</v>
      </c>
      <c r="J1748" s="1" t="s">
        <v>93</v>
      </c>
      <c r="K1748" s="1" t="s">
        <v>88</v>
      </c>
      <c r="L1748" t="str">
        <f>VLOOKUP(D1748, Products!A:C, 3, FALSE)</f>
        <v>Grocery</v>
      </c>
      <c r="M1748" t="str">
        <f>VLOOKUP(C1748, Customers!A:E, 5, FALSE)</f>
        <v>SMB</v>
      </c>
      <c r="N1748">
        <f>VLOOKUP(C1748, Customers!A:E, 3, FALSE)</f>
        <v>44</v>
      </c>
      <c r="O1748" s="93" t="str">
        <f>VLOOKUP(E1748, Sales_Reps!A:C, 3, FALSE)</f>
        <v>South</v>
      </c>
      <c r="P1748">
        <f>VLOOKUP(D1748, Products!A:E, 4, FALSE)</f>
        <v>1203</v>
      </c>
      <c r="Q1748">
        <f>IF(COUNTIF($A$2:A1748, A1748)=2, 1, 0)</f>
        <v>0</v>
      </c>
      <c r="R1748">
        <f>IF(ISNA(MATCH(C1748, Customers!$A:$A, 0)), 1, 0)</f>
        <v>0</v>
      </c>
      <c r="S1748" s="94" t="b">
        <f>VLOOKUP(D1748, Products!A:F, 6, FALSE)</f>
        <v>1</v>
      </c>
    </row>
    <row r="1749" spans="1:19">
      <c r="A1749" s="102" t="s">
        <v>2247</v>
      </c>
      <c r="B1749" s="2">
        <v>45354</v>
      </c>
      <c r="C1749" s="1" t="s">
        <v>781</v>
      </c>
      <c r="D1749" s="1" t="s">
        <v>102</v>
      </c>
      <c r="E1749" s="1" t="s">
        <v>86</v>
      </c>
      <c r="F1749" s="83">
        <v>8</v>
      </c>
      <c r="G1749" s="92">
        <v>3660</v>
      </c>
      <c r="H1749" s="3">
        <v>16.8</v>
      </c>
      <c r="I1749" s="3">
        <v>24360.959999999999</v>
      </c>
      <c r="J1749" s="1" t="s">
        <v>87</v>
      </c>
      <c r="K1749" s="1" t="s">
        <v>99</v>
      </c>
      <c r="L1749" t="str">
        <f>VLOOKUP(D1749, Products!A:C, 3, FALSE)</f>
        <v>Grocery</v>
      </c>
      <c r="M1749" t="str">
        <f>VLOOKUP(C1749, Customers!A:E, 5, FALSE)</f>
        <v>SMB</v>
      </c>
      <c r="N1749">
        <f>VLOOKUP(C1749, Customers!A:E, 3, FALSE)</f>
        <v>29</v>
      </c>
      <c r="O1749" s="93" t="str">
        <f>VLOOKUP(E1749, Sales_Reps!A:C, 3, FALSE)</f>
        <v>North</v>
      </c>
      <c r="P1749">
        <f>VLOOKUP(D1749, Products!A:E, 4, FALSE)</f>
        <v>2214</v>
      </c>
      <c r="Q1749">
        <f>IF(COUNTIF($A$2:A1749, A1749)=2, 1, 0)</f>
        <v>0</v>
      </c>
      <c r="R1749">
        <f>IF(ISNA(MATCH(C1749, Customers!$A:$A, 0)), 1, 0)</f>
        <v>0</v>
      </c>
      <c r="S1749" s="94" t="b">
        <f>VLOOKUP(D1749, Products!A:F, 6, FALSE)</f>
        <v>0</v>
      </c>
    </row>
    <row r="1750" spans="1:19">
      <c r="A1750" s="102" t="s">
        <v>2248</v>
      </c>
      <c r="B1750" s="2">
        <v>45469</v>
      </c>
      <c r="C1750" s="1" t="s">
        <v>615</v>
      </c>
      <c r="D1750" s="1" t="s">
        <v>276</v>
      </c>
      <c r="E1750" s="1" t="s">
        <v>107</v>
      </c>
      <c r="F1750" s="83">
        <v>7</v>
      </c>
      <c r="G1750" s="92">
        <v>3020</v>
      </c>
      <c r="H1750" s="3">
        <v>17.8</v>
      </c>
      <c r="I1750" s="3">
        <v>17377.080000000002</v>
      </c>
      <c r="J1750" s="1" t="s">
        <v>87</v>
      </c>
      <c r="K1750" s="1" t="s">
        <v>112</v>
      </c>
      <c r="L1750" t="str">
        <f>VLOOKUP(D1750, Products!A:C, 3, FALSE)</f>
        <v>Beauty</v>
      </c>
      <c r="M1750" t="str">
        <f>VLOOKUP(C1750, Customers!A:E, 5, FALSE)</f>
        <v>Retail</v>
      </c>
      <c r="N1750">
        <f>VLOOKUP(C1750, Customers!A:E, 3, FALSE)</f>
        <v>53</v>
      </c>
      <c r="O1750" s="93" t="str">
        <f>VLOOKUP(E1750, Sales_Reps!A:C, 3, FALSE)</f>
        <v>North</v>
      </c>
      <c r="P1750">
        <f>VLOOKUP(D1750, Products!A:E, 4, FALSE)</f>
        <v>1626</v>
      </c>
      <c r="Q1750">
        <f>IF(COUNTIF($A$2:A1750, A1750)=2, 1, 0)</f>
        <v>0</v>
      </c>
      <c r="R1750">
        <f>IF(ISNA(MATCH(C1750, Customers!$A:$A, 0)), 1, 0)</f>
        <v>0</v>
      </c>
      <c r="S1750" s="94" t="b">
        <f>VLOOKUP(D1750, Products!A:F, 6, FALSE)</f>
        <v>1</v>
      </c>
    </row>
    <row r="1751" spans="1:19">
      <c r="A1751" s="102" t="s">
        <v>2249</v>
      </c>
      <c r="B1751" s="2">
        <v>45587</v>
      </c>
      <c r="C1751" s="1" t="s">
        <v>1261</v>
      </c>
      <c r="D1751" s="1" t="s">
        <v>164</v>
      </c>
      <c r="E1751" s="1" t="s">
        <v>98</v>
      </c>
      <c r="F1751" s="83">
        <v>7</v>
      </c>
      <c r="G1751" s="92">
        <v>1080</v>
      </c>
      <c r="H1751" s="3">
        <v>12.9</v>
      </c>
      <c r="I1751" s="3">
        <v>6584.76</v>
      </c>
      <c r="J1751" s="1" t="s">
        <v>87</v>
      </c>
      <c r="K1751" s="1" t="s">
        <v>117</v>
      </c>
      <c r="L1751" t="str">
        <f>VLOOKUP(D1751, Products!A:C, 3, FALSE)</f>
        <v>Home</v>
      </c>
      <c r="M1751" t="str">
        <f>VLOOKUP(C1751, Customers!A:E, 5, FALSE)</f>
        <v>Retail</v>
      </c>
      <c r="N1751">
        <f>VLOOKUP(C1751, Customers!A:E, 3, FALSE)</f>
        <v>54</v>
      </c>
      <c r="O1751" s="93" t="str">
        <f>VLOOKUP(E1751, Sales_Reps!A:C, 3, FALSE)</f>
        <v>South</v>
      </c>
      <c r="P1751">
        <f>VLOOKUP(D1751, Products!A:E, 4, FALSE)</f>
        <v>519</v>
      </c>
      <c r="Q1751">
        <f>IF(COUNTIF($A$2:A1751, A1751)=2, 1, 0)</f>
        <v>0</v>
      </c>
      <c r="R1751">
        <f>IF(ISNA(MATCH(C1751, Customers!$A:$A, 0)), 1, 0)</f>
        <v>0</v>
      </c>
      <c r="S1751" s="94" t="b">
        <f>VLOOKUP(D1751, Products!A:F, 6, FALSE)</f>
        <v>1</v>
      </c>
    </row>
    <row r="1752" spans="1:19">
      <c r="A1752" s="102" t="s">
        <v>2250</v>
      </c>
      <c r="B1752" s="2">
        <v>45494</v>
      </c>
      <c r="C1752" s="1" t="s">
        <v>565</v>
      </c>
      <c r="D1752" s="1" t="s">
        <v>245</v>
      </c>
      <c r="E1752" s="1" t="s">
        <v>325</v>
      </c>
      <c r="F1752" s="83">
        <v>2</v>
      </c>
      <c r="G1752" s="92">
        <v>2270</v>
      </c>
      <c r="H1752" s="3">
        <v>8.6</v>
      </c>
      <c r="I1752" s="3">
        <v>4149.5600000000004</v>
      </c>
      <c r="J1752" s="1" t="s">
        <v>140</v>
      </c>
      <c r="K1752" s="1" t="s">
        <v>112</v>
      </c>
      <c r="L1752" t="str">
        <f>VLOOKUP(D1752, Products!A:C, 3, FALSE)</f>
        <v>Grocery</v>
      </c>
      <c r="M1752" t="str">
        <f>VLOOKUP(C1752, Customers!A:E, 5, FALSE)</f>
        <v>SMB</v>
      </c>
      <c r="N1752">
        <f>VLOOKUP(C1752, Customers!A:E, 3, FALSE)</f>
        <v>61</v>
      </c>
      <c r="O1752" s="93" t="str">
        <f>VLOOKUP(E1752, Sales_Reps!A:C, 3, FALSE)</f>
        <v>South</v>
      </c>
      <c r="P1752">
        <f>VLOOKUP(D1752, Products!A:E, 4, FALSE)</f>
        <v>1412</v>
      </c>
      <c r="Q1752">
        <f>IF(COUNTIF($A$2:A1752, A1752)=2, 1, 0)</f>
        <v>0</v>
      </c>
      <c r="R1752">
        <f>IF(ISNA(MATCH(C1752, Customers!$A:$A, 0)), 1, 0)</f>
        <v>0</v>
      </c>
      <c r="S1752" s="94" t="b">
        <f>VLOOKUP(D1752, Products!A:F, 6, FALSE)</f>
        <v>1</v>
      </c>
    </row>
    <row r="1753" spans="1:19">
      <c r="A1753" s="102" t="s">
        <v>2251</v>
      </c>
      <c r="B1753" s="2">
        <v>45445</v>
      </c>
      <c r="C1753" s="1" t="s">
        <v>390</v>
      </c>
      <c r="D1753" s="1" t="s">
        <v>292</v>
      </c>
      <c r="E1753" s="1" t="s">
        <v>325</v>
      </c>
      <c r="F1753" s="83">
        <v>10</v>
      </c>
      <c r="G1753" s="92">
        <v>620</v>
      </c>
      <c r="H1753" s="3">
        <v>26.1</v>
      </c>
      <c r="I1753" s="3">
        <v>4581.8</v>
      </c>
      <c r="J1753" s="1" t="s">
        <v>87</v>
      </c>
      <c r="K1753" s="1" t="s">
        <v>88</v>
      </c>
      <c r="L1753" t="str">
        <f>VLOOKUP(D1753, Products!A:C, 3, FALSE)</f>
        <v>Apparel</v>
      </c>
      <c r="M1753" t="str">
        <f>VLOOKUP(C1753, Customers!A:E, 5, FALSE)</f>
        <v>SMB</v>
      </c>
      <c r="N1753">
        <f>VLOOKUP(C1753, Customers!A:E, 3, FALSE)</f>
        <v>54</v>
      </c>
      <c r="O1753" s="93" t="str">
        <f>VLOOKUP(E1753, Sales_Reps!A:C, 3, FALSE)</f>
        <v>South</v>
      </c>
      <c r="P1753">
        <f>VLOOKUP(D1753, Products!A:E, 4, FALSE)</f>
        <v>396</v>
      </c>
      <c r="Q1753">
        <f>IF(COUNTIF($A$2:A1753, A1753)=2, 1, 0)</f>
        <v>0</v>
      </c>
      <c r="R1753">
        <f>IF(ISNA(MATCH(C1753, Customers!$A:$A, 0)), 1, 0)</f>
        <v>0</v>
      </c>
      <c r="S1753" s="94" t="b">
        <f>VLOOKUP(D1753, Products!A:F, 6, FALSE)</f>
        <v>1</v>
      </c>
    </row>
    <row r="1754" spans="1:19">
      <c r="A1754" s="102" t="s">
        <v>2252</v>
      </c>
      <c r="B1754" s="2">
        <v>45561</v>
      </c>
      <c r="C1754" s="1" t="s">
        <v>606</v>
      </c>
      <c r="D1754" s="1" t="s">
        <v>351</v>
      </c>
      <c r="E1754" s="1" t="s">
        <v>188</v>
      </c>
      <c r="F1754" s="83">
        <v>2</v>
      </c>
      <c r="G1754" s="92">
        <v>4060</v>
      </c>
      <c r="H1754" s="3">
        <v>3.8</v>
      </c>
      <c r="I1754" s="3">
        <v>7811.44</v>
      </c>
      <c r="J1754" s="1" t="s">
        <v>87</v>
      </c>
      <c r="K1754" s="1" t="s">
        <v>112</v>
      </c>
      <c r="L1754" t="str">
        <f>VLOOKUP(D1754, Products!A:C, 3, FALSE)</f>
        <v>Grocery</v>
      </c>
      <c r="M1754" t="str">
        <f>VLOOKUP(C1754, Customers!A:E, 5, FALSE)</f>
        <v>Retail</v>
      </c>
      <c r="N1754">
        <f>VLOOKUP(C1754, Customers!A:E, 3, FALSE)</f>
        <v>52</v>
      </c>
      <c r="O1754" s="93" t="str">
        <f>VLOOKUP(E1754, Sales_Reps!A:C, 3, FALSE)</f>
        <v>South</v>
      </c>
      <c r="P1754">
        <f>VLOOKUP(D1754, Products!A:E, 4, FALSE)</f>
        <v>2911</v>
      </c>
      <c r="Q1754">
        <f>IF(COUNTIF($A$2:A1754, A1754)=2, 1, 0)</f>
        <v>0</v>
      </c>
      <c r="R1754">
        <f>IF(ISNA(MATCH(C1754, Customers!$A:$A, 0)), 1, 0)</f>
        <v>0</v>
      </c>
      <c r="S1754" s="94" t="b">
        <f>VLOOKUP(D1754, Products!A:F, 6, FALSE)</f>
        <v>1</v>
      </c>
    </row>
    <row r="1755" spans="1:19">
      <c r="A1755" s="102" t="s">
        <v>2253</v>
      </c>
      <c r="B1755" s="2">
        <v>45488</v>
      </c>
      <c r="C1755" s="1" t="s">
        <v>278</v>
      </c>
      <c r="D1755" s="1" t="s">
        <v>234</v>
      </c>
      <c r="E1755" s="1" t="s">
        <v>325</v>
      </c>
      <c r="F1755" s="83">
        <v>1</v>
      </c>
      <c r="G1755" s="92">
        <v>3780</v>
      </c>
      <c r="H1755" s="3">
        <v>27.9</v>
      </c>
      <c r="I1755" s="3">
        <v>2725.38</v>
      </c>
      <c r="J1755" s="1" t="s">
        <v>87</v>
      </c>
      <c r="K1755" s="1" t="s">
        <v>133</v>
      </c>
      <c r="L1755" t="str">
        <f>VLOOKUP(D1755, Products!A:C, 3, FALSE)</f>
        <v>Grocery</v>
      </c>
      <c r="M1755" t="str">
        <f>VLOOKUP(C1755, Customers!A:E, 5, FALSE)</f>
        <v>Corporate</v>
      </c>
      <c r="N1755">
        <f>VLOOKUP(C1755, Customers!A:E, 3, FALSE)</f>
        <v>29</v>
      </c>
      <c r="O1755" s="93" t="str">
        <f>VLOOKUP(E1755, Sales_Reps!A:C, 3, FALSE)</f>
        <v>South</v>
      </c>
      <c r="P1755">
        <f>VLOOKUP(D1755, Products!A:E, 4, FALSE)</f>
        <v>2436</v>
      </c>
      <c r="Q1755">
        <f>IF(COUNTIF($A$2:A1755, A1755)=2, 1, 0)</f>
        <v>0</v>
      </c>
      <c r="R1755">
        <f>IF(ISNA(MATCH(C1755, Customers!$A:$A, 0)), 1, 0)</f>
        <v>0</v>
      </c>
      <c r="S1755" s="94" t="b">
        <f>VLOOKUP(D1755, Products!A:F, 6, FALSE)</f>
        <v>1</v>
      </c>
    </row>
    <row r="1756" spans="1:19">
      <c r="A1756" s="102" t="s">
        <v>2254</v>
      </c>
      <c r="B1756" s="2">
        <v>45617</v>
      </c>
      <c r="C1756" s="1" t="s">
        <v>258</v>
      </c>
      <c r="D1756" s="1" t="s">
        <v>367</v>
      </c>
      <c r="E1756" s="1" t="s">
        <v>285</v>
      </c>
      <c r="F1756" s="83">
        <v>8</v>
      </c>
      <c r="G1756" s="92">
        <v>2380</v>
      </c>
      <c r="H1756" s="3">
        <v>3.8</v>
      </c>
      <c r="I1756" s="3">
        <v>18316.48</v>
      </c>
      <c r="J1756" s="1" t="s">
        <v>87</v>
      </c>
      <c r="K1756" s="1" t="s">
        <v>99</v>
      </c>
      <c r="L1756" t="str">
        <f>VLOOKUP(D1756, Products!A:C, 3, FALSE)</f>
        <v>Grocery</v>
      </c>
      <c r="M1756" t="str">
        <f>VLOOKUP(C1756, Customers!A:E, 5, FALSE)</f>
        <v>SMB</v>
      </c>
      <c r="N1756">
        <f>VLOOKUP(C1756, Customers!A:E, 3, FALSE)</f>
        <v>55</v>
      </c>
      <c r="O1756" s="93" t="str">
        <f>VLOOKUP(E1756, Sales_Reps!A:C, 3, FALSE)</f>
        <v>East</v>
      </c>
      <c r="P1756">
        <f>VLOOKUP(D1756, Products!A:E, 4, FALSE)</f>
        <v>1182</v>
      </c>
      <c r="Q1756">
        <f>IF(COUNTIF($A$2:A1756, A1756)=2, 1, 0)</f>
        <v>0</v>
      </c>
      <c r="R1756">
        <f>IF(ISNA(MATCH(C1756, Customers!$A:$A, 0)), 1, 0)</f>
        <v>0</v>
      </c>
      <c r="S1756" s="94" t="b">
        <f>VLOOKUP(D1756, Products!A:F, 6, FALSE)</f>
        <v>1</v>
      </c>
    </row>
    <row r="1757" spans="1:19">
      <c r="A1757" s="102" t="s">
        <v>2255</v>
      </c>
      <c r="B1757" s="2">
        <v>45378</v>
      </c>
      <c r="C1757" s="1" t="s">
        <v>289</v>
      </c>
      <c r="D1757" s="1" t="s">
        <v>264</v>
      </c>
      <c r="E1757" s="1" t="s">
        <v>116</v>
      </c>
      <c r="F1757" s="83">
        <v>7</v>
      </c>
      <c r="G1757" s="92">
        <v>4070</v>
      </c>
      <c r="H1757" s="3">
        <v>0.3</v>
      </c>
      <c r="I1757" s="3">
        <v>28404.53</v>
      </c>
      <c r="J1757" s="1" t="s">
        <v>87</v>
      </c>
      <c r="K1757" s="1" t="s">
        <v>94</v>
      </c>
      <c r="L1757" t="str">
        <f>VLOOKUP(D1757, Products!A:C, 3, FALSE)</f>
        <v>Grocery</v>
      </c>
      <c r="M1757" t="str">
        <f>VLOOKUP(C1757, Customers!A:E, 5, FALSE)</f>
        <v>Retail</v>
      </c>
      <c r="N1757">
        <f>VLOOKUP(C1757, Customers!A:E, 3, FALSE)</f>
        <v>38</v>
      </c>
      <c r="O1757" s="93" t="str">
        <f>VLOOKUP(E1757, Sales_Reps!A:C, 3, FALSE)</f>
        <v>West</v>
      </c>
      <c r="P1757">
        <f>VLOOKUP(D1757, Products!A:E, 4, FALSE)</f>
        <v>2027</v>
      </c>
      <c r="Q1757">
        <f>IF(COUNTIF($A$2:A1757, A1757)=2, 1, 0)</f>
        <v>0</v>
      </c>
      <c r="R1757">
        <f>IF(ISNA(MATCH(C1757, Customers!$A:$A, 0)), 1, 0)</f>
        <v>0</v>
      </c>
      <c r="S1757" s="94" t="b">
        <f>VLOOKUP(D1757, Products!A:F, 6, FALSE)</f>
        <v>1</v>
      </c>
    </row>
    <row r="1758" spans="1:19">
      <c r="A1758" s="102" t="s">
        <v>2256</v>
      </c>
      <c r="B1758" s="2">
        <v>45459</v>
      </c>
      <c r="C1758" s="1" t="s">
        <v>1234</v>
      </c>
      <c r="D1758" s="1" t="s">
        <v>135</v>
      </c>
      <c r="E1758" s="1" t="s">
        <v>192</v>
      </c>
      <c r="F1758" s="83">
        <v>6</v>
      </c>
      <c r="G1758" s="92">
        <v>2640</v>
      </c>
      <c r="H1758" s="3">
        <v>3.4</v>
      </c>
      <c r="I1758" s="3">
        <v>15301.44</v>
      </c>
      <c r="J1758" s="1" t="s">
        <v>87</v>
      </c>
      <c r="K1758" s="1" t="s">
        <v>112</v>
      </c>
      <c r="L1758" t="str">
        <f>VLOOKUP(D1758, Products!A:C, 3, FALSE)</f>
        <v>Electronics</v>
      </c>
      <c r="M1758" t="str">
        <f>VLOOKUP(C1758, Customers!A:E, 5, FALSE)</f>
        <v>Retail</v>
      </c>
      <c r="N1758">
        <f>VLOOKUP(C1758, Customers!A:E, 3, FALSE)</f>
        <v>29</v>
      </c>
      <c r="O1758" s="93" t="str">
        <f>VLOOKUP(E1758, Sales_Reps!A:C, 3, FALSE)</f>
        <v>East</v>
      </c>
      <c r="P1758">
        <f>VLOOKUP(D1758, Products!A:E, 4, FALSE)</f>
        <v>1149</v>
      </c>
      <c r="Q1758">
        <f>IF(COUNTIF($A$2:A1758, A1758)=2, 1, 0)</f>
        <v>0</v>
      </c>
      <c r="R1758">
        <f>IF(ISNA(MATCH(C1758, Customers!$A:$A, 0)), 1, 0)</f>
        <v>0</v>
      </c>
      <c r="S1758" s="94" t="b">
        <f>VLOOKUP(D1758, Products!A:F, 6, FALSE)</f>
        <v>1</v>
      </c>
    </row>
    <row r="1759" spans="1:19">
      <c r="A1759" s="102" t="s">
        <v>2257</v>
      </c>
      <c r="B1759" s="2">
        <v>45377</v>
      </c>
      <c r="C1759" s="1" t="s">
        <v>181</v>
      </c>
      <c r="D1759" s="1" t="s">
        <v>461</v>
      </c>
      <c r="E1759" s="1" t="s">
        <v>170</v>
      </c>
      <c r="F1759" s="83">
        <v>10</v>
      </c>
      <c r="G1759" s="92">
        <v>3780</v>
      </c>
      <c r="H1759" s="3">
        <v>13.3</v>
      </c>
      <c r="I1759" s="3">
        <v>32772.6</v>
      </c>
      <c r="J1759" s="1" t="s">
        <v>87</v>
      </c>
      <c r="K1759" s="1" t="s">
        <v>99</v>
      </c>
      <c r="L1759" t="str">
        <f>VLOOKUP(D1759, Products!A:C, 3, FALSE)</f>
        <v>Sports</v>
      </c>
      <c r="M1759" t="str">
        <f>VLOOKUP(C1759, Customers!A:E, 5, FALSE)</f>
        <v>Retail</v>
      </c>
      <c r="N1759">
        <f>VLOOKUP(C1759, Customers!A:E, 3, FALSE)</f>
        <v>31</v>
      </c>
      <c r="O1759" s="93" t="str">
        <f>VLOOKUP(E1759, Sales_Reps!A:C, 3, FALSE)</f>
        <v>West</v>
      </c>
      <c r="P1759">
        <f>VLOOKUP(D1759, Products!A:E, 4, FALSE)</f>
        <v>1860</v>
      </c>
      <c r="Q1759">
        <f>IF(COUNTIF($A$2:A1759, A1759)=2, 1, 0)</f>
        <v>0</v>
      </c>
      <c r="R1759">
        <f>IF(ISNA(MATCH(C1759, Customers!$A:$A, 0)), 1, 0)</f>
        <v>0</v>
      </c>
      <c r="S1759" s="94" t="b">
        <f>VLOOKUP(D1759, Products!A:F, 6, FALSE)</f>
        <v>1</v>
      </c>
    </row>
    <row r="1760" spans="1:19">
      <c r="A1760" s="102" t="s">
        <v>2258</v>
      </c>
      <c r="B1760" s="2">
        <v>45302</v>
      </c>
      <c r="C1760" s="1" t="s">
        <v>872</v>
      </c>
      <c r="D1760" s="1" t="s">
        <v>179</v>
      </c>
      <c r="E1760" s="1" t="s">
        <v>204</v>
      </c>
      <c r="F1760" s="83">
        <v>9</v>
      </c>
      <c r="G1760" s="92">
        <v>3350</v>
      </c>
      <c r="H1760" s="3">
        <v>12.8</v>
      </c>
      <c r="I1760" s="3">
        <v>26290.799999999999</v>
      </c>
      <c r="J1760" s="1" t="s">
        <v>87</v>
      </c>
      <c r="K1760" s="1" t="s">
        <v>112</v>
      </c>
      <c r="L1760" t="str">
        <f>VLOOKUP(D1760, Products!A:C, 3, FALSE)</f>
        <v>Beauty</v>
      </c>
      <c r="M1760" t="str">
        <f>VLOOKUP(C1760, Customers!A:E, 5, FALSE)</f>
        <v>Corporate</v>
      </c>
      <c r="N1760">
        <f>VLOOKUP(C1760, Customers!A:E, 3, FALSE)</f>
        <v>62</v>
      </c>
      <c r="O1760" s="93" t="str">
        <f>VLOOKUP(E1760, Sales_Reps!A:C, 3, FALSE)</f>
        <v>South</v>
      </c>
      <c r="P1760">
        <f>VLOOKUP(D1760, Products!A:E, 4, FALSE)</f>
        <v>1728</v>
      </c>
      <c r="Q1760">
        <f>IF(COUNTIF($A$2:A1760, A1760)=2, 1, 0)</f>
        <v>0</v>
      </c>
      <c r="R1760">
        <f>IF(ISNA(MATCH(C1760, Customers!$A:$A, 0)), 1, 0)</f>
        <v>0</v>
      </c>
      <c r="S1760" s="94" t="b">
        <f>VLOOKUP(D1760, Products!A:F, 6, FALSE)</f>
        <v>1</v>
      </c>
    </row>
    <row r="1761" spans="1:19">
      <c r="A1761" s="102" t="s">
        <v>2259</v>
      </c>
      <c r="B1761" s="2">
        <v>45459</v>
      </c>
      <c r="C1761" s="1" t="s">
        <v>676</v>
      </c>
      <c r="D1761" s="1" t="s">
        <v>106</v>
      </c>
      <c r="E1761" s="1" t="s">
        <v>116</v>
      </c>
      <c r="F1761" s="83">
        <v>7</v>
      </c>
      <c r="G1761" s="92">
        <v>3160</v>
      </c>
      <c r="H1761" s="3">
        <v>15.3</v>
      </c>
      <c r="I1761" s="3">
        <v>18735.64</v>
      </c>
      <c r="J1761" s="1" t="s">
        <v>87</v>
      </c>
      <c r="K1761" s="1" t="s">
        <v>88</v>
      </c>
      <c r="L1761" t="str">
        <f>VLOOKUP(D1761, Products!A:C, 3, FALSE)</f>
        <v>Apparel</v>
      </c>
      <c r="M1761" t="str">
        <f>VLOOKUP(C1761, Customers!A:E, 5, FALSE)</f>
        <v>SMB</v>
      </c>
      <c r="N1761">
        <f>VLOOKUP(C1761, Customers!A:E, 3, FALSE)</f>
        <v>35</v>
      </c>
      <c r="O1761" s="93" t="str">
        <f>VLOOKUP(E1761, Sales_Reps!A:C, 3, FALSE)</f>
        <v>West</v>
      </c>
      <c r="P1761">
        <f>VLOOKUP(D1761, Products!A:E, 4, FALSE)</f>
        <v>1886</v>
      </c>
      <c r="Q1761">
        <f>IF(COUNTIF($A$2:A1761, A1761)=2, 1, 0)</f>
        <v>0</v>
      </c>
      <c r="R1761">
        <f>IF(ISNA(MATCH(C1761, Customers!$A:$A, 0)), 1, 0)</f>
        <v>0</v>
      </c>
      <c r="S1761" s="94" t="b">
        <f>VLOOKUP(D1761, Products!A:F, 6, FALSE)</f>
        <v>1</v>
      </c>
    </row>
    <row r="1762" spans="1:19">
      <c r="A1762" s="102" t="s">
        <v>2260</v>
      </c>
      <c r="B1762" s="2">
        <v>45428</v>
      </c>
      <c r="C1762" s="1" t="s">
        <v>983</v>
      </c>
      <c r="D1762" s="1" t="s">
        <v>195</v>
      </c>
      <c r="E1762" s="1" t="s">
        <v>139</v>
      </c>
      <c r="F1762" s="83">
        <v>6</v>
      </c>
      <c r="G1762" s="92">
        <v>2860</v>
      </c>
      <c r="H1762" s="3">
        <v>17.5</v>
      </c>
      <c r="I1762" s="3">
        <v>14157</v>
      </c>
      <c r="J1762" s="1" t="s">
        <v>87</v>
      </c>
      <c r="K1762" s="1" t="s">
        <v>117</v>
      </c>
      <c r="L1762" t="str">
        <f>VLOOKUP(D1762, Products!A:C, 3, FALSE)</f>
        <v>Sports</v>
      </c>
      <c r="M1762" t="str">
        <f>VLOOKUP(C1762, Customers!A:E, 5, FALSE)</f>
        <v>SMB</v>
      </c>
      <c r="N1762">
        <f>VLOOKUP(C1762, Customers!A:E, 3, FALSE)</f>
        <v>36</v>
      </c>
      <c r="O1762" s="93" t="str">
        <f>VLOOKUP(E1762, Sales_Reps!A:C, 3, FALSE)</f>
        <v>North</v>
      </c>
      <c r="P1762">
        <f>VLOOKUP(D1762, Products!A:E, 4, FALSE)</f>
        <v>2028</v>
      </c>
      <c r="Q1762">
        <f>IF(COUNTIF($A$2:A1762, A1762)=2, 1, 0)</f>
        <v>0</v>
      </c>
      <c r="R1762">
        <f>IF(ISNA(MATCH(C1762, Customers!$A:$A, 0)), 1, 0)</f>
        <v>0</v>
      </c>
      <c r="S1762" s="94" t="b">
        <f>VLOOKUP(D1762, Products!A:F, 6, FALSE)</f>
        <v>1</v>
      </c>
    </row>
    <row r="1763" spans="1:19">
      <c r="A1763" s="102" t="s">
        <v>2261</v>
      </c>
      <c r="B1763" s="2">
        <v>45341</v>
      </c>
      <c r="C1763" s="1" t="s">
        <v>757</v>
      </c>
      <c r="D1763" s="1" t="s">
        <v>282</v>
      </c>
      <c r="E1763" s="1" t="s">
        <v>132</v>
      </c>
      <c r="F1763" s="83">
        <v>9</v>
      </c>
      <c r="G1763" s="92">
        <v>300</v>
      </c>
      <c r="H1763" s="3">
        <v>25.2</v>
      </c>
      <c r="I1763" s="3">
        <v>2019.6</v>
      </c>
      <c r="J1763" s="1" t="s">
        <v>87</v>
      </c>
      <c r="K1763" s="1" t="s">
        <v>117</v>
      </c>
      <c r="L1763" t="str">
        <f>VLOOKUP(D1763, Products!A:C, 3, FALSE)</f>
        <v>Electronics</v>
      </c>
      <c r="M1763" t="str">
        <f>VLOOKUP(C1763, Customers!A:E, 5, FALSE)</f>
        <v>Corporate</v>
      </c>
      <c r="N1763">
        <f>VLOOKUP(C1763, Customers!A:E, 3, FALSE)</f>
        <v>43</v>
      </c>
      <c r="O1763" s="93" t="str">
        <f>VLOOKUP(E1763, Sales_Reps!A:C, 3, FALSE)</f>
        <v>South</v>
      </c>
      <c r="P1763">
        <f>VLOOKUP(D1763, Products!A:E, 4, FALSE)</f>
        <v>128</v>
      </c>
      <c r="Q1763">
        <f>IF(COUNTIF($A$2:A1763, A1763)=2, 1, 0)</f>
        <v>0</v>
      </c>
      <c r="R1763">
        <f>IF(ISNA(MATCH(C1763, Customers!$A:$A, 0)), 1, 0)</f>
        <v>0</v>
      </c>
      <c r="S1763" s="94" t="b">
        <f>VLOOKUP(D1763, Products!A:F, 6, FALSE)</f>
        <v>1</v>
      </c>
    </row>
    <row r="1764" spans="1:19">
      <c r="A1764" s="102" t="s">
        <v>2262</v>
      </c>
      <c r="B1764" s="2">
        <v>45296</v>
      </c>
      <c r="C1764" s="1" t="s">
        <v>977</v>
      </c>
      <c r="D1764" s="1" t="s">
        <v>147</v>
      </c>
      <c r="E1764" s="1" t="s">
        <v>192</v>
      </c>
      <c r="F1764" s="83">
        <v>5</v>
      </c>
      <c r="G1764" s="92">
        <v>190</v>
      </c>
      <c r="H1764" s="3">
        <v>1.8</v>
      </c>
      <c r="I1764" s="3">
        <v>932.9</v>
      </c>
      <c r="J1764" s="1" t="s">
        <v>87</v>
      </c>
      <c r="K1764" s="1" t="s">
        <v>88</v>
      </c>
      <c r="L1764" t="str">
        <f>VLOOKUP(D1764, Products!A:C, 3, FALSE)</f>
        <v>Sports</v>
      </c>
      <c r="M1764" t="str">
        <f>VLOOKUP(C1764, Customers!A:E, 5, FALSE)</f>
        <v>Corporate</v>
      </c>
      <c r="N1764">
        <f>VLOOKUP(C1764, Customers!A:E, 3, FALSE)</f>
        <v>29</v>
      </c>
      <c r="O1764" s="93" t="str">
        <f>VLOOKUP(E1764, Sales_Reps!A:C, 3, FALSE)</f>
        <v>East</v>
      </c>
      <c r="P1764">
        <f>VLOOKUP(D1764, Products!A:E, 4, FALSE)</f>
        <v>147</v>
      </c>
      <c r="Q1764">
        <f>IF(COUNTIF($A$2:A1764, A1764)=2, 1, 0)</f>
        <v>0</v>
      </c>
      <c r="R1764">
        <f>IF(ISNA(MATCH(C1764, Customers!$A:$A, 0)), 1, 0)</f>
        <v>0</v>
      </c>
      <c r="S1764" s="94" t="b">
        <f>VLOOKUP(D1764, Products!A:F, 6, FALSE)</f>
        <v>1</v>
      </c>
    </row>
    <row r="1765" spans="1:19">
      <c r="A1765" s="102" t="s">
        <v>2263</v>
      </c>
      <c r="B1765" s="2">
        <v>45533</v>
      </c>
      <c r="C1765" s="1" t="s">
        <v>442</v>
      </c>
      <c r="D1765" s="1" t="s">
        <v>182</v>
      </c>
      <c r="E1765" s="1" t="s">
        <v>158</v>
      </c>
      <c r="F1765" s="83">
        <v>7</v>
      </c>
      <c r="G1765" s="92">
        <v>1010</v>
      </c>
      <c r="H1765" s="3">
        <v>11.2</v>
      </c>
      <c r="I1765" s="3">
        <v>6278.16</v>
      </c>
      <c r="J1765" s="1" t="s">
        <v>87</v>
      </c>
      <c r="K1765" s="1" t="s">
        <v>88</v>
      </c>
      <c r="L1765" t="str">
        <f>VLOOKUP(D1765, Products!A:C, 3, FALSE)</f>
        <v>Sports</v>
      </c>
      <c r="M1765" t="str">
        <f>VLOOKUP(C1765, Customers!A:E, 5, FALSE)</f>
        <v>Retail</v>
      </c>
      <c r="N1765">
        <f>VLOOKUP(C1765, Customers!A:E, 3, FALSE)</f>
        <v>65</v>
      </c>
      <c r="O1765" s="93" t="str">
        <f>VLOOKUP(E1765, Sales_Reps!A:C, 3, FALSE)</f>
        <v>East</v>
      </c>
      <c r="P1765">
        <f>VLOOKUP(D1765, Products!A:E, 4, FALSE)</f>
        <v>516</v>
      </c>
      <c r="Q1765">
        <f>IF(COUNTIF($A$2:A1765, A1765)=2, 1, 0)</f>
        <v>0</v>
      </c>
      <c r="R1765">
        <f>IF(ISNA(MATCH(C1765, Customers!$A:$A, 0)), 1, 0)</f>
        <v>0</v>
      </c>
      <c r="S1765" s="94" t="b">
        <f>VLOOKUP(D1765, Products!A:F, 6, FALSE)</f>
        <v>1</v>
      </c>
    </row>
    <row r="1766" spans="1:19">
      <c r="A1766" s="102" t="s">
        <v>2264</v>
      </c>
      <c r="B1766" s="2">
        <v>45515</v>
      </c>
      <c r="C1766" s="1" t="s">
        <v>219</v>
      </c>
      <c r="D1766" s="1" t="s">
        <v>161</v>
      </c>
      <c r="E1766" s="1" t="s">
        <v>215</v>
      </c>
      <c r="F1766" s="83">
        <v>8</v>
      </c>
      <c r="G1766" s="92">
        <v>3450</v>
      </c>
      <c r="H1766" s="3">
        <v>8.4</v>
      </c>
      <c r="I1766" s="3">
        <v>25281.599999999999</v>
      </c>
      <c r="J1766" s="1" t="s">
        <v>87</v>
      </c>
      <c r="K1766" s="1" t="s">
        <v>99</v>
      </c>
      <c r="L1766" t="str">
        <f>VLOOKUP(D1766, Products!A:C, 3, FALSE)</f>
        <v>Sports</v>
      </c>
      <c r="M1766" t="str">
        <f>VLOOKUP(C1766, Customers!A:E, 5, FALSE)</f>
        <v>SMB</v>
      </c>
      <c r="N1766">
        <f>VLOOKUP(C1766, Customers!A:E, 3, FALSE)</f>
        <v>50</v>
      </c>
      <c r="O1766" s="93" t="str">
        <f>VLOOKUP(E1766, Sales_Reps!A:C, 3, FALSE)</f>
        <v>North</v>
      </c>
      <c r="P1766">
        <f>VLOOKUP(D1766, Products!A:E, 4, FALSE)</f>
        <v>2467</v>
      </c>
      <c r="Q1766">
        <f>IF(COUNTIF($A$2:A1766, A1766)=2, 1, 0)</f>
        <v>0</v>
      </c>
      <c r="R1766">
        <f>IF(ISNA(MATCH(C1766, Customers!$A:$A, 0)), 1, 0)</f>
        <v>0</v>
      </c>
      <c r="S1766" s="94" t="b">
        <f>VLOOKUP(D1766, Products!A:F, 6, FALSE)</f>
        <v>1</v>
      </c>
    </row>
    <row r="1767" spans="1:19">
      <c r="A1767" s="102" t="s">
        <v>2265</v>
      </c>
      <c r="B1767" s="2">
        <v>45597</v>
      </c>
      <c r="C1767" s="1" t="s">
        <v>986</v>
      </c>
      <c r="D1767" s="1" t="s">
        <v>282</v>
      </c>
      <c r="E1767" s="1" t="s">
        <v>215</v>
      </c>
      <c r="F1767" s="83">
        <v>3</v>
      </c>
      <c r="G1767" s="92">
        <v>300</v>
      </c>
      <c r="H1767" s="3">
        <v>7.5</v>
      </c>
      <c r="I1767" s="3">
        <v>832.5</v>
      </c>
      <c r="J1767" s="1" t="s">
        <v>144</v>
      </c>
      <c r="K1767" s="1" t="s">
        <v>94</v>
      </c>
      <c r="L1767" t="str">
        <f>VLOOKUP(D1767, Products!A:C, 3, FALSE)</f>
        <v>Electronics</v>
      </c>
      <c r="M1767" t="str">
        <f>VLOOKUP(C1767, Customers!A:E, 5, FALSE)</f>
        <v>Corporate</v>
      </c>
      <c r="N1767">
        <f>VLOOKUP(C1767, Customers!A:E, 3, FALSE)</f>
        <v>52</v>
      </c>
      <c r="O1767" s="93" t="str">
        <f>VLOOKUP(E1767, Sales_Reps!A:C, 3, FALSE)</f>
        <v>North</v>
      </c>
      <c r="P1767">
        <f>VLOOKUP(D1767, Products!A:E, 4, FALSE)</f>
        <v>128</v>
      </c>
      <c r="Q1767">
        <f>IF(COUNTIF($A$2:A1767, A1767)=2, 1, 0)</f>
        <v>0</v>
      </c>
      <c r="R1767">
        <f>IF(ISNA(MATCH(C1767, Customers!$A:$A, 0)), 1, 0)</f>
        <v>0</v>
      </c>
      <c r="S1767" s="94" t="b">
        <f>VLOOKUP(D1767, Products!A:F, 6, FALSE)</f>
        <v>1</v>
      </c>
    </row>
    <row r="1768" spans="1:19">
      <c r="A1768" s="102" t="s">
        <v>2266</v>
      </c>
      <c r="B1768" s="2">
        <v>45370</v>
      </c>
      <c r="C1768" s="1" t="s">
        <v>228</v>
      </c>
      <c r="D1768" s="1" t="s">
        <v>226</v>
      </c>
      <c r="E1768" s="1" t="s">
        <v>303</v>
      </c>
      <c r="F1768" s="83">
        <v>4</v>
      </c>
      <c r="G1768" s="92">
        <v>3730</v>
      </c>
      <c r="H1768" s="3">
        <v>24.8</v>
      </c>
      <c r="I1768" s="3">
        <v>11219.84</v>
      </c>
      <c r="J1768" s="1" t="s">
        <v>87</v>
      </c>
      <c r="K1768" s="1" t="s">
        <v>112</v>
      </c>
      <c r="L1768" t="str">
        <f>VLOOKUP(D1768, Products!A:C, 3, FALSE)</f>
        <v>Home</v>
      </c>
      <c r="M1768" t="str">
        <f>VLOOKUP(C1768, Customers!A:E, 5, FALSE)</f>
        <v>SMB</v>
      </c>
      <c r="N1768">
        <f>VLOOKUP(C1768, Customers!A:E, 3, FALSE)</f>
        <v>54</v>
      </c>
      <c r="O1768" s="93" t="str">
        <f>VLOOKUP(E1768, Sales_Reps!A:C, 3, FALSE)</f>
        <v>East</v>
      </c>
      <c r="P1768">
        <f>VLOOKUP(D1768, Products!A:E, 4, FALSE)</f>
        <v>2135</v>
      </c>
      <c r="Q1768">
        <f>IF(COUNTIF($A$2:A1768, A1768)=2, 1, 0)</f>
        <v>0</v>
      </c>
      <c r="R1768">
        <f>IF(ISNA(MATCH(C1768, Customers!$A:$A, 0)), 1, 0)</f>
        <v>0</v>
      </c>
      <c r="S1768" s="94" t="b">
        <f>VLOOKUP(D1768, Products!A:F, 6, FALSE)</f>
        <v>1</v>
      </c>
    </row>
    <row r="1769" spans="1:19">
      <c r="A1769" s="102" t="s">
        <v>2267</v>
      </c>
      <c r="B1769" s="2">
        <v>45462</v>
      </c>
      <c r="C1769" s="1" t="s">
        <v>178</v>
      </c>
      <c r="D1769" s="1" t="s">
        <v>151</v>
      </c>
      <c r="E1769" s="1" t="s">
        <v>192</v>
      </c>
      <c r="F1769" s="83">
        <v>5</v>
      </c>
      <c r="G1769" s="92">
        <v>2400</v>
      </c>
      <c r="H1769" s="3">
        <v>9.1999999999999993</v>
      </c>
      <c r="I1769" s="3">
        <v>10896</v>
      </c>
      <c r="J1769" s="1" t="s">
        <v>87</v>
      </c>
      <c r="K1769" s="1" t="s">
        <v>94</v>
      </c>
      <c r="L1769" t="str">
        <f>VLOOKUP(D1769, Products!A:C, 3, FALSE)</f>
        <v>Sports</v>
      </c>
      <c r="M1769" t="str">
        <f>VLOOKUP(C1769, Customers!A:E, 5, FALSE)</f>
        <v>Corporate</v>
      </c>
      <c r="N1769">
        <f>VLOOKUP(C1769, Customers!A:E, 3, FALSE)</f>
        <v>55</v>
      </c>
      <c r="O1769" s="93" t="str">
        <f>VLOOKUP(E1769, Sales_Reps!A:C, 3, FALSE)</f>
        <v>East</v>
      </c>
      <c r="P1769">
        <f>VLOOKUP(D1769, Products!A:E, 4, FALSE)</f>
        <v>974</v>
      </c>
      <c r="Q1769">
        <f>IF(COUNTIF($A$2:A1769, A1769)=2, 1, 0)</f>
        <v>0</v>
      </c>
      <c r="R1769">
        <f>IF(ISNA(MATCH(C1769, Customers!$A:$A, 0)), 1, 0)</f>
        <v>0</v>
      </c>
      <c r="S1769" s="94" t="b">
        <f>VLOOKUP(D1769, Products!A:F, 6, FALSE)</f>
        <v>1</v>
      </c>
    </row>
    <row r="1770" spans="1:19">
      <c r="A1770" s="102" t="s">
        <v>2268</v>
      </c>
      <c r="B1770" s="2">
        <v>45609</v>
      </c>
      <c r="C1770" s="1" t="s">
        <v>403</v>
      </c>
      <c r="D1770" s="1" t="s">
        <v>200</v>
      </c>
      <c r="E1770" s="1" t="s">
        <v>215</v>
      </c>
      <c r="F1770" s="83">
        <v>3</v>
      </c>
      <c r="G1770" s="92">
        <v>2760</v>
      </c>
      <c r="H1770" s="3">
        <v>2.4</v>
      </c>
      <c r="I1770" s="3">
        <v>8081.28</v>
      </c>
      <c r="J1770" s="1" t="s">
        <v>87</v>
      </c>
      <c r="K1770" s="1" t="s">
        <v>117</v>
      </c>
      <c r="L1770" t="str">
        <f>VLOOKUP(D1770, Products!A:C, 3, FALSE)</f>
        <v>Grocery</v>
      </c>
      <c r="M1770" t="str">
        <f>VLOOKUP(C1770, Customers!A:E, 5, FALSE)</f>
        <v>Retail</v>
      </c>
      <c r="N1770">
        <f>VLOOKUP(C1770, Customers!A:E, 3, FALSE)</f>
        <v>59</v>
      </c>
      <c r="O1770" s="93" t="str">
        <f>VLOOKUP(E1770, Sales_Reps!A:C, 3, FALSE)</f>
        <v>North</v>
      </c>
      <c r="P1770">
        <f>VLOOKUP(D1770, Products!A:E, 4, FALSE)</f>
        <v>1435</v>
      </c>
      <c r="Q1770">
        <f>IF(COUNTIF($A$2:A1770, A1770)=2, 1, 0)</f>
        <v>0</v>
      </c>
      <c r="R1770">
        <f>IF(ISNA(MATCH(C1770, Customers!$A:$A, 0)), 1, 0)</f>
        <v>0</v>
      </c>
      <c r="S1770" s="94" t="b">
        <f>VLOOKUP(D1770, Products!A:F, 6, FALSE)</f>
        <v>1</v>
      </c>
    </row>
    <row r="1771" spans="1:19">
      <c r="A1771" s="102" t="s">
        <v>667</v>
      </c>
      <c r="B1771" s="2">
        <v>45548</v>
      </c>
      <c r="C1771" s="1" t="s">
        <v>208</v>
      </c>
      <c r="D1771" s="1" t="s">
        <v>97</v>
      </c>
      <c r="E1771" s="1" t="s">
        <v>204</v>
      </c>
      <c r="F1771" s="83">
        <v>8</v>
      </c>
      <c r="G1771" s="92">
        <v>470</v>
      </c>
      <c r="H1771" s="3">
        <v>24.8</v>
      </c>
      <c r="I1771" s="3">
        <v>2827.52</v>
      </c>
      <c r="J1771" s="1" t="s">
        <v>93</v>
      </c>
      <c r="K1771" s="1" t="s">
        <v>133</v>
      </c>
      <c r="L1771" t="str">
        <f>VLOOKUP(D1771, Products!A:C, 3, FALSE)</f>
        <v>Sports</v>
      </c>
      <c r="M1771" t="str">
        <f>VLOOKUP(C1771, Customers!A:E, 5, FALSE)</f>
        <v>Retail</v>
      </c>
      <c r="N1771">
        <f>VLOOKUP(C1771, Customers!A:E, 3, FALSE)</f>
        <v>26</v>
      </c>
      <c r="O1771" s="93" t="str">
        <f>VLOOKUP(E1771, Sales_Reps!A:C, 3, FALSE)</f>
        <v>South</v>
      </c>
      <c r="P1771">
        <f>VLOOKUP(D1771, Products!A:E, 4, FALSE)</f>
        <v>302</v>
      </c>
      <c r="Q1771">
        <f>IF(COUNTIF($A$2:A1771, A1771)=2, 1, 0)</f>
        <v>1</v>
      </c>
      <c r="R1771">
        <f>IF(ISNA(MATCH(C1771, Customers!$A:$A, 0)), 1, 0)</f>
        <v>0</v>
      </c>
      <c r="S1771" s="94" t="b">
        <f>VLOOKUP(D1771, Products!A:F, 6, FALSE)</f>
        <v>0</v>
      </c>
    </row>
    <row r="1772" spans="1:19">
      <c r="A1772" s="102" t="s">
        <v>2269</v>
      </c>
      <c r="B1772" s="2">
        <v>45633</v>
      </c>
      <c r="C1772" s="1" t="s">
        <v>602</v>
      </c>
      <c r="D1772" s="1" t="s">
        <v>97</v>
      </c>
      <c r="E1772" s="1" t="s">
        <v>343</v>
      </c>
      <c r="F1772" s="83">
        <v>3</v>
      </c>
      <c r="G1772" s="92">
        <v>470</v>
      </c>
      <c r="H1772" s="3">
        <v>18.600000000000001</v>
      </c>
      <c r="I1772" s="3">
        <v>1147.74</v>
      </c>
      <c r="J1772" s="1" t="s">
        <v>87</v>
      </c>
      <c r="K1772" s="1" t="s">
        <v>94</v>
      </c>
      <c r="L1772" t="str">
        <f>VLOOKUP(D1772, Products!A:C, 3, FALSE)</f>
        <v>Sports</v>
      </c>
      <c r="M1772" t="str">
        <f>VLOOKUP(C1772, Customers!A:E, 5, FALSE)</f>
        <v>Retail</v>
      </c>
      <c r="N1772">
        <f>VLOOKUP(C1772, Customers!A:E, 3, FALSE)</f>
        <v>61</v>
      </c>
      <c r="O1772" s="93" t="str">
        <f>VLOOKUP(E1772, Sales_Reps!A:C, 3, FALSE)</f>
        <v>West</v>
      </c>
      <c r="P1772">
        <f>VLOOKUP(D1772, Products!A:E, 4, FALSE)</f>
        <v>302</v>
      </c>
      <c r="Q1772">
        <f>IF(COUNTIF($A$2:A1772, A1772)=2, 1, 0)</f>
        <v>0</v>
      </c>
      <c r="R1772">
        <f>IF(ISNA(MATCH(C1772, Customers!$A:$A, 0)), 1, 0)</f>
        <v>0</v>
      </c>
      <c r="S1772" s="94" t="b">
        <f>VLOOKUP(D1772, Products!A:F, 6, FALSE)</f>
        <v>0</v>
      </c>
    </row>
    <row r="1773" spans="1:19">
      <c r="A1773" s="102" t="s">
        <v>2270</v>
      </c>
      <c r="B1773" s="2">
        <v>45580</v>
      </c>
      <c r="C1773" s="1" t="s">
        <v>507</v>
      </c>
      <c r="D1773" s="1" t="s">
        <v>110</v>
      </c>
      <c r="E1773" s="1" t="s">
        <v>128</v>
      </c>
      <c r="F1773" s="83">
        <v>2</v>
      </c>
      <c r="G1773" s="92">
        <v>370</v>
      </c>
      <c r="H1773" s="3">
        <v>24</v>
      </c>
      <c r="I1773" s="3">
        <v>562.4</v>
      </c>
      <c r="J1773" s="1" t="s">
        <v>87</v>
      </c>
      <c r="K1773" s="1" t="s">
        <v>88</v>
      </c>
      <c r="L1773" t="str">
        <f>VLOOKUP(D1773, Products!A:C, 3, FALSE)</f>
        <v>Home</v>
      </c>
      <c r="M1773" t="str">
        <f>VLOOKUP(C1773, Customers!A:E, 5, FALSE)</f>
        <v>Retail</v>
      </c>
      <c r="N1773">
        <f>VLOOKUP(C1773, Customers!A:E, 3, FALSE)</f>
        <v>59</v>
      </c>
      <c r="O1773" s="93" t="str">
        <f>VLOOKUP(E1773, Sales_Reps!A:C, 3, FALSE)</f>
        <v>West</v>
      </c>
      <c r="P1773">
        <f>VLOOKUP(D1773, Products!A:E, 4, FALSE)</f>
        <v>288</v>
      </c>
      <c r="Q1773">
        <f>IF(COUNTIF($A$2:A1773, A1773)=2, 1, 0)</f>
        <v>0</v>
      </c>
      <c r="R1773">
        <f>IF(ISNA(MATCH(C1773, Customers!$A:$A, 0)), 1, 0)</f>
        <v>0</v>
      </c>
      <c r="S1773" s="94" t="b">
        <f>VLOOKUP(D1773, Products!A:F, 6, FALSE)</f>
        <v>1</v>
      </c>
    </row>
    <row r="1774" spans="1:19">
      <c r="A1774" s="102" t="s">
        <v>2271</v>
      </c>
      <c r="B1774" s="2">
        <v>45329</v>
      </c>
      <c r="C1774" s="1" t="s">
        <v>1234</v>
      </c>
      <c r="D1774" s="1" t="s">
        <v>338</v>
      </c>
      <c r="E1774" s="1" t="s">
        <v>215</v>
      </c>
      <c r="F1774" s="83">
        <v>6</v>
      </c>
      <c r="G1774" s="92">
        <v>2210</v>
      </c>
      <c r="H1774" s="3">
        <v>28.3</v>
      </c>
      <c r="I1774" s="3">
        <v>9507.42</v>
      </c>
      <c r="J1774" s="1" t="s">
        <v>140</v>
      </c>
      <c r="K1774" s="1" t="s">
        <v>112</v>
      </c>
      <c r="L1774" t="str">
        <f>VLOOKUP(D1774, Products!A:C, 3, FALSE)</f>
        <v>Grocery</v>
      </c>
      <c r="M1774" t="str">
        <f>VLOOKUP(C1774, Customers!A:E, 5, FALSE)</f>
        <v>Retail</v>
      </c>
      <c r="N1774">
        <f>VLOOKUP(C1774, Customers!A:E, 3, FALSE)</f>
        <v>29</v>
      </c>
      <c r="O1774" s="93" t="str">
        <f>VLOOKUP(E1774, Sales_Reps!A:C, 3, FALSE)</f>
        <v>North</v>
      </c>
      <c r="P1774">
        <f>VLOOKUP(D1774, Products!A:E, 4, FALSE)</f>
        <v>1010</v>
      </c>
      <c r="Q1774">
        <f>IF(COUNTIF($A$2:A1774, A1774)=2, 1, 0)</f>
        <v>0</v>
      </c>
      <c r="R1774">
        <f>IF(ISNA(MATCH(C1774, Customers!$A:$A, 0)), 1, 0)</f>
        <v>0</v>
      </c>
      <c r="S1774" s="94" t="b">
        <f>VLOOKUP(D1774, Products!A:F, 6, FALSE)</f>
        <v>1</v>
      </c>
    </row>
    <row r="1775" spans="1:19">
      <c r="A1775" s="102" t="s">
        <v>2272</v>
      </c>
      <c r="B1775" s="2">
        <v>45549</v>
      </c>
      <c r="C1775" s="1" t="s">
        <v>561</v>
      </c>
      <c r="D1775" s="1" t="s">
        <v>515</v>
      </c>
      <c r="E1775" s="1" t="s">
        <v>297</v>
      </c>
      <c r="F1775" s="83">
        <v>3</v>
      </c>
      <c r="G1775" s="92">
        <v>6940</v>
      </c>
      <c r="H1775" s="3">
        <v>27.2</v>
      </c>
      <c r="I1775" s="3">
        <v>15156.96</v>
      </c>
      <c r="J1775" s="1" t="s">
        <v>144</v>
      </c>
      <c r="K1775" s="1" t="s">
        <v>133</v>
      </c>
      <c r="L1775" t="str">
        <f>VLOOKUP(D1775, Products!A:C, 3, FALSE)</f>
        <v>Sports</v>
      </c>
      <c r="M1775" t="str">
        <f>VLOOKUP(C1775, Customers!A:E, 5, FALSE)</f>
        <v>SMB</v>
      </c>
      <c r="N1775">
        <f>VLOOKUP(C1775, Customers!A:E, 3, FALSE)</f>
        <v>43</v>
      </c>
      <c r="O1775" s="93" t="str">
        <f>VLOOKUP(E1775, Sales_Reps!A:C, 3, FALSE)</f>
        <v>North</v>
      </c>
      <c r="P1775">
        <f>VLOOKUP(D1775, Products!A:E, 4, FALSE)</f>
        <v>2827</v>
      </c>
      <c r="Q1775">
        <f>IF(COUNTIF($A$2:A1775, A1775)=2, 1, 0)</f>
        <v>0</v>
      </c>
      <c r="R1775">
        <f>IF(ISNA(MATCH(C1775, Customers!$A:$A, 0)), 1, 0)</f>
        <v>0</v>
      </c>
      <c r="S1775" s="94" t="b">
        <f>VLOOKUP(D1775, Products!A:F, 6, FALSE)</f>
        <v>1</v>
      </c>
    </row>
    <row r="1776" spans="1:19">
      <c r="A1776" s="102" t="s">
        <v>2273</v>
      </c>
      <c r="B1776" s="2">
        <v>45423</v>
      </c>
      <c r="C1776" s="1" t="s">
        <v>945</v>
      </c>
      <c r="D1776" s="1" t="s">
        <v>295</v>
      </c>
      <c r="E1776" s="1" t="s">
        <v>303</v>
      </c>
      <c r="F1776" s="83">
        <v>10</v>
      </c>
      <c r="G1776" s="92">
        <v>2030</v>
      </c>
      <c r="H1776" s="3">
        <v>25.6</v>
      </c>
      <c r="I1776" s="3">
        <v>15103.2</v>
      </c>
      <c r="J1776" s="1" t="s">
        <v>87</v>
      </c>
      <c r="K1776" s="1" t="s">
        <v>88</v>
      </c>
      <c r="L1776" t="str">
        <f>VLOOKUP(D1776, Products!A:C, 3, FALSE)</f>
        <v>Home</v>
      </c>
      <c r="M1776" t="str">
        <f>VLOOKUP(C1776, Customers!A:E, 5, FALSE)</f>
        <v>Retail</v>
      </c>
      <c r="N1776">
        <f>VLOOKUP(C1776, Customers!A:E, 3, FALSE)</f>
        <v>54</v>
      </c>
      <c r="O1776" s="93" t="str">
        <f>VLOOKUP(E1776, Sales_Reps!A:C, 3, FALSE)</f>
        <v>East</v>
      </c>
      <c r="P1776">
        <f>VLOOKUP(D1776, Products!A:E, 4, FALSE)</f>
        <v>1143</v>
      </c>
      <c r="Q1776">
        <f>IF(COUNTIF($A$2:A1776, A1776)=2, 1, 0)</f>
        <v>0</v>
      </c>
      <c r="R1776">
        <f>IF(ISNA(MATCH(C1776, Customers!$A:$A, 0)), 1, 0)</f>
        <v>0</v>
      </c>
      <c r="S1776" s="94" t="b">
        <f>VLOOKUP(D1776, Products!A:F, 6, FALSE)</f>
        <v>1</v>
      </c>
    </row>
    <row r="1777" spans="1:19">
      <c r="A1777" s="102" t="s">
        <v>2274</v>
      </c>
      <c r="B1777" s="2">
        <v>45533</v>
      </c>
      <c r="C1777" s="1" t="s">
        <v>945</v>
      </c>
      <c r="D1777" s="1" t="s">
        <v>182</v>
      </c>
      <c r="E1777" s="1" t="s">
        <v>238</v>
      </c>
      <c r="F1777" s="83">
        <v>9</v>
      </c>
      <c r="G1777" s="92">
        <v>1010</v>
      </c>
      <c r="H1777" s="3">
        <v>9.3000000000000007</v>
      </c>
      <c r="I1777" s="3">
        <v>8244.6299999999992</v>
      </c>
      <c r="J1777" s="1" t="s">
        <v>87</v>
      </c>
      <c r="K1777" s="1" t="s">
        <v>88</v>
      </c>
      <c r="L1777" t="str">
        <f>VLOOKUP(D1777, Products!A:C, 3, FALSE)</f>
        <v>Sports</v>
      </c>
      <c r="M1777" t="str">
        <f>VLOOKUP(C1777, Customers!A:E, 5, FALSE)</f>
        <v>Retail</v>
      </c>
      <c r="N1777">
        <f>VLOOKUP(C1777, Customers!A:E, 3, FALSE)</f>
        <v>54</v>
      </c>
      <c r="O1777" s="93" t="str">
        <f>VLOOKUP(E1777, Sales_Reps!A:C, 3, FALSE)</f>
        <v>East</v>
      </c>
      <c r="P1777">
        <f>VLOOKUP(D1777, Products!A:E, 4, FALSE)</f>
        <v>516</v>
      </c>
      <c r="Q1777">
        <f>IF(COUNTIF($A$2:A1777, A1777)=2, 1, 0)</f>
        <v>0</v>
      </c>
      <c r="R1777">
        <f>IF(ISNA(MATCH(C1777, Customers!$A:$A, 0)), 1, 0)</f>
        <v>0</v>
      </c>
      <c r="S1777" s="94" t="b">
        <f>VLOOKUP(D1777, Products!A:F, 6, FALSE)</f>
        <v>1</v>
      </c>
    </row>
    <row r="1778" spans="1:19">
      <c r="A1778" s="102" t="s">
        <v>2275</v>
      </c>
      <c r="B1778" s="2">
        <v>45571</v>
      </c>
      <c r="C1778" s="1" t="s">
        <v>328</v>
      </c>
      <c r="D1778" s="1" t="s">
        <v>355</v>
      </c>
      <c r="E1778" s="1" t="s">
        <v>297</v>
      </c>
      <c r="F1778" s="83">
        <v>5</v>
      </c>
      <c r="G1778" s="92">
        <v>2510</v>
      </c>
      <c r="H1778" s="3">
        <v>22.2</v>
      </c>
      <c r="I1778" s="3">
        <v>9763.9</v>
      </c>
      <c r="J1778" s="1" t="s">
        <v>87</v>
      </c>
      <c r="K1778" s="1" t="s">
        <v>94</v>
      </c>
      <c r="L1778" t="str">
        <f>VLOOKUP(D1778, Products!A:C, 3, FALSE)</f>
        <v>Apparel</v>
      </c>
      <c r="M1778" t="str">
        <f>VLOOKUP(C1778, Customers!A:E, 5, FALSE)</f>
        <v>Retail</v>
      </c>
      <c r="N1778">
        <f>VLOOKUP(C1778, Customers!A:E, 3, FALSE)</f>
        <v>28</v>
      </c>
      <c r="O1778" s="93" t="str">
        <f>VLOOKUP(E1778, Sales_Reps!A:C, 3, FALSE)</f>
        <v>North</v>
      </c>
      <c r="P1778">
        <f>VLOOKUP(D1778, Products!A:E, 4, FALSE)</f>
        <v>1075</v>
      </c>
      <c r="Q1778">
        <f>IF(COUNTIF($A$2:A1778, A1778)=2, 1, 0)</f>
        <v>0</v>
      </c>
      <c r="R1778">
        <f>IF(ISNA(MATCH(C1778, Customers!$A:$A, 0)), 1, 0)</f>
        <v>0</v>
      </c>
      <c r="S1778" s="94" t="b">
        <f>VLOOKUP(D1778, Products!A:F, 6, FALSE)</f>
        <v>0</v>
      </c>
    </row>
    <row r="1779" spans="1:19">
      <c r="A1779" s="102" t="s">
        <v>2276</v>
      </c>
      <c r="B1779" s="2">
        <v>45441</v>
      </c>
      <c r="C1779" s="1" t="s">
        <v>759</v>
      </c>
      <c r="D1779" s="1" t="s">
        <v>110</v>
      </c>
      <c r="E1779" s="1" t="s">
        <v>297</v>
      </c>
      <c r="F1779" s="83">
        <v>10</v>
      </c>
      <c r="G1779" s="92">
        <v>370</v>
      </c>
      <c r="H1779" s="3">
        <v>29</v>
      </c>
      <c r="I1779" s="3">
        <v>2627</v>
      </c>
      <c r="J1779" s="1" t="s">
        <v>87</v>
      </c>
      <c r="K1779" s="1" t="s">
        <v>117</v>
      </c>
      <c r="L1779" t="str">
        <f>VLOOKUP(D1779, Products!A:C, 3, FALSE)</f>
        <v>Home</v>
      </c>
      <c r="M1779" t="str">
        <f>VLOOKUP(C1779, Customers!A:E, 5, FALSE)</f>
        <v>Retail</v>
      </c>
      <c r="N1779">
        <f>VLOOKUP(C1779, Customers!A:E, 3, FALSE)</f>
        <v>29</v>
      </c>
      <c r="O1779" s="93" t="str">
        <f>VLOOKUP(E1779, Sales_Reps!A:C, 3, FALSE)</f>
        <v>North</v>
      </c>
      <c r="P1779">
        <f>VLOOKUP(D1779, Products!A:E, 4, FALSE)</f>
        <v>288</v>
      </c>
      <c r="Q1779">
        <f>IF(COUNTIF($A$2:A1779, A1779)=2, 1, 0)</f>
        <v>0</v>
      </c>
      <c r="R1779">
        <f>IF(ISNA(MATCH(C1779, Customers!$A:$A, 0)), 1, 0)</f>
        <v>0</v>
      </c>
      <c r="S1779" s="94" t="b">
        <f>VLOOKUP(D1779, Products!A:F, 6, FALSE)</f>
        <v>1</v>
      </c>
    </row>
    <row r="1780" spans="1:19">
      <c r="A1780" s="102" t="s">
        <v>2277</v>
      </c>
      <c r="B1780" s="2">
        <v>45403</v>
      </c>
      <c r="C1780" s="1" t="s">
        <v>544</v>
      </c>
      <c r="D1780" s="1" t="s">
        <v>167</v>
      </c>
      <c r="E1780" s="1" t="s">
        <v>158</v>
      </c>
      <c r="F1780" s="83">
        <v>3</v>
      </c>
      <c r="G1780" s="92">
        <v>2480</v>
      </c>
      <c r="H1780" s="3">
        <v>9.6</v>
      </c>
      <c r="I1780" s="3">
        <v>6725.76</v>
      </c>
      <c r="J1780" s="1" t="s">
        <v>87</v>
      </c>
      <c r="K1780" s="1" t="s">
        <v>133</v>
      </c>
      <c r="L1780" t="str">
        <f>VLOOKUP(D1780, Products!A:C, 3, FALSE)</f>
        <v>Apparel</v>
      </c>
      <c r="M1780" t="str">
        <f>VLOOKUP(C1780, Customers!A:E, 5, FALSE)</f>
        <v>Retail</v>
      </c>
      <c r="N1780">
        <f>VLOOKUP(C1780, Customers!A:E, 3, FALSE)</f>
        <v>25</v>
      </c>
      <c r="O1780" s="93" t="str">
        <f>VLOOKUP(E1780, Sales_Reps!A:C, 3, FALSE)</f>
        <v>East</v>
      </c>
      <c r="P1780">
        <f>VLOOKUP(D1780, Products!A:E, 4, FALSE)</f>
        <v>1173</v>
      </c>
      <c r="Q1780">
        <f>IF(COUNTIF($A$2:A1780, A1780)=2, 1, 0)</f>
        <v>0</v>
      </c>
      <c r="R1780">
        <f>IF(ISNA(MATCH(C1780, Customers!$A:$A, 0)), 1, 0)</f>
        <v>0</v>
      </c>
      <c r="S1780" s="94" t="b">
        <f>VLOOKUP(D1780, Products!A:F, 6, FALSE)</f>
        <v>1</v>
      </c>
    </row>
    <row r="1781" spans="1:19">
      <c r="A1781" s="102" t="s">
        <v>2278</v>
      </c>
      <c r="B1781" s="2">
        <v>45644</v>
      </c>
      <c r="C1781" s="1" t="s">
        <v>795</v>
      </c>
      <c r="D1781" s="1" t="s">
        <v>135</v>
      </c>
      <c r="E1781" s="1" t="s">
        <v>238</v>
      </c>
      <c r="F1781" s="83">
        <v>3</v>
      </c>
      <c r="G1781" s="92">
        <v>2640</v>
      </c>
      <c r="H1781" s="3">
        <v>10.199999999999999</v>
      </c>
      <c r="I1781" s="3">
        <v>7112.16</v>
      </c>
      <c r="J1781" s="1" t="s">
        <v>140</v>
      </c>
      <c r="K1781" s="1" t="s">
        <v>94</v>
      </c>
      <c r="L1781" t="str">
        <f>VLOOKUP(D1781, Products!A:C, 3, FALSE)</f>
        <v>Electronics</v>
      </c>
      <c r="M1781" t="str">
        <f>VLOOKUP(C1781, Customers!A:E, 5, FALSE)</f>
        <v>Retail</v>
      </c>
      <c r="N1781">
        <f>VLOOKUP(C1781, Customers!A:E, 3, FALSE)</f>
        <v>22</v>
      </c>
      <c r="O1781" s="93" t="str">
        <f>VLOOKUP(E1781, Sales_Reps!A:C, 3, FALSE)</f>
        <v>East</v>
      </c>
      <c r="P1781">
        <f>VLOOKUP(D1781, Products!A:E, 4, FALSE)</f>
        <v>1149</v>
      </c>
      <c r="Q1781">
        <f>IF(COUNTIF($A$2:A1781, A1781)=2, 1, 0)</f>
        <v>0</v>
      </c>
      <c r="R1781">
        <f>IF(ISNA(MATCH(C1781, Customers!$A:$A, 0)), 1, 0)</f>
        <v>0</v>
      </c>
      <c r="S1781" s="94" t="b">
        <f>VLOOKUP(D1781, Products!A:F, 6, FALSE)</f>
        <v>1</v>
      </c>
    </row>
    <row r="1782" spans="1:19">
      <c r="A1782" s="102" t="s">
        <v>2279</v>
      </c>
      <c r="B1782" s="2">
        <v>45504</v>
      </c>
      <c r="C1782" s="1" t="s">
        <v>1499</v>
      </c>
      <c r="D1782" s="1" t="s">
        <v>502</v>
      </c>
      <c r="E1782" s="1" t="s">
        <v>192</v>
      </c>
      <c r="F1782" s="83">
        <v>1</v>
      </c>
      <c r="G1782" s="92">
        <v>1090</v>
      </c>
      <c r="H1782" s="3">
        <v>21.6</v>
      </c>
      <c r="I1782" s="3">
        <v>854.56</v>
      </c>
      <c r="J1782" s="1" t="s">
        <v>140</v>
      </c>
      <c r="K1782" s="1" t="s">
        <v>94</v>
      </c>
      <c r="L1782" t="str">
        <f>VLOOKUP(D1782, Products!A:C, 3, FALSE)</f>
        <v>Home</v>
      </c>
      <c r="M1782" t="str">
        <f>VLOOKUP(C1782, Customers!A:E, 5, FALSE)</f>
        <v>Retail</v>
      </c>
      <c r="N1782">
        <f>VLOOKUP(C1782, Customers!A:E, 3, FALSE)</f>
        <v>26</v>
      </c>
      <c r="O1782" s="93" t="str">
        <f>VLOOKUP(E1782, Sales_Reps!A:C, 3, FALSE)</f>
        <v>East</v>
      </c>
      <c r="P1782">
        <f>VLOOKUP(D1782, Products!A:E, 4, FALSE)</f>
        <v>464</v>
      </c>
      <c r="Q1782">
        <f>IF(COUNTIF($A$2:A1782, A1782)=2, 1, 0)</f>
        <v>0</v>
      </c>
      <c r="R1782">
        <f>IF(ISNA(MATCH(C1782, Customers!$A:$A, 0)), 1, 0)</f>
        <v>0</v>
      </c>
      <c r="S1782" s="94" t="b">
        <f>VLOOKUP(D1782, Products!A:F, 6, FALSE)</f>
        <v>1</v>
      </c>
    </row>
    <row r="1783" spans="1:19">
      <c r="A1783" s="102" t="s">
        <v>2280</v>
      </c>
      <c r="B1783" s="2">
        <v>45606</v>
      </c>
      <c r="C1783" s="1" t="s">
        <v>1350</v>
      </c>
      <c r="D1783" s="1" t="s">
        <v>179</v>
      </c>
      <c r="E1783" s="1" t="s">
        <v>297</v>
      </c>
      <c r="F1783" s="83">
        <v>10</v>
      </c>
      <c r="G1783" s="92">
        <v>3350</v>
      </c>
      <c r="H1783" s="3">
        <v>12.1</v>
      </c>
      <c r="I1783" s="3">
        <v>29446.5</v>
      </c>
      <c r="J1783" s="1" t="s">
        <v>87</v>
      </c>
      <c r="K1783" s="1" t="s">
        <v>112</v>
      </c>
      <c r="L1783" t="str">
        <f>VLOOKUP(D1783, Products!A:C, 3, FALSE)</f>
        <v>Beauty</v>
      </c>
      <c r="M1783" t="str">
        <f>VLOOKUP(C1783, Customers!A:E, 5, FALSE)</f>
        <v>Retail</v>
      </c>
      <c r="N1783">
        <f>VLOOKUP(C1783, Customers!A:E, 3, FALSE)</f>
        <v>38</v>
      </c>
      <c r="O1783" s="93" t="str">
        <f>VLOOKUP(E1783, Sales_Reps!A:C, 3, FALSE)</f>
        <v>North</v>
      </c>
      <c r="P1783">
        <f>VLOOKUP(D1783, Products!A:E, 4, FALSE)</f>
        <v>1728</v>
      </c>
      <c r="Q1783">
        <f>IF(COUNTIF($A$2:A1783, A1783)=2, 1, 0)</f>
        <v>0</v>
      </c>
      <c r="R1783">
        <f>IF(ISNA(MATCH(C1783, Customers!$A:$A, 0)), 1, 0)</f>
        <v>0</v>
      </c>
      <c r="S1783" s="94" t="b">
        <f>VLOOKUP(D1783, Products!A:F, 6, FALSE)</f>
        <v>1</v>
      </c>
    </row>
    <row r="1784" spans="1:19">
      <c r="A1784" s="102" t="s">
        <v>2281</v>
      </c>
      <c r="B1784" s="2">
        <v>45562</v>
      </c>
      <c r="C1784" s="1" t="s">
        <v>585</v>
      </c>
      <c r="D1784" s="1" t="s">
        <v>241</v>
      </c>
      <c r="E1784" s="1" t="s">
        <v>188</v>
      </c>
      <c r="F1784" s="83">
        <v>4</v>
      </c>
      <c r="G1784" s="92">
        <v>6080</v>
      </c>
      <c r="H1784" s="3">
        <v>26.7</v>
      </c>
      <c r="I1784" s="3">
        <v>17826.560000000001</v>
      </c>
      <c r="J1784" s="1" t="s">
        <v>140</v>
      </c>
      <c r="K1784" s="1" t="s">
        <v>94</v>
      </c>
      <c r="L1784" t="str">
        <f>VLOOKUP(D1784, Products!A:C, 3, FALSE)</f>
        <v>Beauty</v>
      </c>
      <c r="M1784" t="str">
        <f>VLOOKUP(C1784, Customers!A:E, 5, FALSE)</f>
        <v>Retail</v>
      </c>
      <c r="N1784">
        <f>VLOOKUP(C1784, Customers!A:E, 3, FALSE)</f>
        <v>26</v>
      </c>
      <c r="O1784" s="93" t="str">
        <f>VLOOKUP(E1784, Sales_Reps!A:C, 3, FALSE)</f>
        <v>South</v>
      </c>
      <c r="P1784">
        <f>VLOOKUP(D1784, Products!A:E, 4, FALSE)</f>
        <v>2617</v>
      </c>
      <c r="Q1784">
        <f>IF(COUNTIF($A$2:A1784, A1784)=2, 1, 0)</f>
        <v>0</v>
      </c>
      <c r="R1784">
        <f>IF(ISNA(MATCH(C1784, Customers!$A:$A, 0)), 1, 0)</f>
        <v>0</v>
      </c>
      <c r="S1784" s="94" t="b">
        <f>VLOOKUP(D1784, Products!A:F, 6, FALSE)</f>
        <v>1</v>
      </c>
    </row>
    <row r="1785" spans="1:19">
      <c r="A1785" s="102" t="s">
        <v>2282</v>
      </c>
      <c r="B1785" s="2">
        <v>45372</v>
      </c>
      <c r="C1785" s="1" t="s">
        <v>697</v>
      </c>
      <c r="D1785" s="1" t="s">
        <v>380</v>
      </c>
      <c r="E1785" s="1" t="s">
        <v>297</v>
      </c>
      <c r="F1785" s="83">
        <v>3</v>
      </c>
      <c r="G1785" s="92">
        <v>960</v>
      </c>
      <c r="H1785" s="3">
        <v>13.2</v>
      </c>
      <c r="I1785" s="3">
        <v>2499.84</v>
      </c>
      <c r="J1785" s="1" t="s">
        <v>87</v>
      </c>
      <c r="K1785" s="1" t="s">
        <v>133</v>
      </c>
      <c r="L1785" t="str">
        <f>VLOOKUP(D1785, Products!A:C, 3, FALSE)</f>
        <v>Beauty</v>
      </c>
      <c r="M1785" t="str">
        <f>VLOOKUP(C1785, Customers!A:E, 5, FALSE)</f>
        <v>Retail</v>
      </c>
      <c r="N1785">
        <f>VLOOKUP(C1785, Customers!A:E, 3, FALSE)</f>
        <v>65</v>
      </c>
      <c r="O1785" s="93" t="str">
        <f>VLOOKUP(E1785, Sales_Reps!A:C, 3, FALSE)</f>
        <v>North</v>
      </c>
      <c r="P1785">
        <f>VLOOKUP(D1785, Products!A:E, 4, FALSE)</f>
        <v>675</v>
      </c>
      <c r="Q1785">
        <f>IF(COUNTIF($A$2:A1785, A1785)=2, 1, 0)</f>
        <v>0</v>
      </c>
      <c r="R1785">
        <f>IF(ISNA(MATCH(C1785, Customers!$A:$A, 0)), 1, 0)</f>
        <v>0</v>
      </c>
      <c r="S1785" s="94" t="b">
        <f>VLOOKUP(D1785, Products!A:F, 6, FALSE)</f>
        <v>1</v>
      </c>
    </row>
    <row r="1786" spans="1:19">
      <c r="A1786" s="102" t="s">
        <v>2283</v>
      </c>
      <c r="B1786" s="2">
        <v>45610</v>
      </c>
      <c r="C1786" s="1" t="s">
        <v>563</v>
      </c>
      <c r="D1786" s="1" t="s">
        <v>102</v>
      </c>
      <c r="E1786" s="1" t="s">
        <v>86</v>
      </c>
      <c r="F1786" s="83">
        <v>9</v>
      </c>
      <c r="G1786" s="92">
        <v>3660</v>
      </c>
      <c r="H1786" s="3">
        <v>9.3000000000000007</v>
      </c>
      <c r="I1786" s="3">
        <v>29876.58</v>
      </c>
      <c r="J1786" s="1" t="s">
        <v>140</v>
      </c>
      <c r="K1786" s="1" t="s">
        <v>88</v>
      </c>
      <c r="L1786" t="str">
        <f>VLOOKUP(D1786, Products!A:C, 3, FALSE)</f>
        <v>Grocery</v>
      </c>
      <c r="M1786" t="str">
        <f>VLOOKUP(C1786, Customers!A:E, 5, FALSE)</f>
        <v>SMB</v>
      </c>
      <c r="N1786">
        <f>VLOOKUP(C1786, Customers!A:E, 3, FALSE)</f>
        <v>24</v>
      </c>
      <c r="O1786" s="93" t="str">
        <f>VLOOKUP(E1786, Sales_Reps!A:C, 3, FALSE)</f>
        <v>North</v>
      </c>
      <c r="P1786">
        <f>VLOOKUP(D1786, Products!A:E, 4, FALSE)</f>
        <v>2214</v>
      </c>
      <c r="Q1786">
        <f>IF(COUNTIF($A$2:A1786, A1786)=2, 1, 0)</f>
        <v>0</v>
      </c>
      <c r="R1786">
        <f>IF(ISNA(MATCH(C1786, Customers!$A:$A, 0)), 1, 0)</f>
        <v>0</v>
      </c>
      <c r="S1786" s="94" t="b">
        <f>VLOOKUP(D1786, Products!A:F, 6, FALSE)</f>
        <v>0</v>
      </c>
    </row>
    <row r="1787" spans="1:19">
      <c r="A1787" s="102" t="s">
        <v>2284</v>
      </c>
      <c r="B1787" s="2">
        <v>45388</v>
      </c>
      <c r="C1787" s="1" t="s">
        <v>405</v>
      </c>
      <c r="D1787" s="1" t="s">
        <v>157</v>
      </c>
      <c r="E1787" s="1" t="s">
        <v>121</v>
      </c>
      <c r="F1787" s="83">
        <v>6</v>
      </c>
      <c r="G1787" s="92">
        <v>3450</v>
      </c>
      <c r="H1787" s="3">
        <v>8.1999999999999993</v>
      </c>
      <c r="I1787" s="3">
        <v>19002.599999999999</v>
      </c>
      <c r="J1787" s="1" t="s">
        <v>87</v>
      </c>
      <c r="K1787" s="1" t="s">
        <v>94</v>
      </c>
      <c r="L1787" t="str">
        <f>VLOOKUP(D1787, Products!A:C, 3, FALSE)</f>
        <v>Beauty</v>
      </c>
      <c r="M1787" t="str">
        <f>VLOOKUP(C1787, Customers!A:E, 5, FALSE)</f>
        <v>Corporate</v>
      </c>
      <c r="N1787">
        <f>VLOOKUP(C1787, Customers!A:E, 3, FALSE)</f>
        <v>24</v>
      </c>
      <c r="O1787" s="93" t="str">
        <f>VLOOKUP(E1787, Sales_Reps!A:C, 3, FALSE)</f>
        <v>East</v>
      </c>
      <c r="P1787">
        <f>VLOOKUP(D1787, Products!A:E, 4, FALSE)</f>
        <v>2420</v>
      </c>
      <c r="Q1787">
        <f>IF(COUNTIF($A$2:A1787, A1787)=2, 1, 0)</f>
        <v>0</v>
      </c>
      <c r="R1787">
        <f>IF(ISNA(MATCH(C1787, Customers!$A:$A, 0)), 1, 0)</f>
        <v>0</v>
      </c>
      <c r="S1787" s="94" t="b">
        <f>VLOOKUP(D1787, Products!A:F, 6, FALSE)</f>
        <v>1</v>
      </c>
    </row>
    <row r="1788" spans="1:19">
      <c r="A1788" s="102" t="s">
        <v>2285</v>
      </c>
      <c r="B1788" s="2">
        <v>45421</v>
      </c>
      <c r="C1788" s="1" t="s">
        <v>673</v>
      </c>
      <c r="D1788" s="1" t="s">
        <v>270</v>
      </c>
      <c r="E1788" s="1" t="s">
        <v>192</v>
      </c>
      <c r="F1788" s="83">
        <v>7</v>
      </c>
      <c r="G1788" s="92">
        <v>4610</v>
      </c>
      <c r="H1788" s="3">
        <v>10.4</v>
      </c>
      <c r="I1788" s="3">
        <v>28913.919999999998</v>
      </c>
      <c r="J1788" s="1" t="s">
        <v>87</v>
      </c>
      <c r="K1788" s="1" t="s">
        <v>112</v>
      </c>
      <c r="L1788" t="str">
        <f>VLOOKUP(D1788, Products!A:C, 3, FALSE)</f>
        <v>Home</v>
      </c>
      <c r="M1788" t="str">
        <f>VLOOKUP(C1788, Customers!A:E, 5, FALSE)</f>
        <v>Retail</v>
      </c>
      <c r="N1788">
        <f>VLOOKUP(C1788, Customers!A:E, 3, FALSE)</f>
        <v>35</v>
      </c>
      <c r="O1788" s="93" t="str">
        <f>VLOOKUP(E1788, Sales_Reps!A:C, 3, FALSE)</f>
        <v>East</v>
      </c>
      <c r="P1788">
        <f>VLOOKUP(D1788, Products!A:E, 4, FALSE)</f>
        <v>1850</v>
      </c>
      <c r="Q1788">
        <f>IF(COUNTIF($A$2:A1788, A1788)=2, 1, 0)</f>
        <v>0</v>
      </c>
      <c r="R1788">
        <f>IF(ISNA(MATCH(C1788, Customers!$A:$A, 0)), 1, 0)</f>
        <v>0</v>
      </c>
      <c r="S1788" s="94" t="b">
        <f>VLOOKUP(D1788, Products!A:F, 6, FALSE)</f>
        <v>1</v>
      </c>
    </row>
    <row r="1789" spans="1:19">
      <c r="A1789" s="102" t="s">
        <v>2286</v>
      </c>
      <c r="B1789" s="2">
        <v>45529</v>
      </c>
      <c r="C1789" s="1" t="s">
        <v>463</v>
      </c>
      <c r="D1789" s="1" t="s">
        <v>115</v>
      </c>
      <c r="E1789" s="1" t="s">
        <v>204</v>
      </c>
      <c r="F1789" s="83">
        <v>2</v>
      </c>
      <c r="G1789" s="92">
        <v>960</v>
      </c>
      <c r="H1789" s="3">
        <v>16.5</v>
      </c>
      <c r="I1789" s="3">
        <v>1603.2</v>
      </c>
      <c r="J1789" s="1" t="s">
        <v>87</v>
      </c>
      <c r="K1789" s="1" t="s">
        <v>117</v>
      </c>
      <c r="L1789" t="str">
        <f>VLOOKUP(D1789, Products!A:C, 3, FALSE)</f>
        <v>Sports</v>
      </c>
      <c r="M1789" t="str">
        <f>VLOOKUP(C1789, Customers!A:E, 5, FALSE)</f>
        <v>Retail</v>
      </c>
      <c r="N1789">
        <f>VLOOKUP(C1789, Customers!A:E, 3, FALSE)</f>
        <v>55</v>
      </c>
      <c r="O1789" s="93" t="str">
        <f>VLOOKUP(E1789, Sales_Reps!A:C, 3, FALSE)</f>
        <v>South</v>
      </c>
      <c r="P1789">
        <f>VLOOKUP(D1789, Products!A:E, 4, FALSE)</f>
        <v>705</v>
      </c>
      <c r="Q1789">
        <f>IF(COUNTIF($A$2:A1789, A1789)=2, 1, 0)</f>
        <v>0</v>
      </c>
      <c r="R1789">
        <f>IF(ISNA(MATCH(C1789, Customers!$A:$A, 0)), 1, 0)</f>
        <v>0</v>
      </c>
      <c r="S1789" s="94" t="b">
        <f>VLOOKUP(D1789, Products!A:F, 6, FALSE)</f>
        <v>1</v>
      </c>
    </row>
    <row r="1790" spans="1:19">
      <c r="A1790" s="102" t="s">
        <v>2287</v>
      </c>
      <c r="B1790" s="2">
        <v>45553</v>
      </c>
      <c r="C1790" s="1" t="s">
        <v>422</v>
      </c>
      <c r="D1790" s="1" t="s">
        <v>110</v>
      </c>
      <c r="E1790" s="1" t="s">
        <v>154</v>
      </c>
      <c r="F1790" s="83">
        <v>7</v>
      </c>
      <c r="G1790" s="92">
        <v>370</v>
      </c>
      <c r="H1790" s="3">
        <v>1.4</v>
      </c>
      <c r="I1790" s="3">
        <v>2553.7399999999998</v>
      </c>
      <c r="J1790" s="1" t="s">
        <v>144</v>
      </c>
      <c r="K1790" s="1" t="s">
        <v>94</v>
      </c>
      <c r="L1790" t="str">
        <f>VLOOKUP(D1790, Products!A:C, 3, FALSE)</f>
        <v>Home</v>
      </c>
      <c r="M1790" t="str">
        <f>VLOOKUP(C1790, Customers!A:E, 5, FALSE)</f>
        <v>SMB</v>
      </c>
      <c r="N1790">
        <f>VLOOKUP(C1790, Customers!A:E, 3, FALSE)</f>
        <v>64</v>
      </c>
      <c r="O1790" s="93" t="str">
        <f>VLOOKUP(E1790, Sales_Reps!A:C, 3, FALSE)</f>
        <v>East</v>
      </c>
      <c r="P1790">
        <f>VLOOKUP(D1790, Products!A:E, 4, FALSE)</f>
        <v>288</v>
      </c>
      <c r="Q1790">
        <f>IF(COUNTIF($A$2:A1790, A1790)=2, 1, 0)</f>
        <v>0</v>
      </c>
      <c r="R1790">
        <f>IF(ISNA(MATCH(C1790, Customers!$A:$A, 0)), 1, 0)</f>
        <v>0</v>
      </c>
      <c r="S1790" s="94" t="b">
        <f>VLOOKUP(D1790, Products!A:F, 6, FALSE)</f>
        <v>1</v>
      </c>
    </row>
    <row r="1791" spans="1:19">
      <c r="A1791" s="102" t="s">
        <v>2288</v>
      </c>
      <c r="B1791" s="2">
        <v>45535</v>
      </c>
      <c r="C1791" s="1" t="s">
        <v>621</v>
      </c>
      <c r="D1791" s="1" t="s">
        <v>131</v>
      </c>
      <c r="E1791" s="1" t="s">
        <v>139</v>
      </c>
      <c r="F1791" s="83">
        <v>3</v>
      </c>
      <c r="G1791" s="92">
        <v>2270</v>
      </c>
      <c r="H1791" s="3">
        <v>12.6</v>
      </c>
      <c r="I1791" s="3">
        <v>5951.94</v>
      </c>
      <c r="J1791" s="1" t="s">
        <v>87</v>
      </c>
      <c r="K1791" s="1" t="s">
        <v>94</v>
      </c>
      <c r="L1791" t="str">
        <f>VLOOKUP(D1791, Products!A:C, 3, FALSE)</f>
        <v>Grocery</v>
      </c>
      <c r="M1791" t="str">
        <f>VLOOKUP(C1791, Customers!A:E, 5, FALSE)</f>
        <v>Corporate</v>
      </c>
      <c r="N1791">
        <f>VLOOKUP(C1791, Customers!A:E, 3, FALSE)</f>
        <v>22</v>
      </c>
      <c r="O1791" s="93" t="str">
        <f>VLOOKUP(E1791, Sales_Reps!A:C, 3, FALSE)</f>
        <v>North</v>
      </c>
      <c r="P1791">
        <f>VLOOKUP(D1791, Products!A:E, 4, FALSE)</f>
        <v>1203</v>
      </c>
      <c r="Q1791">
        <f>IF(COUNTIF($A$2:A1791, A1791)=2, 1, 0)</f>
        <v>0</v>
      </c>
      <c r="R1791">
        <f>IF(ISNA(MATCH(C1791, Customers!$A:$A, 0)), 1, 0)</f>
        <v>0</v>
      </c>
      <c r="S1791" s="94" t="b">
        <f>VLOOKUP(D1791, Products!A:F, 6, FALSE)</f>
        <v>1</v>
      </c>
    </row>
    <row r="1792" spans="1:19">
      <c r="A1792" s="102" t="s">
        <v>631</v>
      </c>
      <c r="B1792" s="2">
        <v>45301</v>
      </c>
      <c r="C1792" s="1" t="s">
        <v>1358</v>
      </c>
      <c r="D1792" s="1" t="s">
        <v>143</v>
      </c>
      <c r="E1792" s="1" t="s">
        <v>98</v>
      </c>
      <c r="F1792" s="83">
        <v>1</v>
      </c>
      <c r="G1792" s="92">
        <v>3250</v>
      </c>
      <c r="H1792" s="3">
        <v>17.8</v>
      </c>
      <c r="I1792" s="3">
        <v>2671.5</v>
      </c>
      <c r="J1792" s="1" t="s">
        <v>87</v>
      </c>
      <c r="K1792" s="1" t="s">
        <v>112</v>
      </c>
      <c r="L1792" t="str">
        <f>VLOOKUP(D1792, Products!A:C, 3, FALSE)</f>
        <v>Home</v>
      </c>
      <c r="M1792" t="str">
        <f>VLOOKUP(C1792, Customers!A:E, 5, FALSE)</f>
        <v>Corporate</v>
      </c>
      <c r="N1792">
        <f>VLOOKUP(C1792, Customers!A:E, 3, FALSE)</f>
        <v>42</v>
      </c>
      <c r="O1792" s="93" t="str">
        <f>VLOOKUP(E1792, Sales_Reps!A:C, 3, FALSE)</f>
        <v>South</v>
      </c>
      <c r="P1792">
        <f>VLOOKUP(D1792, Products!A:E, 4, FALSE)</f>
        <v>1556</v>
      </c>
      <c r="Q1792">
        <f>IF(COUNTIF($A$2:A1792, A1792)=2, 1, 0)</f>
        <v>1</v>
      </c>
      <c r="R1792">
        <f>IF(ISNA(MATCH(C1792, Customers!$A:$A, 0)), 1, 0)</f>
        <v>0</v>
      </c>
      <c r="S1792" s="94" t="b">
        <f>VLOOKUP(D1792, Products!A:F, 6, FALSE)</f>
        <v>1</v>
      </c>
    </row>
    <row r="1793" spans="1:19">
      <c r="A1793" s="102" t="s">
        <v>2289</v>
      </c>
      <c r="B1793" s="2">
        <v>45404</v>
      </c>
      <c r="C1793" s="1" t="s">
        <v>1875</v>
      </c>
      <c r="D1793" s="1" t="s">
        <v>292</v>
      </c>
      <c r="E1793" s="1" t="s">
        <v>303</v>
      </c>
      <c r="F1793" s="83">
        <v>5</v>
      </c>
      <c r="G1793" s="92">
        <v>620</v>
      </c>
      <c r="H1793" s="3">
        <v>19.399999999999999</v>
      </c>
      <c r="I1793" s="3">
        <v>2498.6</v>
      </c>
      <c r="J1793" s="1" t="s">
        <v>93</v>
      </c>
      <c r="K1793" s="1" t="s">
        <v>94</v>
      </c>
      <c r="L1793" t="str">
        <f>VLOOKUP(D1793, Products!A:C, 3, FALSE)</f>
        <v>Apparel</v>
      </c>
      <c r="M1793" t="str">
        <f>VLOOKUP(C1793, Customers!A:E, 5, FALSE)</f>
        <v>Corporate</v>
      </c>
      <c r="N1793">
        <f>VLOOKUP(C1793, Customers!A:E, 3, FALSE)</f>
        <v>54</v>
      </c>
      <c r="O1793" s="93" t="str">
        <f>VLOOKUP(E1793, Sales_Reps!A:C, 3, FALSE)</f>
        <v>East</v>
      </c>
      <c r="P1793">
        <f>VLOOKUP(D1793, Products!A:E, 4, FALSE)</f>
        <v>396</v>
      </c>
      <c r="Q1793">
        <f>IF(COUNTIF($A$2:A1793, A1793)=2, 1, 0)</f>
        <v>0</v>
      </c>
      <c r="R1793">
        <f>IF(ISNA(MATCH(C1793, Customers!$A:$A, 0)), 1, 0)</f>
        <v>0</v>
      </c>
      <c r="S1793" s="94" t="b">
        <f>VLOOKUP(D1793, Products!A:F, 6, FALSE)</f>
        <v>1</v>
      </c>
    </row>
    <row r="1794" spans="1:19">
      <c r="A1794" s="102" t="s">
        <v>2290</v>
      </c>
      <c r="B1794" s="2">
        <v>45600</v>
      </c>
      <c r="C1794" s="1" t="s">
        <v>390</v>
      </c>
      <c r="D1794" s="1" t="s">
        <v>279</v>
      </c>
      <c r="E1794" s="1" t="s">
        <v>92</v>
      </c>
      <c r="F1794" s="83">
        <v>6</v>
      </c>
      <c r="G1794" s="92">
        <v>2660</v>
      </c>
      <c r="H1794" s="3">
        <v>14.9</v>
      </c>
      <c r="I1794" s="3">
        <v>13581.96</v>
      </c>
      <c r="J1794" s="1" t="s">
        <v>87</v>
      </c>
      <c r="K1794" s="1" t="s">
        <v>88</v>
      </c>
      <c r="L1794" t="str">
        <f>VLOOKUP(D1794, Products!A:C, 3, FALSE)</f>
        <v>Electronics</v>
      </c>
      <c r="M1794" t="str">
        <f>VLOOKUP(C1794, Customers!A:E, 5, FALSE)</f>
        <v>SMB</v>
      </c>
      <c r="N1794">
        <f>VLOOKUP(C1794, Customers!A:E, 3, FALSE)</f>
        <v>54</v>
      </c>
      <c r="O1794" s="93" t="str">
        <f>VLOOKUP(E1794, Sales_Reps!A:C, 3, FALSE)</f>
        <v>North</v>
      </c>
      <c r="P1794">
        <f>VLOOKUP(D1794, Products!A:E, 4, FALSE)</f>
        <v>1259</v>
      </c>
      <c r="Q1794">
        <f>IF(COUNTIF($A$2:A1794, A1794)=2, 1, 0)</f>
        <v>0</v>
      </c>
      <c r="R1794">
        <f>IF(ISNA(MATCH(C1794, Customers!$A:$A, 0)), 1, 0)</f>
        <v>0</v>
      </c>
      <c r="S1794" s="94" t="b">
        <f>VLOOKUP(D1794, Products!A:F, 6, FALSE)</f>
        <v>0</v>
      </c>
    </row>
    <row r="1795" spans="1:19">
      <c r="A1795" s="102" t="s">
        <v>2291</v>
      </c>
      <c r="B1795" s="2">
        <v>45526</v>
      </c>
      <c r="C1795" s="1" t="s">
        <v>870</v>
      </c>
      <c r="D1795" s="1" t="s">
        <v>85</v>
      </c>
      <c r="E1795" s="1" t="s">
        <v>215</v>
      </c>
      <c r="F1795" s="83">
        <v>5</v>
      </c>
      <c r="G1795" s="92">
        <v>3620</v>
      </c>
      <c r="H1795" s="3">
        <v>21</v>
      </c>
      <c r="I1795" s="3">
        <v>14299</v>
      </c>
      <c r="J1795" s="1" t="s">
        <v>140</v>
      </c>
      <c r="K1795" s="1" t="s">
        <v>117</v>
      </c>
      <c r="L1795" t="str">
        <f>VLOOKUP(D1795, Products!A:C, 3, FALSE)</f>
        <v>Apparel</v>
      </c>
      <c r="M1795" t="str">
        <f>VLOOKUP(C1795, Customers!A:E, 5, FALSE)</f>
        <v>Retail</v>
      </c>
      <c r="N1795">
        <f>VLOOKUP(C1795, Customers!A:E, 3, FALSE)</f>
        <v>47</v>
      </c>
      <c r="O1795" s="93" t="str">
        <f>VLOOKUP(E1795, Sales_Reps!A:C, 3, FALSE)</f>
        <v>North</v>
      </c>
      <c r="P1795">
        <f>VLOOKUP(D1795, Products!A:E, 4, FALSE)</f>
        <v>2509</v>
      </c>
      <c r="Q1795">
        <f>IF(COUNTIF($A$2:A1795, A1795)=2, 1, 0)</f>
        <v>0</v>
      </c>
      <c r="R1795">
        <f>IF(ISNA(MATCH(C1795, Customers!$A:$A, 0)), 1, 0)</f>
        <v>0</v>
      </c>
      <c r="S1795" s="94" t="b">
        <f>VLOOKUP(D1795, Products!A:F, 6, FALSE)</f>
        <v>1</v>
      </c>
    </row>
    <row r="1796" spans="1:19">
      <c r="A1796" s="102" t="s">
        <v>2292</v>
      </c>
      <c r="B1796" s="2">
        <v>45580</v>
      </c>
      <c r="C1796" s="1" t="s">
        <v>1664</v>
      </c>
      <c r="D1796" s="1" t="s">
        <v>237</v>
      </c>
      <c r="E1796" s="1" t="s">
        <v>158</v>
      </c>
      <c r="F1796" s="83">
        <v>1</v>
      </c>
      <c r="G1796" s="92">
        <v>3640</v>
      </c>
      <c r="H1796" s="3">
        <v>15.8</v>
      </c>
      <c r="I1796" s="3">
        <v>3064.88</v>
      </c>
      <c r="J1796" s="1" t="s">
        <v>87</v>
      </c>
      <c r="K1796" s="1" t="s">
        <v>117</v>
      </c>
      <c r="L1796" t="str">
        <f>VLOOKUP(D1796, Products!A:C, 3, FALSE)</f>
        <v>Apparel</v>
      </c>
      <c r="M1796" t="str">
        <f>VLOOKUP(C1796, Customers!A:E, 5, FALSE)</f>
        <v>Retail</v>
      </c>
      <c r="N1796">
        <f>VLOOKUP(C1796, Customers!A:E, 3, FALSE)</f>
        <v>48</v>
      </c>
      <c r="O1796" s="93" t="str">
        <f>VLOOKUP(E1796, Sales_Reps!A:C, 3, FALSE)</f>
        <v>East</v>
      </c>
      <c r="P1796">
        <f>VLOOKUP(D1796, Products!A:E, 4, FALSE)</f>
        <v>2611</v>
      </c>
      <c r="Q1796">
        <f>IF(COUNTIF($A$2:A1796, A1796)=2, 1, 0)</f>
        <v>0</v>
      </c>
      <c r="R1796">
        <f>IF(ISNA(MATCH(C1796, Customers!$A:$A, 0)), 1, 0)</f>
        <v>0</v>
      </c>
      <c r="S1796" s="94" t="b">
        <f>VLOOKUP(D1796, Products!A:F, 6, FALSE)</f>
        <v>1</v>
      </c>
    </row>
    <row r="1797" spans="1:19">
      <c r="A1797" s="102" t="s">
        <v>2293</v>
      </c>
      <c r="B1797" s="2">
        <v>45444</v>
      </c>
      <c r="C1797" s="1" t="s">
        <v>762</v>
      </c>
      <c r="D1797" s="1" t="s">
        <v>267</v>
      </c>
      <c r="E1797" s="1" t="s">
        <v>86</v>
      </c>
      <c r="F1797" s="83">
        <v>1</v>
      </c>
      <c r="G1797" s="92">
        <v>1220</v>
      </c>
      <c r="H1797" s="3">
        <v>0.6</v>
      </c>
      <c r="I1797" s="3">
        <v>1212.68</v>
      </c>
      <c r="J1797" s="1" t="s">
        <v>144</v>
      </c>
      <c r="K1797" s="1" t="s">
        <v>133</v>
      </c>
      <c r="L1797" t="str">
        <f>VLOOKUP(D1797, Products!A:C, 3, FALSE)</f>
        <v>Electronics</v>
      </c>
      <c r="M1797" t="str">
        <f>VLOOKUP(C1797, Customers!A:E, 5, FALSE)</f>
        <v>Retail</v>
      </c>
      <c r="N1797">
        <f>VLOOKUP(C1797, Customers!A:E, 3, FALSE)</f>
        <v>52</v>
      </c>
      <c r="O1797" s="93" t="str">
        <f>VLOOKUP(E1797, Sales_Reps!A:C, 3, FALSE)</f>
        <v>North</v>
      </c>
      <c r="P1797">
        <f>VLOOKUP(D1797, Products!A:E, 4, FALSE)</f>
        <v>517</v>
      </c>
      <c r="Q1797">
        <f>IF(COUNTIF($A$2:A1797, A1797)=2, 1, 0)</f>
        <v>0</v>
      </c>
      <c r="R1797">
        <f>IF(ISNA(MATCH(C1797, Customers!$A:$A, 0)), 1, 0)</f>
        <v>0</v>
      </c>
      <c r="S1797" s="94" t="b">
        <f>VLOOKUP(D1797, Products!A:F, 6, FALSE)</f>
        <v>1</v>
      </c>
    </row>
    <row r="1798" spans="1:19">
      <c r="A1798" s="102" t="s">
        <v>2294</v>
      </c>
      <c r="B1798" s="2">
        <v>45350</v>
      </c>
      <c r="C1798" s="1" t="s">
        <v>153</v>
      </c>
      <c r="D1798" s="1" t="s">
        <v>167</v>
      </c>
      <c r="E1798" s="1" t="s">
        <v>297</v>
      </c>
      <c r="F1798" s="83">
        <v>10</v>
      </c>
      <c r="G1798" s="92">
        <v>2480</v>
      </c>
      <c r="H1798" s="3">
        <v>0.6</v>
      </c>
      <c r="I1798" s="3">
        <v>24651.200000000001</v>
      </c>
      <c r="J1798" s="1" t="s">
        <v>87</v>
      </c>
      <c r="K1798" s="1" t="s">
        <v>117</v>
      </c>
      <c r="L1798" t="str">
        <f>VLOOKUP(D1798, Products!A:C, 3, FALSE)</f>
        <v>Apparel</v>
      </c>
      <c r="M1798" t="str">
        <f>VLOOKUP(C1798, Customers!A:E, 5, FALSE)</f>
        <v>SMB</v>
      </c>
      <c r="N1798">
        <f>VLOOKUP(C1798, Customers!A:E, 3, FALSE)</f>
        <v>46</v>
      </c>
      <c r="O1798" s="93" t="str">
        <f>VLOOKUP(E1798, Sales_Reps!A:C, 3, FALSE)</f>
        <v>North</v>
      </c>
      <c r="P1798">
        <f>VLOOKUP(D1798, Products!A:E, 4, FALSE)</f>
        <v>1173</v>
      </c>
      <c r="Q1798">
        <f>IF(COUNTIF($A$2:A1798, A1798)=2, 1, 0)</f>
        <v>0</v>
      </c>
      <c r="R1798">
        <f>IF(ISNA(MATCH(C1798, Customers!$A:$A, 0)), 1, 0)</f>
        <v>0</v>
      </c>
      <c r="S1798" s="94" t="b">
        <f>VLOOKUP(D1798, Products!A:F, 6, FALSE)</f>
        <v>1</v>
      </c>
    </row>
    <row r="1799" spans="1:19">
      <c r="A1799" s="102" t="s">
        <v>2295</v>
      </c>
      <c r="B1799" s="2">
        <v>45634</v>
      </c>
      <c r="C1799" s="1" t="s">
        <v>602</v>
      </c>
      <c r="D1799" s="1" t="s">
        <v>176</v>
      </c>
      <c r="E1799" s="1" t="s">
        <v>343</v>
      </c>
      <c r="F1799" s="83">
        <v>9</v>
      </c>
      <c r="G1799" s="92">
        <v>1650</v>
      </c>
      <c r="H1799" s="3">
        <v>26.8</v>
      </c>
      <c r="I1799" s="3">
        <v>10870.2</v>
      </c>
      <c r="J1799" s="1" t="s">
        <v>87</v>
      </c>
      <c r="K1799" s="1" t="s">
        <v>94</v>
      </c>
      <c r="L1799" t="str">
        <f>VLOOKUP(D1799, Products!A:C, 3, FALSE)</f>
        <v>Beauty</v>
      </c>
      <c r="M1799" t="str">
        <f>VLOOKUP(C1799, Customers!A:E, 5, FALSE)</f>
        <v>Retail</v>
      </c>
      <c r="N1799">
        <f>VLOOKUP(C1799, Customers!A:E, 3, FALSE)</f>
        <v>61</v>
      </c>
      <c r="O1799" s="93" t="str">
        <f>VLOOKUP(E1799, Sales_Reps!A:C, 3, FALSE)</f>
        <v>West</v>
      </c>
      <c r="P1799">
        <f>VLOOKUP(D1799, Products!A:E, 4, FALSE)</f>
        <v>1222</v>
      </c>
      <c r="Q1799">
        <f>IF(COUNTIF($A$2:A1799, A1799)=2, 1, 0)</f>
        <v>0</v>
      </c>
      <c r="R1799">
        <f>IF(ISNA(MATCH(C1799, Customers!$A:$A, 0)), 1, 0)</f>
        <v>0</v>
      </c>
      <c r="S1799" s="94" t="b">
        <f>VLOOKUP(D1799, Products!A:F, 6, FALSE)</f>
        <v>1</v>
      </c>
    </row>
    <row r="1800" spans="1:19">
      <c r="A1800" s="102" t="s">
        <v>2296</v>
      </c>
      <c r="B1800" s="2">
        <v>45560</v>
      </c>
      <c r="C1800" s="1" t="s">
        <v>717</v>
      </c>
      <c r="D1800" s="1" t="s">
        <v>276</v>
      </c>
      <c r="E1800" s="1" t="s">
        <v>107</v>
      </c>
      <c r="F1800" s="83">
        <v>10</v>
      </c>
      <c r="G1800" s="92">
        <v>3020</v>
      </c>
      <c r="H1800" s="3">
        <v>2.6</v>
      </c>
      <c r="I1800" s="3">
        <v>29414.799999999999</v>
      </c>
      <c r="J1800" s="1" t="s">
        <v>87</v>
      </c>
      <c r="K1800" s="1" t="s">
        <v>94</v>
      </c>
      <c r="L1800" t="str">
        <f>VLOOKUP(D1800, Products!A:C, 3, FALSE)</f>
        <v>Beauty</v>
      </c>
      <c r="M1800" t="str">
        <f>VLOOKUP(C1800, Customers!A:E, 5, FALSE)</f>
        <v>Retail</v>
      </c>
      <c r="N1800">
        <f>VLOOKUP(C1800, Customers!A:E, 3, FALSE)</f>
        <v>24</v>
      </c>
      <c r="O1800" s="93" t="str">
        <f>VLOOKUP(E1800, Sales_Reps!A:C, 3, FALSE)</f>
        <v>North</v>
      </c>
      <c r="P1800">
        <f>VLOOKUP(D1800, Products!A:E, 4, FALSE)</f>
        <v>1626</v>
      </c>
      <c r="Q1800">
        <f>IF(COUNTIF($A$2:A1800, A1800)=2, 1, 0)</f>
        <v>0</v>
      </c>
      <c r="R1800">
        <f>IF(ISNA(MATCH(C1800, Customers!$A:$A, 0)), 1, 0)</f>
        <v>0</v>
      </c>
      <c r="S1800" s="94" t="b">
        <f>VLOOKUP(D1800, Products!A:F, 6, FALSE)</f>
        <v>1</v>
      </c>
    </row>
    <row r="1801" spans="1:19">
      <c r="A1801" s="102" t="s">
        <v>2297</v>
      </c>
      <c r="B1801" s="2">
        <v>45544</v>
      </c>
      <c r="C1801" s="1" t="s">
        <v>870</v>
      </c>
      <c r="D1801" s="1" t="s">
        <v>452</v>
      </c>
      <c r="E1801" s="1" t="s">
        <v>98</v>
      </c>
      <c r="F1801" s="83">
        <v>5</v>
      </c>
      <c r="G1801" s="92">
        <v>3450</v>
      </c>
      <c r="H1801" s="3">
        <v>25.3</v>
      </c>
      <c r="I1801" s="3">
        <v>12885.75</v>
      </c>
      <c r="J1801" s="1" t="s">
        <v>87</v>
      </c>
      <c r="K1801" s="1" t="s">
        <v>117</v>
      </c>
      <c r="L1801" t="str">
        <f>VLOOKUP(D1801, Products!A:C, 3, FALSE)</f>
        <v>Apparel</v>
      </c>
      <c r="M1801" t="str">
        <f>VLOOKUP(C1801, Customers!A:E, 5, FALSE)</f>
        <v>Retail</v>
      </c>
      <c r="N1801">
        <f>VLOOKUP(C1801, Customers!A:E, 3, FALSE)</f>
        <v>47</v>
      </c>
      <c r="O1801" s="93" t="str">
        <f>VLOOKUP(E1801, Sales_Reps!A:C, 3, FALSE)</f>
        <v>South</v>
      </c>
      <c r="P1801">
        <f>VLOOKUP(D1801, Products!A:E, 4, FALSE)</f>
        <v>1748</v>
      </c>
      <c r="Q1801">
        <f>IF(COUNTIF($A$2:A1801, A1801)=2, 1, 0)</f>
        <v>0</v>
      </c>
      <c r="R1801">
        <f>IF(ISNA(MATCH(C1801, Customers!$A:$A, 0)), 1, 0)</f>
        <v>0</v>
      </c>
      <c r="S1801" s="94" t="b">
        <f>VLOOKUP(D1801, Products!A:F, 6, FALSE)</f>
        <v>1</v>
      </c>
    </row>
    <row r="1802" spans="1:19">
      <c r="A1802" s="102" t="s">
        <v>2298</v>
      </c>
      <c r="B1802" s="2">
        <v>45457</v>
      </c>
      <c r="C1802" s="1" t="s">
        <v>208</v>
      </c>
      <c r="D1802" s="1" t="s">
        <v>267</v>
      </c>
      <c r="E1802" s="1" t="s">
        <v>121</v>
      </c>
      <c r="F1802" s="83">
        <v>7</v>
      </c>
      <c r="G1802" s="92">
        <v>1220</v>
      </c>
      <c r="H1802" s="3">
        <v>13.1</v>
      </c>
      <c r="I1802" s="3">
        <v>7421.26</v>
      </c>
      <c r="J1802" s="1" t="s">
        <v>87</v>
      </c>
      <c r="K1802" s="1" t="s">
        <v>133</v>
      </c>
      <c r="L1802" t="str">
        <f>VLOOKUP(D1802, Products!A:C, 3, FALSE)</f>
        <v>Electronics</v>
      </c>
      <c r="M1802" t="str">
        <f>VLOOKUP(C1802, Customers!A:E, 5, FALSE)</f>
        <v>Retail</v>
      </c>
      <c r="N1802">
        <f>VLOOKUP(C1802, Customers!A:E, 3, FALSE)</f>
        <v>26</v>
      </c>
      <c r="O1802" s="93" t="str">
        <f>VLOOKUP(E1802, Sales_Reps!A:C, 3, FALSE)</f>
        <v>East</v>
      </c>
      <c r="P1802">
        <f>VLOOKUP(D1802, Products!A:E, 4, FALSE)</f>
        <v>517</v>
      </c>
      <c r="Q1802">
        <f>IF(COUNTIF($A$2:A1802, A1802)=2, 1, 0)</f>
        <v>0</v>
      </c>
      <c r="R1802">
        <f>IF(ISNA(MATCH(C1802, Customers!$A:$A, 0)), 1, 0)</f>
        <v>0</v>
      </c>
      <c r="S1802" s="94" t="b">
        <f>VLOOKUP(D1802, Products!A:F, 6, FALSE)</f>
        <v>1</v>
      </c>
    </row>
    <row r="1803" spans="1:19">
      <c r="A1803" s="102" t="s">
        <v>2299</v>
      </c>
      <c r="B1803" s="2">
        <v>45578</v>
      </c>
      <c r="C1803" s="1" t="s">
        <v>206</v>
      </c>
      <c r="D1803" s="1" t="s">
        <v>234</v>
      </c>
      <c r="E1803" s="1" t="s">
        <v>92</v>
      </c>
      <c r="F1803" s="83">
        <v>10</v>
      </c>
      <c r="G1803" s="92">
        <v>3780</v>
      </c>
      <c r="H1803" s="3">
        <v>23.7</v>
      </c>
      <c r="I1803" s="3">
        <v>28841.4</v>
      </c>
      <c r="J1803" s="1" t="s">
        <v>87</v>
      </c>
      <c r="K1803" s="1" t="s">
        <v>133</v>
      </c>
      <c r="L1803" t="str">
        <f>VLOOKUP(D1803, Products!A:C, 3, FALSE)</f>
        <v>Grocery</v>
      </c>
      <c r="M1803" t="str">
        <f>VLOOKUP(C1803, Customers!A:E, 5, FALSE)</f>
        <v>SMB</v>
      </c>
      <c r="N1803">
        <f>VLOOKUP(C1803, Customers!A:E, 3, FALSE)</f>
        <v>40</v>
      </c>
      <c r="O1803" s="93" t="str">
        <f>VLOOKUP(E1803, Sales_Reps!A:C, 3, FALSE)</f>
        <v>North</v>
      </c>
      <c r="P1803">
        <f>VLOOKUP(D1803, Products!A:E, 4, FALSE)</f>
        <v>2436</v>
      </c>
      <c r="Q1803">
        <f>IF(COUNTIF($A$2:A1803, A1803)=2, 1, 0)</f>
        <v>0</v>
      </c>
      <c r="R1803">
        <f>IF(ISNA(MATCH(C1803, Customers!$A:$A, 0)), 1, 0)</f>
        <v>0</v>
      </c>
      <c r="S1803" s="94" t="b">
        <f>VLOOKUP(D1803, Products!A:F, 6, FALSE)</f>
        <v>1</v>
      </c>
    </row>
    <row r="1804" spans="1:19">
      <c r="A1804" s="102" t="s">
        <v>2300</v>
      </c>
      <c r="B1804" s="2">
        <v>45405</v>
      </c>
      <c r="C1804" s="1" t="s">
        <v>420</v>
      </c>
      <c r="D1804" s="1" t="s">
        <v>279</v>
      </c>
      <c r="E1804" s="1" t="s">
        <v>297</v>
      </c>
      <c r="F1804" s="83">
        <v>8</v>
      </c>
      <c r="G1804" s="92">
        <v>2660</v>
      </c>
      <c r="H1804" s="3">
        <v>16.100000000000001</v>
      </c>
      <c r="I1804" s="3">
        <v>17853.919999999998</v>
      </c>
      <c r="J1804" s="1" t="s">
        <v>87</v>
      </c>
      <c r="K1804" s="1" t="s">
        <v>99</v>
      </c>
      <c r="L1804" t="str">
        <f>VLOOKUP(D1804, Products!A:C, 3, FALSE)</f>
        <v>Electronics</v>
      </c>
      <c r="M1804" t="str">
        <f>VLOOKUP(C1804, Customers!A:E, 5, FALSE)</f>
        <v>Retail</v>
      </c>
      <c r="N1804">
        <f>VLOOKUP(C1804, Customers!A:E, 3, FALSE)</f>
        <v>44</v>
      </c>
      <c r="O1804" s="93" t="str">
        <f>VLOOKUP(E1804, Sales_Reps!A:C, 3, FALSE)</f>
        <v>North</v>
      </c>
      <c r="P1804">
        <f>VLOOKUP(D1804, Products!A:E, 4, FALSE)</f>
        <v>1259</v>
      </c>
      <c r="Q1804">
        <f>IF(COUNTIF($A$2:A1804, A1804)=2, 1, 0)</f>
        <v>0</v>
      </c>
      <c r="R1804">
        <f>IF(ISNA(MATCH(C1804, Customers!$A:$A, 0)), 1, 0)</f>
        <v>0</v>
      </c>
      <c r="S1804" s="94" t="b">
        <f>VLOOKUP(D1804, Products!A:F, 6, FALSE)</f>
        <v>0</v>
      </c>
    </row>
    <row r="1805" spans="1:19">
      <c r="A1805" s="102" t="s">
        <v>2301</v>
      </c>
      <c r="B1805" s="2">
        <v>45338</v>
      </c>
      <c r="C1805" s="1" t="s">
        <v>312</v>
      </c>
      <c r="D1805" s="1" t="s">
        <v>502</v>
      </c>
      <c r="E1805" s="1" t="s">
        <v>107</v>
      </c>
      <c r="F1805" s="83">
        <v>6</v>
      </c>
      <c r="G1805" s="92">
        <v>1090</v>
      </c>
      <c r="H1805" s="3">
        <v>20</v>
      </c>
      <c r="I1805" s="3">
        <v>5232</v>
      </c>
      <c r="J1805" s="1" t="s">
        <v>93</v>
      </c>
      <c r="K1805" s="1" t="s">
        <v>133</v>
      </c>
      <c r="L1805" t="str">
        <f>VLOOKUP(D1805, Products!A:C, 3, FALSE)</f>
        <v>Home</v>
      </c>
      <c r="M1805" t="str">
        <f>VLOOKUP(C1805, Customers!A:E, 5, FALSE)</f>
        <v>Retail</v>
      </c>
      <c r="N1805">
        <f>VLOOKUP(C1805, Customers!A:E, 3, FALSE)</f>
        <v>46</v>
      </c>
      <c r="O1805" s="93" t="str">
        <f>VLOOKUP(E1805, Sales_Reps!A:C, 3, FALSE)</f>
        <v>North</v>
      </c>
      <c r="P1805">
        <f>VLOOKUP(D1805, Products!A:E, 4, FALSE)</f>
        <v>464</v>
      </c>
      <c r="Q1805">
        <f>IF(COUNTIF($A$2:A1805, A1805)=2, 1, 0)</f>
        <v>0</v>
      </c>
      <c r="R1805">
        <f>IF(ISNA(MATCH(C1805, Customers!$A:$A, 0)), 1, 0)</f>
        <v>0</v>
      </c>
      <c r="S1805" s="94" t="b">
        <f>VLOOKUP(D1805, Products!A:F, 6, FALSE)</f>
        <v>1</v>
      </c>
    </row>
    <row r="1806" spans="1:19">
      <c r="A1806" s="102" t="s">
        <v>2302</v>
      </c>
      <c r="B1806" s="2">
        <v>45324</v>
      </c>
      <c r="C1806" s="1" t="s">
        <v>2303</v>
      </c>
      <c r="D1806" s="1" t="s">
        <v>203</v>
      </c>
      <c r="E1806" s="1" t="s">
        <v>346</v>
      </c>
      <c r="F1806" s="83">
        <v>2</v>
      </c>
      <c r="G1806" s="92">
        <v>660</v>
      </c>
      <c r="H1806" s="3">
        <v>18.7</v>
      </c>
      <c r="I1806" s="3">
        <v>1073.1600000000001</v>
      </c>
      <c r="J1806" s="1" t="s">
        <v>87</v>
      </c>
      <c r="K1806" s="1" t="s">
        <v>112</v>
      </c>
      <c r="L1806" t="str">
        <f>VLOOKUP(D1806, Products!A:C, 3, FALSE)</f>
        <v>Home</v>
      </c>
      <c r="M1806" t="e">
        <f>VLOOKUP(C1806, Customers!A:E, 5, FALSE)</f>
        <v>#N/A</v>
      </c>
      <c r="N1806" t="e">
        <f>VLOOKUP(C1806, Customers!A:E, 3, FALSE)</f>
        <v>#N/A</v>
      </c>
      <c r="O1806" s="93" t="str">
        <f>VLOOKUP(E1806, Sales_Reps!A:C, 3, FALSE)</f>
        <v>South</v>
      </c>
      <c r="P1806">
        <f>VLOOKUP(D1806, Products!A:E, 4, FALSE)</f>
        <v>329</v>
      </c>
      <c r="Q1806">
        <f>IF(COUNTIF($A$2:A1806, A1806)=2, 1, 0)</f>
        <v>0</v>
      </c>
      <c r="R1806">
        <f>IF(ISNA(MATCH(C1806, Customers!$A:$A, 0)), 1, 0)</f>
        <v>1</v>
      </c>
      <c r="S1806" s="94" t="b">
        <f>VLOOKUP(D1806, Products!A:F, 6, FALSE)</f>
        <v>1</v>
      </c>
    </row>
    <row r="1807" spans="1:19">
      <c r="A1807" s="102" t="s">
        <v>2304</v>
      </c>
      <c r="B1807" s="2">
        <v>45332</v>
      </c>
      <c r="C1807" s="1" t="s">
        <v>1072</v>
      </c>
      <c r="D1807" s="1" t="s">
        <v>502</v>
      </c>
      <c r="E1807" s="1" t="s">
        <v>188</v>
      </c>
      <c r="F1807" s="83">
        <v>7</v>
      </c>
      <c r="G1807" s="92">
        <v>1090</v>
      </c>
      <c r="H1807" s="3">
        <v>19.399999999999999</v>
      </c>
      <c r="I1807" s="3">
        <v>6149.78</v>
      </c>
      <c r="J1807" s="1" t="s">
        <v>93</v>
      </c>
      <c r="K1807" s="1" t="s">
        <v>112</v>
      </c>
      <c r="L1807" t="str">
        <f>VLOOKUP(D1807, Products!A:C, 3, FALSE)</f>
        <v>Home</v>
      </c>
      <c r="M1807" t="str">
        <f>VLOOKUP(C1807, Customers!A:E, 5, FALSE)</f>
        <v>SMB</v>
      </c>
      <c r="N1807">
        <f>VLOOKUP(C1807, Customers!A:E, 3, FALSE)</f>
        <v>53</v>
      </c>
      <c r="O1807" s="93" t="str">
        <f>VLOOKUP(E1807, Sales_Reps!A:C, 3, FALSE)</f>
        <v>South</v>
      </c>
      <c r="P1807">
        <f>VLOOKUP(D1807, Products!A:E, 4, FALSE)</f>
        <v>464</v>
      </c>
      <c r="Q1807">
        <f>IF(COUNTIF($A$2:A1807, A1807)=2, 1, 0)</f>
        <v>0</v>
      </c>
      <c r="R1807">
        <f>IF(ISNA(MATCH(C1807, Customers!$A:$A, 0)), 1, 0)</f>
        <v>0</v>
      </c>
      <c r="S1807" s="94" t="b">
        <f>VLOOKUP(D1807, Products!A:F, 6, FALSE)</f>
        <v>1</v>
      </c>
    </row>
    <row r="1808" spans="1:19">
      <c r="A1808" s="102" t="s">
        <v>2305</v>
      </c>
      <c r="B1808" s="2">
        <v>45429</v>
      </c>
      <c r="C1808" s="1" t="s">
        <v>310</v>
      </c>
      <c r="D1808" s="1" t="s">
        <v>338</v>
      </c>
      <c r="E1808" s="1" t="s">
        <v>188</v>
      </c>
      <c r="F1808" s="83">
        <v>3</v>
      </c>
      <c r="G1808" s="92">
        <v>2210</v>
      </c>
      <c r="H1808" s="3">
        <v>11</v>
      </c>
      <c r="I1808" s="3">
        <v>5900.7</v>
      </c>
      <c r="J1808" s="1" t="s">
        <v>87</v>
      </c>
      <c r="K1808" s="1" t="s">
        <v>117</v>
      </c>
      <c r="L1808" t="str">
        <f>VLOOKUP(D1808, Products!A:C, 3, FALSE)</f>
        <v>Grocery</v>
      </c>
      <c r="M1808" t="str">
        <f>VLOOKUP(C1808, Customers!A:E, 5, FALSE)</f>
        <v>Retail</v>
      </c>
      <c r="N1808">
        <f>VLOOKUP(C1808, Customers!A:E, 3, FALSE)</f>
        <v>42</v>
      </c>
      <c r="O1808" s="93" t="str">
        <f>VLOOKUP(E1808, Sales_Reps!A:C, 3, FALSE)</f>
        <v>South</v>
      </c>
      <c r="P1808">
        <f>VLOOKUP(D1808, Products!A:E, 4, FALSE)</f>
        <v>1010</v>
      </c>
      <c r="Q1808">
        <f>IF(COUNTIF($A$2:A1808, A1808)=2, 1, 0)</f>
        <v>0</v>
      </c>
      <c r="R1808">
        <f>IF(ISNA(MATCH(C1808, Customers!$A:$A, 0)), 1, 0)</f>
        <v>0</v>
      </c>
      <c r="S1808" s="94" t="b">
        <f>VLOOKUP(D1808, Products!A:F, 6, FALSE)</f>
        <v>1</v>
      </c>
    </row>
    <row r="1809" spans="1:19">
      <c r="A1809" s="102" t="s">
        <v>2306</v>
      </c>
      <c r="B1809" s="2">
        <v>45420</v>
      </c>
      <c r="C1809" s="1" t="s">
        <v>178</v>
      </c>
      <c r="D1809" s="1" t="s">
        <v>408</v>
      </c>
      <c r="E1809" s="1" t="s">
        <v>229</v>
      </c>
      <c r="F1809" s="83">
        <v>2</v>
      </c>
      <c r="G1809" s="92">
        <v>3970</v>
      </c>
      <c r="H1809" s="3">
        <v>24.9</v>
      </c>
      <c r="I1809" s="3">
        <v>5962.94</v>
      </c>
      <c r="J1809" s="1" t="s">
        <v>87</v>
      </c>
      <c r="K1809" s="1" t="s">
        <v>94</v>
      </c>
      <c r="L1809" t="str">
        <f>VLOOKUP(D1809, Products!A:C, 3, FALSE)</f>
        <v>Electronics</v>
      </c>
      <c r="M1809" t="str">
        <f>VLOOKUP(C1809, Customers!A:E, 5, FALSE)</f>
        <v>Corporate</v>
      </c>
      <c r="N1809">
        <f>VLOOKUP(C1809, Customers!A:E, 3, FALSE)</f>
        <v>55</v>
      </c>
      <c r="O1809" s="93" t="str">
        <f>VLOOKUP(E1809, Sales_Reps!A:C, 3, FALSE)</f>
        <v>West</v>
      </c>
      <c r="P1809">
        <f>VLOOKUP(D1809, Products!A:E, 4, FALSE)</f>
        <v>2865</v>
      </c>
      <c r="Q1809">
        <f>IF(COUNTIF($A$2:A1809, A1809)=2, 1, 0)</f>
        <v>0</v>
      </c>
      <c r="R1809">
        <f>IF(ISNA(MATCH(C1809, Customers!$A:$A, 0)), 1, 0)</f>
        <v>0</v>
      </c>
      <c r="S1809" s="94" t="b">
        <f>VLOOKUP(D1809, Products!A:F, 6, FALSE)</f>
        <v>1</v>
      </c>
    </row>
    <row r="1810" spans="1:19">
      <c r="A1810" s="102" t="s">
        <v>2307</v>
      </c>
      <c r="B1810" s="2">
        <v>45403</v>
      </c>
      <c r="C1810" s="1" t="s">
        <v>507</v>
      </c>
      <c r="D1810" s="1" t="s">
        <v>270</v>
      </c>
      <c r="E1810" s="1" t="s">
        <v>158</v>
      </c>
      <c r="F1810" s="83">
        <v>7</v>
      </c>
      <c r="G1810" s="92">
        <v>4610</v>
      </c>
      <c r="H1810" s="3">
        <v>6.3</v>
      </c>
      <c r="I1810" s="3">
        <v>30236.99</v>
      </c>
      <c r="J1810" s="1" t="s">
        <v>87</v>
      </c>
      <c r="K1810" s="1" t="s">
        <v>88</v>
      </c>
      <c r="L1810" t="str">
        <f>VLOOKUP(D1810, Products!A:C, 3, FALSE)</f>
        <v>Home</v>
      </c>
      <c r="M1810" t="str">
        <f>VLOOKUP(C1810, Customers!A:E, 5, FALSE)</f>
        <v>Retail</v>
      </c>
      <c r="N1810">
        <f>VLOOKUP(C1810, Customers!A:E, 3, FALSE)</f>
        <v>59</v>
      </c>
      <c r="O1810" s="93" t="str">
        <f>VLOOKUP(E1810, Sales_Reps!A:C, 3, FALSE)</f>
        <v>East</v>
      </c>
      <c r="P1810">
        <f>VLOOKUP(D1810, Products!A:E, 4, FALSE)</f>
        <v>1850</v>
      </c>
      <c r="Q1810">
        <f>IF(COUNTIF($A$2:A1810, A1810)=2, 1, 0)</f>
        <v>0</v>
      </c>
      <c r="R1810">
        <f>IF(ISNA(MATCH(C1810, Customers!$A:$A, 0)), 1, 0)</f>
        <v>0</v>
      </c>
      <c r="S1810" s="94" t="b">
        <f>VLOOKUP(D1810, Products!A:F, 6, FALSE)</f>
        <v>1</v>
      </c>
    </row>
    <row r="1811" spans="1:19">
      <c r="A1811" s="102" t="s">
        <v>2308</v>
      </c>
      <c r="B1811" s="2">
        <v>45403</v>
      </c>
      <c r="C1811" s="1" t="s">
        <v>522</v>
      </c>
      <c r="D1811" s="1" t="s">
        <v>380</v>
      </c>
      <c r="E1811" s="1" t="s">
        <v>201</v>
      </c>
      <c r="F1811" s="83">
        <v>10</v>
      </c>
      <c r="G1811" s="92">
        <v>960</v>
      </c>
      <c r="H1811" s="3">
        <v>14.6</v>
      </c>
      <c r="I1811" s="3">
        <v>8198.4</v>
      </c>
      <c r="J1811" s="1" t="s">
        <v>87</v>
      </c>
      <c r="K1811" s="1" t="s">
        <v>99</v>
      </c>
      <c r="L1811" t="str">
        <f>VLOOKUP(D1811, Products!A:C, 3, FALSE)</f>
        <v>Beauty</v>
      </c>
      <c r="M1811" t="str">
        <f>VLOOKUP(C1811, Customers!A:E, 5, FALSE)</f>
        <v>SMB</v>
      </c>
      <c r="N1811">
        <f>VLOOKUP(C1811, Customers!A:E, 3, FALSE)</f>
        <v>55</v>
      </c>
      <c r="O1811" s="93" t="str">
        <f>VLOOKUP(E1811, Sales_Reps!A:C, 3, FALSE)</f>
        <v>West</v>
      </c>
      <c r="P1811">
        <f>VLOOKUP(D1811, Products!A:E, 4, FALSE)</f>
        <v>675</v>
      </c>
      <c r="Q1811">
        <f>IF(COUNTIF($A$2:A1811, A1811)=2, 1, 0)</f>
        <v>0</v>
      </c>
      <c r="R1811">
        <f>IF(ISNA(MATCH(C1811, Customers!$A:$A, 0)), 1, 0)</f>
        <v>0</v>
      </c>
      <c r="S1811" s="94" t="b">
        <f>VLOOKUP(D1811, Products!A:F, 6, FALSE)</f>
        <v>1</v>
      </c>
    </row>
    <row r="1812" spans="1:19">
      <c r="A1812" s="102" t="s">
        <v>2309</v>
      </c>
      <c r="B1812" s="2">
        <v>45600</v>
      </c>
      <c r="C1812" s="1" t="s">
        <v>231</v>
      </c>
      <c r="D1812" s="1" t="s">
        <v>276</v>
      </c>
      <c r="E1812" s="1" t="s">
        <v>346</v>
      </c>
      <c r="F1812" s="83">
        <v>8</v>
      </c>
      <c r="G1812" s="92">
        <v>3020</v>
      </c>
      <c r="H1812" s="3">
        <v>14.5</v>
      </c>
      <c r="I1812" s="3">
        <v>20656.8</v>
      </c>
      <c r="J1812" s="1" t="s">
        <v>87</v>
      </c>
      <c r="K1812" s="1" t="s">
        <v>117</v>
      </c>
      <c r="L1812" t="str">
        <f>VLOOKUP(D1812, Products!A:C, 3, FALSE)</f>
        <v>Beauty</v>
      </c>
      <c r="M1812" t="str">
        <f>VLOOKUP(C1812, Customers!A:E, 5, FALSE)</f>
        <v>SMB</v>
      </c>
      <c r="N1812">
        <f>VLOOKUP(C1812, Customers!A:E, 3, FALSE)</f>
        <v>64</v>
      </c>
      <c r="O1812" s="93" t="str">
        <f>VLOOKUP(E1812, Sales_Reps!A:C, 3, FALSE)</f>
        <v>South</v>
      </c>
      <c r="P1812">
        <f>VLOOKUP(D1812, Products!A:E, 4, FALSE)</f>
        <v>1626</v>
      </c>
      <c r="Q1812">
        <f>IF(COUNTIF($A$2:A1812, A1812)=2, 1, 0)</f>
        <v>0</v>
      </c>
      <c r="R1812">
        <f>IF(ISNA(MATCH(C1812, Customers!$A:$A, 0)), 1, 0)</f>
        <v>0</v>
      </c>
      <c r="S1812" s="94" t="b">
        <f>VLOOKUP(D1812, Products!A:F, 6, FALSE)</f>
        <v>1</v>
      </c>
    </row>
    <row r="1813" spans="1:19">
      <c r="A1813" s="102" t="s">
        <v>2310</v>
      </c>
      <c r="B1813" s="2">
        <v>45629</v>
      </c>
      <c r="C1813" s="1" t="s">
        <v>142</v>
      </c>
      <c r="D1813" s="1" t="s">
        <v>167</v>
      </c>
      <c r="E1813" s="1" t="s">
        <v>201</v>
      </c>
      <c r="F1813" s="83">
        <v>7</v>
      </c>
      <c r="G1813" s="92">
        <v>2480</v>
      </c>
      <c r="H1813" s="3">
        <v>17.3</v>
      </c>
      <c r="I1813" s="3">
        <v>14356.72</v>
      </c>
      <c r="J1813" s="1" t="s">
        <v>87</v>
      </c>
      <c r="K1813" s="1" t="s">
        <v>88</v>
      </c>
      <c r="L1813" t="str">
        <f>VLOOKUP(D1813, Products!A:C, 3, FALSE)</f>
        <v>Apparel</v>
      </c>
      <c r="M1813" t="str">
        <f>VLOOKUP(C1813, Customers!A:E, 5, FALSE)</f>
        <v>SMB</v>
      </c>
      <c r="N1813">
        <f>VLOOKUP(C1813, Customers!A:E, 3, FALSE)</f>
        <v>39</v>
      </c>
      <c r="O1813" s="93" t="str">
        <f>VLOOKUP(E1813, Sales_Reps!A:C, 3, FALSE)</f>
        <v>West</v>
      </c>
      <c r="P1813">
        <f>VLOOKUP(D1813, Products!A:E, 4, FALSE)</f>
        <v>1173</v>
      </c>
      <c r="Q1813">
        <f>IF(COUNTIF($A$2:A1813, A1813)=2, 1, 0)</f>
        <v>0</v>
      </c>
      <c r="R1813">
        <f>IF(ISNA(MATCH(C1813, Customers!$A:$A, 0)), 1, 0)</f>
        <v>0</v>
      </c>
      <c r="S1813" s="94" t="b">
        <f>VLOOKUP(D1813, Products!A:F, 6, FALSE)</f>
        <v>1</v>
      </c>
    </row>
    <row r="1814" spans="1:19">
      <c r="A1814" s="102" t="s">
        <v>2311</v>
      </c>
      <c r="B1814" s="2">
        <v>45330</v>
      </c>
      <c r="C1814" s="1" t="s">
        <v>592</v>
      </c>
      <c r="D1814" s="1" t="s">
        <v>248</v>
      </c>
      <c r="E1814" s="1" t="s">
        <v>252</v>
      </c>
      <c r="F1814" s="83">
        <v>10</v>
      </c>
      <c r="G1814" s="92">
        <v>3870</v>
      </c>
      <c r="H1814" s="3">
        <v>22.4</v>
      </c>
      <c r="I1814" s="3">
        <v>30031.200000000001</v>
      </c>
      <c r="J1814" s="1" t="s">
        <v>93</v>
      </c>
      <c r="K1814" s="1" t="s">
        <v>133</v>
      </c>
      <c r="L1814" t="str">
        <f>VLOOKUP(D1814, Products!A:C, 3, FALSE)</f>
        <v>Electronics</v>
      </c>
      <c r="M1814" t="str">
        <f>VLOOKUP(C1814, Customers!A:E, 5, FALSE)</f>
        <v>Retail</v>
      </c>
      <c r="N1814">
        <f>VLOOKUP(C1814, Customers!A:E, 3, FALSE)</f>
        <v>22</v>
      </c>
      <c r="O1814" s="93" t="str">
        <f>VLOOKUP(E1814, Sales_Reps!A:C, 3, FALSE)</f>
        <v>South</v>
      </c>
      <c r="P1814">
        <f>VLOOKUP(D1814, Products!A:E, 4, FALSE)</f>
        <v>1559</v>
      </c>
      <c r="Q1814">
        <f>IF(COUNTIF($A$2:A1814, A1814)=2, 1, 0)</f>
        <v>0</v>
      </c>
      <c r="R1814">
        <f>IF(ISNA(MATCH(C1814, Customers!$A:$A, 0)), 1, 0)</f>
        <v>0</v>
      </c>
      <c r="S1814" s="94" t="b">
        <f>VLOOKUP(D1814, Products!A:F, 6, FALSE)</f>
        <v>1</v>
      </c>
    </row>
    <row r="1815" spans="1:19">
      <c r="A1815" s="102" t="s">
        <v>2312</v>
      </c>
      <c r="B1815" s="2">
        <v>45551</v>
      </c>
      <c r="C1815" s="1" t="s">
        <v>878</v>
      </c>
      <c r="D1815" s="1" t="s">
        <v>203</v>
      </c>
      <c r="E1815" s="1" t="s">
        <v>285</v>
      </c>
      <c r="F1815" s="83">
        <v>6</v>
      </c>
      <c r="G1815" s="92">
        <v>660</v>
      </c>
      <c r="H1815" s="3">
        <v>27.3</v>
      </c>
      <c r="I1815" s="3">
        <v>2878.92</v>
      </c>
      <c r="J1815" s="1" t="s">
        <v>87</v>
      </c>
      <c r="K1815" s="1" t="s">
        <v>112</v>
      </c>
      <c r="L1815" t="str">
        <f>VLOOKUP(D1815, Products!A:C, 3, FALSE)</f>
        <v>Home</v>
      </c>
      <c r="M1815" t="str">
        <f>VLOOKUP(C1815, Customers!A:E, 5, FALSE)</f>
        <v>Corporate</v>
      </c>
      <c r="N1815">
        <f>VLOOKUP(C1815, Customers!A:E, 3, FALSE)</f>
        <v>62</v>
      </c>
      <c r="O1815" s="93" t="str">
        <f>VLOOKUP(E1815, Sales_Reps!A:C, 3, FALSE)</f>
        <v>East</v>
      </c>
      <c r="P1815">
        <f>VLOOKUP(D1815, Products!A:E, 4, FALSE)</f>
        <v>329</v>
      </c>
      <c r="Q1815">
        <f>IF(COUNTIF($A$2:A1815, A1815)=2, 1, 0)</f>
        <v>0</v>
      </c>
      <c r="R1815">
        <f>IF(ISNA(MATCH(C1815, Customers!$A:$A, 0)), 1, 0)</f>
        <v>0</v>
      </c>
      <c r="S1815" s="94" t="b">
        <f>VLOOKUP(D1815, Products!A:F, 6, FALSE)</f>
        <v>1</v>
      </c>
    </row>
    <row r="1816" spans="1:19">
      <c r="A1816" s="102" t="s">
        <v>2313</v>
      </c>
      <c r="B1816" s="2">
        <v>45321</v>
      </c>
      <c r="C1816" s="1" t="s">
        <v>2314</v>
      </c>
      <c r="D1816" s="1" t="s">
        <v>248</v>
      </c>
      <c r="E1816" s="1" t="s">
        <v>201</v>
      </c>
      <c r="F1816" s="83">
        <v>3</v>
      </c>
      <c r="G1816" s="92">
        <v>3870</v>
      </c>
      <c r="H1816" s="3">
        <v>7.6</v>
      </c>
      <c r="I1816" s="3">
        <v>10727.64</v>
      </c>
      <c r="J1816" s="1" t="s">
        <v>140</v>
      </c>
      <c r="K1816" s="1" t="s">
        <v>94</v>
      </c>
      <c r="L1816" t="str">
        <f>VLOOKUP(D1816, Products!A:C, 3, FALSE)</f>
        <v>Electronics</v>
      </c>
      <c r="M1816" t="e">
        <f>VLOOKUP(C1816, Customers!A:E, 5, FALSE)</f>
        <v>#N/A</v>
      </c>
      <c r="N1816" t="e">
        <f>VLOOKUP(C1816, Customers!A:E, 3, FALSE)</f>
        <v>#N/A</v>
      </c>
      <c r="O1816" s="93" t="str">
        <f>VLOOKUP(E1816, Sales_Reps!A:C, 3, FALSE)</f>
        <v>West</v>
      </c>
      <c r="P1816">
        <f>VLOOKUP(D1816, Products!A:E, 4, FALSE)</f>
        <v>1559</v>
      </c>
      <c r="Q1816">
        <f>IF(COUNTIF($A$2:A1816, A1816)=2, 1, 0)</f>
        <v>0</v>
      </c>
      <c r="R1816">
        <f>IF(ISNA(MATCH(C1816, Customers!$A:$A, 0)), 1, 0)</f>
        <v>1</v>
      </c>
      <c r="S1816" s="94" t="b">
        <f>VLOOKUP(D1816, Products!A:F, 6, FALSE)</f>
        <v>1</v>
      </c>
    </row>
    <row r="1817" spans="1:19">
      <c r="A1817" s="102" t="s">
        <v>2315</v>
      </c>
      <c r="B1817" s="2">
        <v>45542</v>
      </c>
      <c r="C1817" s="1" t="s">
        <v>84</v>
      </c>
      <c r="D1817" s="1" t="s">
        <v>167</v>
      </c>
      <c r="E1817" s="1" t="s">
        <v>103</v>
      </c>
      <c r="F1817" s="83">
        <v>10</v>
      </c>
      <c r="G1817" s="92">
        <v>2480</v>
      </c>
      <c r="H1817" s="3">
        <v>21.5</v>
      </c>
      <c r="I1817" s="3">
        <v>19468</v>
      </c>
      <c r="J1817" s="1" t="s">
        <v>93</v>
      </c>
      <c r="K1817" s="1" t="s">
        <v>88</v>
      </c>
      <c r="L1817" t="str">
        <f>VLOOKUP(D1817, Products!A:C, 3, FALSE)</f>
        <v>Apparel</v>
      </c>
      <c r="M1817" t="str">
        <f>VLOOKUP(C1817, Customers!A:E, 5, FALSE)</f>
        <v>SMB</v>
      </c>
      <c r="N1817">
        <f>VLOOKUP(C1817, Customers!A:E, 3, FALSE)</f>
        <v>44</v>
      </c>
      <c r="O1817" s="93" t="str">
        <f>VLOOKUP(E1817, Sales_Reps!A:C, 3, FALSE)</f>
        <v>North</v>
      </c>
      <c r="P1817">
        <f>VLOOKUP(D1817, Products!A:E, 4, FALSE)</f>
        <v>1173</v>
      </c>
      <c r="Q1817">
        <f>IF(COUNTIF($A$2:A1817, A1817)=2, 1, 0)</f>
        <v>0</v>
      </c>
      <c r="R1817">
        <f>IF(ISNA(MATCH(C1817, Customers!$A:$A, 0)), 1, 0)</f>
        <v>0</v>
      </c>
      <c r="S1817" s="94" t="b">
        <f>VLOOKUP(D1817, Products!A:F, 6, FALSE)</f>
        <v>1</v>
      </c>
    </row>
    <row r="1818" spans="1:19">
      <c r="A1818" s="102" t="s">
        <v>2316</v>
      </c>
      <c r="B1818" s="2">
        <v>45643</v>
      </c>
      <c r="C1818" s="1" t="s">
        <v>602</v>
      </c>
      <c r="D1818" s="1" t="s">
        <v>135</v>
      </c>
      <c r="E1818" s="1" t="s">
        <v>215</v>
      </c>
      <c r="F1818" s="83">
        <v>8</v>
      </c>
      <c r="G1818" s="92">
        <v>2640</v>
      </c>
      <c r="H1818" s="3">
        <v>22.3</v>
      </c>
      <c r="I1818" s="3">
        <v>16410.240000000002</v>
      </c>
      <c r="J1818" s="1" t="s">
        <v>87</v>
      </c>
      <c r="K1818" s="1" t="s">
        <v>94</v>
      </c>
      <c r="L1818" t="str">
        <f>VLOOKUP(D1818, Products!A:C, 3, FALSE)</f>
        <v>Electronics</v>
      </c>
      <c r="M1818" t="str">
        <f>VLOOKUP(C1818, Customers!A:E, 5, FALSE)</f>
        <v>Retail</v>
      </c>
      <c r="N1818">
        <f>VLOOKUP(C1818, Customers!A:E, 3, FALSE)</f>
        <v>61</v>
      </c>
      <c r="O1818" s="93" t="str">
        <f>VLOOKUP(E1818, Sales_Reps!A:C, 3, FALSE)</f>
        <v>North</v>
      </c>
      <c r="P1818">
        <f>VLOOKUP(D1818, Products!A:E, 4, FALSE)</f>
        <v>1149</v>
      </c>
      <c r="Q1818">
        <f>IF(COUNTIF($A$2:A1818, A1818)=2, 1, 0)</f>
        <v>0</v>
      </c>
      <c r="R1818">
        <f>IF(ISNA(MATCH(C1818, Customers!$A:$A, 0)), 1, 0)</f>
        <v>0</v>
      </c>
      <c r="S1818" s="94" t="b">
        <f>VLOOKUP(D1818, Products!A:F, 6, FALSE)</f>
        <v>1</v>
      </c>
    </row>
    <row r="1819" spans="1:19">
      <c r="A1819" s="102" t="s">
        <v>2317</v>
      </c>
      <c r="B1819" s="2">
        <v>45559</v>
      </c>
      <c r="C1819" s="1" t="s">
        <v>1193</v>
      </c>
      <c r="D1819" s="1" t="s">
        <v>127</v>
      </c>
      <c r="E1819" s="1" t="s">
        <v>215</v>
      </c>
      <c r="F1819" s="83">
        <v>8</v>
      </c>
      <c r="G1819" s="92">
        <v>970</v>
      </c>
      <c r="H1819" s="3">
        <v>13.1</v>
      </c>
      <c r="I1819" s="3">
        <v>6743.44</v>
      </c>
      <c r="J1819" s="1" t="s">
        <v>87</v>
      </c>
      <c r="K1819" s="1" t="s">
        <v>133</v>
      </c>
      <c r="L1819" t="str">
        <f>VLOOKUP(D1819, Products!A:C, 3, FALSE)</f>
        <v>Grocery</v>
      </c>
      <c r="M1819" t="str">
        <f>VLOOKUP(C1819, Customers!A:E, 5, FALSE)</f>
        <v>SMB</v>
      </c>
      <c r="N1819">
        <f>VLOOKUP(C1819, Customers!A:E, 3, FALSE)</f>
        <v>25</v>
      </c>
      <c r="O1819" s="93" t="str">
        <f>VLOOKUP(E1819, Sales_Reps!A:C, 3, FALSE)</f>
        <v>North</v>
      </c>
      <c r="P1819">
        <f>VLOOKUP(D1819, Products!A:E, 4, FALSE)</f>
        <v>434</v>
      </c>
      <c r="Q1819">
        <f>IF(COUNTIF($A$2:A1819, A1819)=2, 1, 0)</f>
        <v>0</v>
      </c>
      <c r="R1819">
        <f>IF(ISNA(MATCH(C1819, Customers!$A:$A, 0)), 1, 0)</f>
        <v>0</v>
      </c>
      <c r="S1819" s="94" t="b">
        <f>VLOOKUP(D1819, Products!A:F, 6, FALSE)</f>
        <v>1</v>
      </c>
    </row>
    <row r="1820" spans="1:19">
      <c r="A1820" s="102" t="s">
        <v>2318</v>
      </c>
      <c r="B1820" s="2">
        <v>45416</v>
      </c>
      <c r="C1820" s="1" t="s">
        <v>597</v>
      </c>
      <c r="D1820" s="1" t="s">
        <v>115</v>
      </c>
      <c r="E1820" s="1" t="s">
        <v>215</v>
      </c>
      <c r="F1820" s="83">
        <v>6</v>
      </c>
      <c r="G1820" s="92">
        <v>960</v>
      </c>
      <c r="H1820" s="3">
        <v>3.2</v>
      </c>
      <c r="I1820" s="3">
        <v>5575.68</v>
      </c>
      <c r="J1820" s="1" t="s">
        <v>87</v>
      </c>
      <c r="K1820" s="1" t="s">
        <v>112</v>
      </c>
      <c r="L1820" t="str">
        <f>VLOOKUP(D1820, Products!A:C, 3, FALSE)</f>
        <v>Sports</v>
      </c>
      <c r="M1820" t="str">
        <f>VLOOKUP(C1820, Customers!A:E, 5, FALSE)</f>
        <v>Retail</v>
      </c>
      <c r="N1820">
        <f>VLOOKUP(C1820, Customers!A:E, 3, FALSE)</f>
        <v>39</v>
      </c>
      <c r="O1820" s="93" t="str">
        <f>VLOOKUP(E1820, Sales_Reps!A:C, 3, FALSE)</f>
        <v>North</v>
      </c>
      <c r="P1820">
        <f>VLOOKUP(D1820, Products!A:E, 4, FALSE)</f>
        <v>705</v>
      </c>
      <c r="Q1820">
        <f>IF(COUNTIF($A$2:A1820, A1820)=2, 1, 0)</f>
        <v>0</v>
      </c>
      <c r="R1820">
        <f>IF(ISNA(MATCH(C1820, Customers!$A:$A, 0)), 1, 0)</f>
        <v>0</v>
      </c>
      <c r="S1820" s="94" t="b">
        <f>VLOOKUP(D1820, Products!A:F, 6, FALSE)</f>
        <v>1</v>
      </c>
    </row>
    <row r="1821" spans="1:19">
      <c r="A1821" s="102" t="s">
        <v>2319</v>
      </c>
      <c r="B1821" s="2">
        <v>45469</v>
      </c>
      <c r="C1821" s="1" t="s">
        <v>1529</v>
      </c>
      <c r="D1821" s="1" t="s">
        <v>295</v>
      </c>
      <c r="E1821" s="1" t="s">
        <v>107</v>
      </c>
      <c r="F1821" s="83">
        <v>9</v>
      </c>
      <c r="G1821" s="92">
        <v>2030</v>
      </c>
      <c r="H1821" s="3">
        <v>12.6</v>
      </c>
      <c r="I1821" s="3">
        <v>15967.98</v>
      </c>
      <c r="J1821" s="1" t="s">
        <v>140</v>
      </c>
      <c r="K1821" s="1" t="s">
        <v>94</v>
      </c>
      <c r="L1821" t="str">
        <f>VLOOKUP(D1821, Products!A:C, 3, FALSE)</f>
        <v>Home</v>
      </c>
      <c r="M1821" t="str">
        <f>VLOOKUP(C1821, Customers!A:E, 5, FALSE)</f>
        <v>Retail</v>
      </c>
      <c r="N1821">
        <f>VLOOKUP(C1821, Customers!A:E, 3, FALSE)</f>
        <v>31</v>
      </c>
      <c r="O1821" s="93" t="str">
        <f>VLOOKUP(E1821, Sales_Reps!A:C, 3, FALSE)</f>
        <v>North</v>
      </c>
      <c r="P1821">
        <f>VLOOKUP(D1821, Products!A:E, 4, FALSE)</f>
        <v>1143</v>
      </c>
      <c r="Q1821">
        <f>IF(COUNTIF($A$2:A1821, A1821)=2, 1, 0)</f>
        <v>0</v>
      </c>
      <c r="R1821">
        <f>IF(ISNA(MATCH(C1821, Customers!$A:$A, 0)), 1, 0)</f>
        <v>0</v>
      </c>
      <c r="S1821" s="94" t="b">
        <f>VLOOKUP(D1821, Products!A:F, 6, FALSE)</f>
        <v>1</v>
      </c>
    </row>
    <row r="1822" spans="1:19">
      <c r="A1822" s="102" t="s">
        <v>2025</v>
      </c>
      <c r="B1822" s="2">
        <v>45387</v>
      </c>
      <c r="C1822" s="1" t="s">
        <v>233</v>
      </c>
      <c r="D1822" s="1" t="s">
        <v>386</v>
      </c>
      <c r="E1822" s="1" t="s">
        <v>116</v>
      </c>
      <c r="F1822" s="83">
        <v>10</v>
      </c>
      <c r="G1822" s="92">
        <v>2290</v>
      </c>
      <c r="H1822" s="3">
        <v>22.2</v>
      </c>
      <c r="I1822" s="3">
        <v>17816.2</v>
      </c>
      <c r="J1822" s="1" t="s">
        <v>87</v>
      </c>
      <c r="K1822" s="1" t="s">
        <v>88</v>
      </c>
      <c r="L1822" t="str">
        <f>VLOOKUP(D1822, Products!A:C, 3, FALSE)</f>
        <v>Beauty</v>
      </c>
      <c r="M1822" t="str">
        <f>VLOOKUP(C1822, Customers!A:E, 5, FALSE)</f>
        <v>SMB</v>
      </c>
      <c r="N1822">
        <f>VLOOKUP(C1822, Customers!A:E, 3, FALSE)</f>
        <v>29</v>
      </c>
      <c r="O1822" s="93" t="str">
        <f>VLOOKUP(E1822, Sales_Reps!A:C, 3, FALSE)</f>
        <v>West</v>
      </c>
      <c r="P1822">
        <f>VLOOKUP(D1822, Products!A:E, 4, FALSE)</f>
        <v>1219</v>
      </c>
      <c r="Q1822">
        <f>IF(COUNTIF($A$2:A1822, A1822)=2, 1, 0)</f>
        <v>1</v>
      </c>
      <c r="R1822">
        <f>IF(ISNA(MATCH(C1822, Customers!$A:$A, 0)), 1, 0)</f>
        <v>0</v>
      </c>
      <c r="S1822" s="94" t="b">
        <f>VLOOKUP(D1822, Products!A:F, 6, FALSE)</f>
        <v>1</v>
      </c>
    </row>
    <row r="1823" spans="1:19">
      <c r="A1823" s="102" t="s">
        <v>2320</v>
      </c>
      <c r="B1823" s="2">
        <v>45373</v>
      </c>
      <c r="C1823" s="1" t="s">
        <v>1499</v>
      </c>
      <c r="D1823" s="1" t="s">
        <v>91</v>
      </c>
      <c r="E1823" s="1" t="s">
        <v>343</v>
      </c>
      <c r="F1823" s="83">
        <v>7</v>
      </c>
      <c r="G1823" s="92">
        <v>820</v>
      </c>
      <c r="H1823" s="3">
        <v>6.4</v>
      </c>
      <c r="I1823" s="3">
        <v>5372.64</v>
      </c>
      <c r="J1823" s="1" t="s">
        <v>144</v>
      </c>
      <c r="K1823" s="1" t="s">
        <v>94</v>
      </c>
      <c r="L1823" t="str">
        <f>VLOOKUP(D1823, Products!A:C, 3, FALSE)</f>
        <v>Apparel</v>
      </c>
      <c r="M1823" t="str">
        <f>VLOOKUP(C1823, Customers!A:E, 5, FALSE)</f>
        <v>Retail</v>
      </c>
      <c r="N1823">
        <f>VLOOKUP(C1823, Customers!A:E, 3, FALSE)</f>
        <v>26</v>
      </c>
      <c r="O1823" s="93" t="str">
        <f>VLOOKUP(E1823, Sales_Reps!A:C, 3, FALSE)</f>
        <v>West</v>
      </c>
      <c r="P1823">
        <f>VLOOKUP(D1823, Products!A:E, 4, FALSE)</f>
        <v>391</v>
      </c>
      <c r="Q1823">
        <f>IF(COUNTIF($A$2:A1823, A1823)=2, 1, 0)</f>
        <v>0</v>
      </c>
      <c r="R1823">
        <f>IF(ISNA(MATCH(C1823, Customers!$A:$A, 0)), 1, 0)</f>
        <v>0</v>
      </c>
      <c r="S1823" s="94" t="b">
        <f>VLOOKUP(D1823, Products!A:F, 6, FALSE)</f>
        <v>1</v>
      </c>
    </row>
    <row r="1824" spans="1:19">
      <c r="A1824" s="102" t="s">
        <v>2321</v>
      </c>
      <c r="B1824" s="2">
        <v>45614</v>
      </c>
      <c r="C1824" s="1" t="s">
        <v>333</v>
      </c>
      <c r="D1824" s="1" t="s">
        <v>164</v>
      </c>
      <c r="E1824" s="1" t="s">
        <v>170</v>
      </c>
      <c r="F1824" s="83">
        <v>5</v>
      </c>
      <c r="G1824" s="92">
        <v>1080</v>
      </c>
      <c r="H1824" s="3">
        <v>6</v>
      </c>
      <c r="I1824" s="3">
        <v>5076</v>
      </c>
      <c r="J1824" s="1" t="s">
        <v>87</v>
      </c>
      <c r="K1824" s="1" t="s">
        <v>133</v>
      </c>
      <c r="L1824" t="str">
        <f>VLOOKUP(D1824, Products!A:C, 3, FALSE)</f>
        <v>Home</v>
      </c>
      <c r="M1824" t="str">
        <f>VLOOKUP(C1824, Customers!A:E, 5, FALSE)</f>
        <v>SMB</v>
      </c>
      <c r="N1824">
        <f>VLOOKUP(C1824, Customers!A:E, 3, FALSE)</f>
        <v>65</v>
      </c>
      <c r="O1824" s="93" t="str">
        <f>VLOOKUP(E1824, Sales_Reps!A:C, 3, FALSE)</f>
        <v>West</v>
      </c>
      <c r="P1824">
        <f>VLOOKUP(D1824, Products!A:E, 4, FALSE)</f>
        <v>519</v>
      </c>
      <c r="Q1824">
        <f>IF(COUNTIF($A$2:A1824, A1824)=2, 1, 0)</f>
        <v>0</v>
      </c>
      <c r="R1824">
        <f>IF(ISNA(MATCH(C1824, Customers!$A:$A, 0)), 1, 0)</f>
        <v>0</v>
      </c>
      <c r="S1824" s="94" t="b">
        <f>VLOOKUP(D1824, Products!A:F, 6, FALSE)</f>
        <v>1</v>
      </c>
    </row>
    <row r="1825" spans="1:19">
      <c r="A1825" s="102" t="s">
        <v>2322</v>
      </c>
      <c r="B1825" s="2">
        <v>45310</v>
      </c>
      <c r="C1825" s="1" t="s">
        <v>479</v>
      </c>
      <c r="D1825" s="1" t="s">
        <v>147</v>
      </c>
      <c r="E1825" s="1" t="s">
        <v>128</v>
      </c>
      <c r="F1825" s="83">
        <v>4</v>
      </c>
      <c r="G1825" s="92">
        <v>190</v>
      </c>
      <c r="H1825" s="3">
        <v>6.3</v>
      </c>
      <c r="I1825" s="3">
        <v>712.12</v>
      </c>
      <c r="J1825" s="1" t="s">
        <v>144</v>
      </c>
      <c r="K1825" s="1" t="s">
        <v>88</v>
      </c>
      <c r="L1825" t="str">
        <f>VLOOKUP(D1825, Products!A:C, 3, FALSE)</f>
        <v>Sports</v>
      </c>
      <c r="M1825" t="str">
        <f>VLOOKUP(C1825, Customers!A:E, 5, FALSE)</f>
        <v>SMB</v>
      </c>
      <c r="N1825">
        <f>VLOOKUP(C1825, Customers!A:E, 3, FALSE)</f>
        <v>49</v>
      </c>
      <c r="O1825" s="93" t="str">
        <f>VLOOKUP(E1825, Sales_Reps!A:C, 3, FALSE)</f>
        <v>West</v>
      </c>
      <c r="P1825">
        <f>VLOOKUP(D1825, Products!A:E, 4, FALSE)</f>
        <v>147</v>
      </c>
      <c r="Q1825">
        <f>IF(COUNTIF($A$2:A1825, A1825)=2, 1, 0)</f>
        <v>0</v>
      </c>
      <c r="R1825">
        <f>IF(ISNA(MATCH(C1825, Customers!$A:$A, 0)), 1, 0)</f>
        <v>0</v>
      </c>
      <c r="S1825" s="94" t="b">
        <f>VLOOKUP(D1825, Products!A:F, 6, FALSE)</f>
        <v>1</v>
      </c>
    </row>
    <row r="1826" spans="1:19">
      <c r="A1826" s="102" t="s">
        <v>2323</v>
      </c>
      <c r="B1826" s="2">
        <v>45319</v>
      </c>
      <c r="C1826" s="1" t="s">
        <v>272</v>
      </c>
      <c r="D1826" s="1" t="s">
        <v>355</v>
      </c>
      <c r="E1826" s="1" t="s">
        <v>229</v>
      </c>
      <c r="F1826" s="83">
        <v>6</v>
      </c>
      <c r="G1826" s="92">
        <v>2510</v>
      </c>
      <c r="H1826" s="3">
        <v>11.5</v>
      </c>
      <c r="I1826" s="3">
        <v>13328.1</v>
      </c>
      <c r="J1826" s="1" t="s">
        <v>87</v>
      </c>
      <c r="K1826" s="1" t="s">
        <v>94</v>
      </c>
      <c r="L1826" t="str">
        <f>VLOOKUP(D1826, Products!A:C, 3, FALSE)</f>
        <v>Apparel</v>
      </c>
      <c r="M1826" t="str">
        <f>VLOOKUP(C1826, Customers!A:E, 5, FALSE)</f>
        <v>SMB</v>
      </c>
      <c r="N1826">
        <f>VLOOKUP(C1826, Customers!A:E, 3, FALSE)</f>
        <v>55</v>
      </c>
      <c r="O1826" s="93" t="str">
        <f>VLOOKUP(E1826, Sales_Reps!A:C, 3, FALSE)</f>
        <v>West</v>
      </c>
      <c r="P1826">
        <f>VLOOKUP(D1826, Products!A:E, 4, FALSE)</f>
        <v>1075</v>
      </c>
      <c r="Q1826">
        <f>IF(COUNTIF($A$2:A1826, A1826)=2, 1, 0)</f>
        <v>0</v>
      </c>
      <c r="R1826">
        <f>IF(ISNA(MATCH(C1826, Customers!$A:$A, 0)), 1, 0)</f>
        <v>0</v>
      </c>
      <c r="S1826" s="94" t="b">
        <f>VLOOKUP(D1826, Products!A:F, 6, FALSE)</f>
        <v>0</v>
      </c>
    </row>
    <row r="1827" spans="1:19">
      <c r="A1827" s="102" t="s">
        <v>2324</v>
      </c>
      <c r="B1827" s="2">
        <v>45299</v>
      </c>
      <c r="C1827" s="1" t="s">
        <v>105</v>
      </c>
      <c r="D1827" s="1" t="s">
        <v>659</v>
      </c>
      <c r="E1827" s="1" t="s">
        <v>188</v>
      </c>
      <c r="F1827" s="83">
        <v>2</v>
      </c>
      <c r="G1827" s="92">
        <v>3560</v>
      </c>
      <c r="H1827" s="3">
        <v>10.5</v>
      </c>
      <c r="I1827" s="3">
        <v>6372.4</v>
      </c>
      <c r="J1827" s="1" t="s">
        <v>87</v>
      </c>
      <c r="K1827" s="1" t="s">
        <v>94</v>
      </c>
      <c r="L1827" t="str">
        <f>VLOOKUP(D1827, Products!A:C, 3, FALSE)</f>
        <v>Apparel</v>
      </c>
      <c r="M1827" t="str">
        <f>VLOOKUP(C1827, Customers!A:E, 5, FALSE)</f>
        <v>Retail</v>
      </c>
      <c r="N1827">
        <f>VLOOKUP(C1827, Customers!A:E, 3, FALSE)</f>
        <v>36</v>
      </c>
      <c r="O1827" s="93" t="str">
        <f>VLOOKUP(E1827, Sales_Reps!A:C, 3, FALSE)</f>
        <v>South</v>
      </c>
      <c r="P1827">
        <f>VLOOKUP(D1827, Products!A:E, 4, FALSE)</f>
        <v>2629</v>
      </c>
      <c r="Q1827">
        <f>IF(COUNTIF($A$2:A1827, A1827)=2, 1, 0)</f>
        <v>0</v>
      </c>
      <c r="R1827">
        <f>IF(ISNA(MATCH(C1827, Customers!$A:$A, 0)), 1, 0)</f>
        <v>0</v>
      </c>
      <c r="S1827" s="94" t="b">
        <f>VLOOKUP(D1827, Products!A:F, 6, FALSE)</f>
        <v>1</v>
      </c>
    </row>
    <row r="1828" spans="1:19">
      <c r="A1828" s="102" t="s">
        <v>2325</v>
      </c>
      <c r="B1828" s="2">
        <v>45556</v>
      </c>
      <c r="C1828" s="1" t="s">
        <v>841</v>
      </c>
      <c r="D1828" s="1" t="s">
        <v>91</v>
      </c>
      <c r="E1828" s="1" t="s">
        <v>252</v>
      </c>
      <c r="F1828" s="83">
        <v>3</v>
      </c>
      <c r="G1828" s="92">
        <v>820</v>
      </c>
      <c r="H1828" s="3">
        <v>13</v>
      </c>
      <c r="I1828" s="3">
        <v>2140.1999999999998</v>
      </c>
      <c r="J1828" s="1" t="s">
        <v>140</v>
      </c>
      <c r="K1828" s="1" t="s">
        <v>117</v>
      </c>
      <c r="L1828" t="str">
        <f>VLOOKUP(D1828, Products!A:C, 3, FALSE)</f>
        <v>Apparel</v>
      </c>
      <c r="M1828" t="str">
        <f>VLOOKUP(C1828, Customers!A:E, 5, FALSE)</f>
        <v>Corporate</v>
      </c>
      <c r="N1828">
        <f>VLOOKUP(C1828, Customers!A:E, 3, FALSE)</f>
        <v>41</v>
      </c>
      <c r="O1828" s="93" t="str">
        <f>VLOOKUP(E1828, Sales_Reps!A:C, 3, FALSE)</f>
        <v>South</v>
      </c>
      <c r="P1828">
        <f>VLOOKUP(D1828, Products!A:E, 4, FALSE)</f>
        <v>391</v>
      </c>
      <c r="Q1828">
        <f>IF(COUNTIF($A$2:A1828, A1828)=2, 1, 0)</f>
        <v>0</v>
      </c>
      <c r="R1828">
        <f>IF(ISNA(MATCH(C1828, Customers!$A:$A, 0)), 1, 0)</f>
        <v>0</v>
      </c>
      <c r="S1828" s="94" t="b">
        <f>VLOOKUP(D1828, Products!A:F, 6, FALSE)</f>
        <v>1</v>
      </c>
    </row>
    <row r="1829" spans="1:19">
      <c r="A1829" s="102" t="s">
        <v>2326</v>
      </c>
      <c r="B1829" s="2">
        <v>45500</v>
      </c>
      <c r="C1829" s="1" t="s">
        <v>1358</v>
      </c>
      <c r="D1829" s="1" t="s">
        <v>237</v>
      </c>
      <c r="E1829" s="1" t="s">
        <v>148</v>
      </c>
      <c r="F1829" s="83">
        <v>6</v>
      </c>
      <c r="G1829" s="92">
        <v>3640</v>
      </c>
      <c r="H1829" s="3">
        <v>14</v>
      </c>
      <c r="I1829" s="3">
        <v>18782.400000000001</v>
      </c>
      <c r="J1829" s="1" t="s">
        <v>87</v>
      </c>
      <c r="K1829" s="1" t="s">
        <v>112</v>
      </c>
      <c r="L1829" t="str">
        <f>VLOOKUP(D1829, Products!A:C, 3, FALSE)</f>
        <v>Apparel</v>
      </c>
      <c r="M1829" t="str">
        <f>VLOOKUP(C1829, Customers!A:E, 5, FALSE)</f>
        <v>Corporate</v>
      </c>
      <c r="N1829">
        <f>VLOOKUP(C1829, Customers!A:E, 3, FALSE)</f>
        <v>42</v>
      </c>
      <c r="O1829" s="93" t="str">
        <f>VLOOKUP(E1829, Sales_Reps!A:C, 3, FALSE)</f>
        <v>North</v>
      </c>
      <c r="P1829">
        <f>VLOOKUP(D1829, Products!A:E, 4, FALSE)</f>
        <v>2611</v>
      </c>
      <c r="Q1829">
        <f>IF(COUNTIF($A$2:A1829, A1829)=2, 1, 0)</f>
        <v>0</v>
      </c>
      <c r="R1829">
        <f>IF(ISNA(MATCH(C1829, Customers!$A:$A, 0)), 1, 0)</f>
        <v>0</v>
      </c>
      <c r="S1829" s="94" t="b">
        <f>VLOOKUP(D1829, Products!A:F, 6, FALSE)</f>
        <v>1</v>
      </c>
    </row>
    <row r="1830" spans="1:19">
      <c r="A1830" s="102" t="s">
        <v>2327</v>
      </c>
      <c r="B1830" s="2">
        <v>45370</v>
      </c>
      <c r="C1830" s="1" t="s">
        <v>160</v>
      </c>
      <c r="D1830" s="1" t="s">
        <v>102</v>
      </c>
      <c r="E1830" s="1" t="s">
        <v>121</v>
      </c>
      <c r="F1830" s="83">
        <v>5</v>
      </c>
      <c r="G1830" s="92">
        <v>3660</v>
      </c>
      <c r="H1830" s="3">
        <v>28.7</v>
      </c>
      <c r="I1830" s="3">
        <v>13047.9</v>
      </c>
      <c r="J1830" s="1" t="s">
        <v>87</v>
      </c>
      <c r="K1830" s="1" t="s">
        <v>112</v>
      </c>
      <c r="L1830" t="str">
        <f>VLOOKUP(D1830, Products!A:C, 3, FALSE)</f>
        <v>Grocery</v>
      </c>
      <c r="M1830" t="str">
        <f>VLOOKUP(C1830, Customers!A:E, 5, FALSE)</f>
        <v>Retail</v>
      </c>
      <c r="N1830">
        <f>VLOOKUP(C1830, Customers!A:E, 3, FALSE)</f>
        <v>54</v>
      </c>
      <c r="O1830" s="93" t="str">
        <f>VLOOKUP(E1830, Sales_Reps!A:C, 3, FALSE)</f>
        <v>East</v>
      </c>
      <c r="P1830">
        <f>VLOOKUP(D1830, Products!A:E, 4, FALSE)</f>
        <v>2214</v>
      </c>
      <c r="Q1830">
        <f>IF(COUNTIF($A$2:A1830, A1830)=2, 1, 0)</f>
        <v>0</v>
      </c>
      <c r="R1830">
        <f>IF(ISNA(MATCH(C1830, Customers!$A:$A, 0)), 1, 0)</f>
        <v>0</v>
      </c>
      <c r="S1830" s="94" t="b">
        <f>VLOOKUP(D1830, Products!A:F, 6, FALSE)</f>
        <v>0</v>
      </c>
    </row>
    <row r="1831" spans="1:19">
      <c r="A1831" s="102" t="s">
        <v>2328</v>
      </c>
      <c r="B1831" s="2">
        <v>45521</v>
      </c>
      <c r="C1831" s="1" t="s">
        <v>233</v>
      </c>
      <c r="D1831" s="1" t="s">
        <v>195</v>
      </c>
      <c r="E1831" s="1" t="s">
        <v>170</v>
      </c>
      <c r="F1831" s="83">
        <v>2</v>
      </c>
      <c r="G1831" s="92">
        <v>2860</v>
      </c>
      <c r="H1831" s="3">
        <v>21.1</v>
      </c>
      <c r="I1831" s="3">
        <v>4513.08</v>
      </c>
      <c r="J1831" s="1" t="s">
        <v>87</v>
      </c>
      <c r="K1831" s="1" t="s">
        <v>88</v>
      </c>
      <c r="L1831" t="str">
        <f>VLOOKUP(D1831, Products!A:C, 3, FALSE)</f>
        <v>Sports</v>
      </c>
      <c r="M1831" t="str">
        <f>VLOOKUP(C1831, Customers!A:E, 5, FALSE)</f>
        <v>SMB</v>
      </c>
      <c r="N1831">
        <f>VLOOKUP(C1831, Customers!A:E, 3, FALSE)</f>
        <v>29</v>
      </c>
      <c r="O1831" s="93" t="str">
        <f>VLOOKUP(E1831, Sales_Reps!A:C, 3, FALSE)</f>
        <v>West</v>
      </c>
      <c r="P1831">
        <f>VLOOKUP(D1831, Products!A:E, 4, FALSE)</f>
        <v>2028</v>
      </c>
      <c r="Q1831">
        <f>IF(COUNTIF($A$2:A1831, A1831)=2, 1, 0)</f>
        <v>0</v>
      </c>
      <c r="R1831">
        <f>IF(ISNA(MATCH(C1831, Customers!$A:$A, 0)), 1, 0)</f>
        <v>0</v>
      </c>
      <c r="S1831" s="94" t="b">
        <f>VLOOKUP(D1831, Products!A:F, 6, FALSE)</f>
        <v>1</v>
      </c>
    </row>
    <row r="1832" spans="1:19">
      <c r="A1832" s="102" t="s">
        <v>2329</v>
      </c>
      <c r="B1832" s="2">
        <v>45481</v>
      </c>
      <c r="C1832" s="1" t="s">
        <v>638</v>
      </c>
      <c r="D1832" s="1" t="s">
        <v>173</v>
      </c>
      <c r="E1832" s="1" t="s">
        <v>121</v>
      </c>
      <c r="F1832" s="83">
        <v>1</v>
      </c>
      <c r="G1832" s="92">
        <v>2720</v>
      </c>
      <c r="H1832" s="3">
        <v>22.1</v>
      </c>
      <c r="I1832" s="3">
        <v>2118.88</v>
      </c>
      <c r="J1832" s="1" t="s">
        <v>87</v>
      </c>
      <c r="K1832" s="1" t="s">
        <v>99</v>
      </c>
      <c r="L1832" t="str">
        <f>VLOOKUP(D1832, Products!A:C, 3, FALSE)</f>
        <v>Apparel</v>
      </c>
      <c r="M1832" t="str">
        <f>VLOOKUP(C1832, Customers!A:E, 5, FALSE)</f>
        <v>Retail</v>
      </c>
      <c r="N1832">
        <f>VLOOKUP(C1832, Customers!A:E, 3, FALSE)</f>
        <v>43</v>
      </c>
      <c r="O1832" s="93" t="str">
        <f>VLOOKUP(E1832, Sales_Reps!A:C, 3, FALSE)</f>
        <v>East</v>
      </c>
      <c r="P1832">
        <f>VLOOKUP(D1832, Products!A:E, 4, FALSE)</f>
        <v>1962</v>
      </c>
      <c r="Q1832">
        <f>IF(COUNTIF($A$2:A1832, A1832)=2, 1, 0)</f>
        <v>0</v>
      </c>
      <c r="R1832">
        <f>IF(ISNA(MATCH(C1832, Customers!$A:$A, 0)), 1, 0)</f>
        <v>0</v>
      </c>
      <c r="S1832" s="94" t="b">
        <f>VLOOKUP(D1832, Products!A:F, 6, FALSE)</f>
        <v>1</v>
      </c>
    </row>
    <row r="1833" spans="1:19">
      <c r="A1833" s="102" t="s">
        <v>2330</v>
      </c>
      <c r="B1833" s="2">
        <v>45633</v>
      </c>
      <c r="C1833" s="1" t="s">
        <v>895</v>
      </c>
      <c r="D1833" s="1" t="s">
        <v>195</v>
      </c>
      <c r="E1833" s="1" t="s">
        <v>139</v>
      </c>
      <c r="F1833" s="83">
        <v>6</v>
      </c>
      <c r="G1833" s="92">
        <v>2860</v>
      </c>
      <c r="H1833" s="3">
        <v>10.5</v>
      </c>
      <c r="I1833" s="3">
        <v>15358.2</v>
      </c>
      <c r="J1833" s="1" t="s">
        <v>140</v>
      </c>
      <c r="K1833" s="1" t="s">
        <v>117</v>
      </c>
      <c r="L1833" t="str">
        <f>VLOOKUP(D1833, Products!A:C, 3, FALSE)</f>
        <v>Sports</v>
      </c>
      <c r="M1833" t="str">
        <f>VLOOKUP(C1833, Customers!A:E, 5, FALSE)</f>
        <v>Retail</v>
      </c>
      <c r="N1833">
        <f>VLOOKUP(C1833, Customers!A:E, 3, FALSE)</f>
        <v>46</v>
      </c>
      <c r="O1833" s="93" t="str">
        <f>VLOOKUP(E1833, Sales_Reps!A:C, 3, FALSE)</f>
        <v>North</v>
      </c>
      <c r="P1833">
        <f>VLOOKUP(D1833, Products!A:E, 4, FALSE)</f>
        <v>2028</v>
      </c>
      <c r="Q1833">
        <f>IF(COUNTIF($A$2:A1833, A1833)=2, 1, 0)</f>
        <v>0</v>
      </c>
      <c r="R1833">
        <f>IF(ISNA(MATCH(C1833, Customers!$A:$A, 0)), 1, 0)</f>
        <v>0</v>
      </c>
      <c r="S1833" s="94" t="b">
        <f>VLOOKUP(D1833, Products!A:F, 6, FALSE)</f>
        <v>1</v>
      </c>
    </row>
    <row r="1834" spans="1:19">
      <c r="A1834" s="102" t="s">
        <v>2331</v>
      </c>
      <c r="B1834" s="2">
        <v>45305</v>
      </c>
      <c r="C1834" s="1" t="s">
        <v>555</v>
      </c>
      <c r="D1834" s="1" t="s">
        <v>355</v>
      </c>
      <c r="E1834" s="1" t="s">
        <v>192</v>
      </c>
      <c r="F1834" s="83">
        <v>1</v>
      </c>
      <c r="G1834" s="92">
        <v>2510</v>
      </c>
      <c r="H1834" s="3">
        <v>12</v>
      </c>
      <c r="I1834" s="3">
        <v>2208.8000000000002</v>
      </c>
      <c r="J1834" s="1" t="s">
        <v>87</v>
      </c>
      <c r="K1834" s="1" t="s">
        <v>112</v>
      </c>
      <c r="L1834" t="str">
        <f>VLOOKUP(D1834, Products!A:C, 3, FALSE)</f>
        <v>Apparel</v>
      </c>
      <c r="M1834" t="str">
        <f>VLOOKUP(C1834, Customers!A:E, 5, FALSE)</f>
        <v>Retail</v>
      </c>
      <c r="N1834">
        <f>VLOOKUP(C1834, Customers!A:E, 3, FALSE)</f>
        <v>37</v>
      </c>
      <c r="O1834" s="93" t="str">
        <f>VLOOKUP(E1834, Sales_Reps!A:C, 3, FALSE)</f>
        <v>East</v>
      </c>
      <c r="P1834">
        <f>VLOOKUP(D1834, Products!A:E, 4, FALSE)</f>
        <v>1075</v>
      </c>
      <c r="Q1834">
        <f>IF(COUNTIF($A$2:A1834, A1834)=2, 1, 0)</f>
        <v>0</v>
      </c>
      <c r="R1834">
        <f>IF(ISNA(MATCH(C1834, Customers!$A:$A, 0)), 1, 0)</f>
        <v>0</v>
      </c>
      <c r="S1834" s="94" t="b">
        <f>VLOOKUP(D1834, Products!A:F, 6, FALSE)</f>
        <v>0</v>
      </c>
    </row>
    <row r="1835" spans="1:19">
      <c r="A1835" s="102" t="s">
        <v>2332</v>
      </c>
      <c r="B1835" s="2">
        <v>45593</v>
      </c>
      <c r="C1835" s="1" t="s">
        <v>582</v>
      </c>
      <c r="D1835" s="1" t="s">
        <v>355</v>
      </c>
      <c r="E1835" s="1" t="s">
        <v>192</v>
      </c>
      <c r="F1835" s="83">
        <v>4</v>
      </c>
      <c r="G1835" s="92">
        <v>2510</v>
      </c>
      <c r="H1835" s="3">
        <v>23.2</v>
      </c>
      <c r="I1835" s="3">
        <v>7710.72</v>
      </c>
      <c r="J1835" s="1" t="s">
        <v>87</v>
      </c>
      <c r="K1835" s="1" t="s">
        <v>94</v>
      </c>
      <c r="L1835" t="str">
        <f>VLOOKUP(D1835, Products!A:C, 3, FALSE)</f>
        <v>Apparel</v>
      </c>
      <c r="M1835" t="str">
        <f>VLOOKUP(C1835, Customers!A:E, 5, FALSE)</f>
        <v>SMB</v>
      </c>
      <c r="N1835">
        <f>VLOOKUP(C1835, Customers!A:E, 3, FALSE)</f>
        <v>59</v>
      </c>
      <c r="O1835" s="93" t="str">
        <f>VLOOKUP(E1835, Sales_Reps!A:C, 3, FALSE)</f>
        <v>East</v>
      </c>
      <c r="P1835">
        <f>VLOOKUP(D1835, Products!A:E, 4, FALSE)</f>
        <v>1075</v>
      </c>
      <c r="Q1835">
        <f>IF(COUNTIF($A$2:A1835, A1835)=2, 1, 0)</f>
        <v>0</v>
      </c>
      <c r="R1835">
        <f>IF(ISNA(MATCH(C1835, Customers!$A:$A, 0)), 1, 0)</f>
        <v>0</v>
      </c>
      <c r="S1835" s="94" t="b">
        <f>VLOOKUP(D1835, Products!A:F, 6, FALSE)</f>
        <v>0</v>
      </c>
    </row>
    <row r="1836" spans="1:19">
      <c r="A1836" s="102" t="s">
        <v>2333</v>
      </c>
      <c r="B1836" s="2">
        <v>45555</v>
      </c>
      <c r="C1836" s="1" t="s">
        <v>1065</v>
      </c>
      <c r="D1836" s="1" t="s">
        <v>380</v>
      </c>
      <c r="E1836" s="1" t="s">
        <v>92</v>
      </c>
      <c r="F1836" s="83">
        <v>8</v>
      </c>
      <c r="G1836" s="92">
        <v>960</v>
      </c>
      <c r="H1836" s="3">
        <v>20.3</v>
      </c>
      <c r="I1836" s="3">
        <v>6120.96</v>
      </c>
      <c r="J1836" s="1" t="s">
        <v>93</v>
      </c>
      <c r="K1836" s="1" t="s">
        <v>94</v>
      </c>
      <c r="L1836" t="str">
        <f>VLOOKUP(D1836, Products!A:C, 3, FALSE)</f>
        <v>Beauty</v>
      </c>
      <c r="M1836" t="str">
        <f>VLOOKUP(C1836, Customers!A:E, 5, FALSE)</f>
        <v>Retail</v>
      </c>
      <c r="N1836">
        <f>VLOOKUP(C1836, Customers!A:E, 3, FALSE)</f>
        <v>49</v>
      </c>
      <c r="O1836" s="93" t="str">
        <f>VLOOKUP(E1836, Sales_Reps!A:C, 3, FALSE)</f>
        <v>North</v>
      </c>
      <c r="P1836">
        <f>VLOOKUP(D1836, Products!A:E, 4, FALSE)</f>
        <v>675</v>
      </c>
      <c r="Q1836">
        <f>IF(COUNTIF($A$2:A1836, A1836)=2, 1, 0)</f>
        <v>0</v>
      </c>
      <c r="R1836">
        <f>IF(ISNA(MATCH(C1836, Customers!$A:$A, 0)), 1, 0)</f>
        <v>0</v>
      </c>
      <c r="S1836" s="94" t="b">
        <f>VLOOKUP(D1836, Products!A:F, 6, FALSE)</f>
        <v>1</v>
      </c>
    </row>
    <row r="1837" spans="1:19">
      <c r="A1837" s="102" t="s">
        <v>2334</v>
      </c>
      <c r="B1837" s="2">
        <v>45406</v>
      </c>
      <c r="C1837" s="1" t="s">
        <v>2053</v>
      </c>
      <c r="D1837" s="1" t="s">
        <v>124</v>
      </c>
      <c r="E1837" s="1" t="s">
        <v>132</v>
      </c>
      <c r="F1837" s="83">
        <v>3</v>
      </c>
      <c r="G1837" s="92">
        <v>5490</v>
      </c>
      <c r="H1837" s="3">
        <v>25.2</v>
      </c>
      <c r="I1837" s="3">
        <v>12319.56</v>
      </c>
      <c r="J1837" s="1" t="s">
        <v>87</v>
      </c>
      <c r="K1837" s="1" t="s">
        <v>133</v>
      </c>
      <c r="L1837" t="str">
        <f>VLOOKUP(D1837, Products!A:C, 3, FALSE)</f>
        <v>Home</v>
      </c>
      <c r="M1837" t="str">
        <f>VLOOKUP(C1837, Customers!A:E, 5, FALSE)</f>
        <v>SMB</v>
      </c>
      <c r="N1837">
        <f>VLOOKUP(C1837, Customers!A:E, 3, FALSE)</f>
        <v>39</v>
      </c>
      <c r="O1837" s="93" t="str">
        <f>VLOOKUP(E1837, Sales_Reps!A:C, 3, FALSE)</f>
        <v>South</v>
      </c>
      <c r="P1837">
        <f>VLOOKUP(D1837, Products!A:E, 4, FALSE)</f>
        <v>2549</v>
      </c>
      <c r="Q1837">
        <f>IF(COUNTIF($A$2:A1837, A1837)=2, 1, 0)</f>
        <v>0</v>
      </c>
      <c r="R1837">
        <f>IF(ISNA(MATCH(C1837, Customers!$A:$A, 0)), 1, 0)</f>
        <v>0</v>
      </c>
      <c r="S1837" s="94" t="b">
        <f>VLOOKUP(D1837, Products!A:F, 6, FALSE)</f>
        <v>1</v>
      </c>
    </row>
    <row r="1838" spans="1:19">
      <c r="A1838" s="102" t="s">
        <v>2335</v>
      </c>
      <c r="B1838" s="2">
        <v>45647</v>
      </c>
      <c r="C1838" s="1" t="s">
        <v>945</v>
      </c>
      <c r="D1838" s="1" t="s">
        <v>355</v>
      </c>
      <c r="E1838" s="1" t="s">
        <v>103</v>
      </c>
      <c r="F1838" s="83">
        <v>2</v>
      </c>
      <c r="G1838" s="92">
        <v>2510</v>
      </c>
      <c r="H1838" s="3">
        <v>28.2</v>
      </c>
      <c r="I1838" s="3">
        <v>3604.36</v>
      </c>
      <c r="J1838" s="1" t="s">
        <v>87</v>
      </c>
      <c r="K1838" s="1" t="s">
        <v>88</v>
      </c>
      <c r="L1838" t="str">
        <f>VLOOKUP(D1838, Products!A:C, 3, FALSE)</f>
        <v>Apparel</v>
      </c>
      <c r="M1838" t="str">
        <f>VLOOKUP(C1838, Customers!A:E, 5, FALSE)</f>
        <v>Retail</v>
      </c>
      <c r="N1838">
        <f>VLOOKUP(C1838, Customers!A:E, 3, FALSE)</f>
        <v>54</v>
      </c>
      <c r="O1838" s="93" t="str">
        <f>VLOOKUP(E1838, Sales_Reps!A:C, 3, FALSE)</f>
        <v>North</v>
      </c>
      <c r="P1838">
        <f>VLOOKUP(D1838, Products!A:E, 4, FALSE)</f>
        <v>1075</v>
      </c>
      <c r="Q1838">
        <f>IF(COUNTIF($A$2:A1838, A1838)=2, 1, 0)</f>
        <v>0</v>
      </c>
      <c r="R1838">
        <f>IF(ISNA(MATCH(C1838, Customers!$A:$A, 0)), 1, 0)</f>
        <v>0</v>
      </c>
      <c r="S1838" s="94" t="b">
        <f>VLOOKUP(D1838, Products!A:F, 6, FALSE)</f>
        <v>0</v>
      </c>
    </row>
    <row r="1839" spans="1:19">
      <c r="A1839" s="102" t="s">
        <v>2336</v>
      </c>
      <c r="B1839" s="2">
        <v>45386</v>
      </c>
      <c r="C1839" s="1" t="s">
        <v>797</v>
      </c>
      <c r="D1839" s="1" t="s">
        <v>91</v>
      </c>
      <c r="E1839" s="1" t="s">
        <v>273</v>
      </c>
      <c r="F1839" s="83">
        <v>1</v>
      </c>
      <c r="G1839" s="92">
        <v>820</v>
      </c>
      <c r="H1839" s="3">
        <v>4.7</v>
      </c>
      <c r="I1839" s="3">
        <v>781.46</v>
      </c>
      <c r="J1839" s="1" t="s">
        <v>87</v>
      </c>
      <c r="K1839" s="1" t="s">
        <v>99</v>
      </c>
      <c r="L1839" t="str">
        <f>VLOOKUP(D1839, Products!A:C, 3, FALSE)</f>
        <v>Apparel</v>
      </c>
      <c r="M1839" t="str">
        <f>VLOOKUP(C1839, Customers!A:E, 5, FALSE)</f>
        <v>Retail</v>
      </c>
      <c r="N1839">
        <f>VLOOKUP(C1839, Customers!A:E, 3, FALSE)</f>
        <v>63</v>
      </c>
      <c r="O1839" s="93" t="str">
        <f>VLOOKUP(E1839, Sales_Reps!A:C, 3, FALSE)</f>
        <v>South</v>
      </c>
      <c r="P1839">
        <f>VLOOKUP(D1839, Products!A:E, 4, FALSE)</f>
        <v>391</v>
      </c>
      <c r="Q1839">
        <f>IF(COUNTIF($A$2:A1839, A1839)=2, 1, 0)</f>
        <v>0</v>
      </c>
      <c r="R1839">
        <f>IF(ISNA(MATCH(C1839, Customers!$A:$A, 0)), 1, 0)</f>
        <v>0</v>
      </c>
      <c r="S1839" s="94" t="b">
        <f>VLOOKUP(D1839, Products!A:F, 6, FALSE)</f>
        <v>1</v>
      </c>
    </row>
    <row r="1840" spans="1:19">
      <c r="A1840" s="102" t="s">
        <v>2337</v>
      </c>
      <c r="B1840" s="2">
        <v>45453</v>
      </c>
      <c r="C1840" s="1" t="s">
        <v>350</v>
      </c>
      <c r="D1840" s="1" t="s">
        <v>282</v>
      </c>
      <c r="E1840" s="1" t="s">
        <v>303</v>
      </c>
      <c r="F1840" s="83">
        <v>6</v>
      </c>
      <c r="G1840" s="92">
        <v>300</v>
      </c>
      <c r="H1840" s="3">
        <v>13.3</v>
      </c>
      <c r="I1840" s="3">
        <v>1560.6</v>
      </c>
      <c r="J1840" s="1" t="s">
        <v>87</v>
      </c>
      <c r="K1840" s="1" t="s">
        <v>112</v>
      </c>
      <c r="L1840" t="str">
        <f>VLOOKUP(D1840, Products!A:C, 3, FALSE)</f>
        <v>Electronics</v>
      </c>
      <c r="M1840" t="str">
        <f>VLOOKUP(C1840, Customers!A:E, 5, FALSE)</f>
        <v>SMB</v>
      </c>
      <c r="N1840">
        <f>VLOOKUP(C1840, Customers!A:E, 3, FALSE)</f>
        <v>22</v>
      </c>
      <c r="O1840" s="93" t="str">
        <f>VLOOKUP(E1840, Sales_Reps!A:C, 3, FALSE)</f>
        <v>East</v>
      </c>
      <c r="P1840">
        <f>VLOOKUP(D1840, Products!A:E, 4, FALSE)</f>
        <v>128</v>
      </c>
      <c r="Q1840">
        <f>IF(COUNTIF($A$2:A1840, A1840)=2, 1, 0)</f>
        <v>0</v>
      </c>
      <c r="R1840">
        <f>IF(ISNA(MATCH(C1840, Customers!$A:$A, 0)), 1, 0)</f>
        <v>0</v>
      </c>
      <c r="S1840" s="94" t="b">
        <f>VLOOKUP(D1840, Products!A:F, 6, FALSE)</f>
        <v>1</v>
      </c>
    </row>
    <row r="1841" spans="1:19">
      <c r="A1841" s="102" t="s">
        <v>2338</v>
      </c>
      <c r="B1841" s="2">
        <v>45492</v>
      </c>
      <c r="C1841" s="1" t="s">
        <v>105</v>
      </c>
      <c r="D1841" s="1" t="s">
        <v>179</v>
      </c>
      <c r="E1841" s="1" t="s">
        <v>346</v>
      </c>
      <c r="F1841" s="83">
        <v>4</v>
      </c>
      <c r="G1841" s="92">
        <v>3350</v>
      </c>
      <c r="H1841" s="3">
        <v>5.8</v>
      </c>
      <c r="I1841" s="3">
        <v>12622.8</v>
      </c>
      <c r="J1841" s="1" t="s">
        <v>93</v>
      </c>
      <c r="K1841" s="1" t="s">
        <v>94</v>
      </c>
      <c r="L1841" t="str">
        <f>VLOOKUP(D1841, Products!A:C, 3, FALSE)</f>
        <v>Beauty</v>
      </c>
      <c r="M1841" t="str">
        <f>VLOOKUP(C1841, Customers!A:E, 5, FALSE)</f>
        <v>Retail</v>
      </c>
      <c r="N1841">
        <f>VLOOKUP(C1841, Customers!A:E, 3, FALSE)</f>
        <v>36</v>
      </c>
      <c r="O1841" s="93" t="str">
        <f>VLOOKUP(E1841, Sales_Reps!A:C, 3, FALSE)</f>
        <v>South</v>
      </c>
      <c r="P1841">
        <f>VLOOKUP(D1841, Products!A:E, 4, FALSE)</f>
        <v>1728</v>
      </c>
      <c r="Q1841">
        <f>IF(COUNTIF($A$2:A1841, A1841)=2, 1, 0)</f>
        <v>0</v>
      </c>
      <c r="R1841">
        <f>IF(ISNA(MATCH(C1841, Customers!$A:$A, 0)), 1, 0)</f>
        <v>0</v>
      </c>
      <c r="S1841" s="94" t="b">
        <f>VLOOKUP(D1841, Products!A:F, 6, FALSE)</f>
        <v>1</v>
      </c>
    </row>
    <row r="1842" spans="1:19">
      <c r="A1842" s="102" t="s">
        <v>2339</v>
      </c>
      <c r="B1842" s="2">
        <v>45605</v>
      </c>
      <c r="C1842" s="1" t="s">
        <v>1816</v>
      </c>
      <c r="D1842" s="1" t="s">
        <v>143</v>
      </c>
      <c r="E1842" s="1" t="s">
        <v>111</v>
      </c>
      <c r="F1842" s="83">
        <v>3</v>
      </c>
      <c r="G1842" s="92">
        <v>3250</v>
      </c>
      <c r="H1842" s="3">
        <v>19.600000000000001</v>
      </c>
      <c r="I1842" s="3">
        <v>7839</v>
      </c>
      <c r="J1842" s="1" t="s">
        <v>93</v>
      </c>
      <c r="K1842" s="1" t="s">
        <v>99</v>
      </c>
      <c r="L1842" t="str">
        <f>VLOOKUP(D1842, Products!A:C, 3, FALSE)</f>
        <v>Home</v>
      </c>
      <c r="M1842" t="str">
        <f>VLOOKUP(C1842, Customers!A:E, 5, FALSE)</f>
        <v>Retail</v>
      </c>
      <c r="N1842">
        <f>VLOOKUP(C1842, Customers!A:E, 3, FALSE)</f>
        <v>62</v>
      </c>
      <c r="O1842" s="93" t="str">
        <f>VLOOKUP(E1842, Sales_Reps!A:C, 3, FALSE)</f>
        <v>West</v>
      </c>
      <c r="P1842">
        <f>VLOOKUP(D1842, Products!A:E, 4, FALSE)</f>
        <v>1556</v>
      </c>
      <c r="Q1842">
        <f>IF(COUNTIF($A$2:A1842, A1842)=2, 1, 0)</f>
        <v>0</v>
      </c>
      <c r="R1842">
        <f>IF(ISNA(MATCH(C1842, Customers!$A:$A, 0)), 1, 0)</f>
        <v>0</v>
      </c>
      <c r="S1842" s="94" t="b">
        <f>VLOOKUP(D1842, Products!A:F, 6, FALSE)</f>
        <v>1</v>
      </c>
    </row>
    <row r="1843" spans="1:19">
      <c r="A1843" s="102" t="s">
        <v>2340</v>
      </c>
      <c r="B1843" s="2">
        <v>45344</v>
      </c>
      <c r="C1843" s="1" t="s">
        <v>153</v>
      </c>
      <c r="D1843" s="1" t="s">
        <v>176</v>
      </c>
      <c r="E1843" s="1" t="s">
        <v>343</v>
      </c>
      <c r="F1843" s="83">
        <v>10</v>
      </c>
      <c r="G1843" s="92">
        <v>1650</v>
      </c>
      <c r="H1843" s="3">
        <v>22.5</v>
      </c>
      <c r="I1843" s="3">
        <v>12787.5</v>
      </c>
      <c r="J1843" s="1" t="s">
        <v>140</v>
      </c>
      <c r="K1843" s="1" t="s">
        <v>117</v>
      </c>
      <c r="L1843" t="str">
        <f>VLOOKUP(D1843, Products!A:C, 3, FALSE)</f>
        <v>Beauty</v>
      </c>
      <c r="M1843" t="str">
        <f>VLOOKUP(C1843, Customers!A:E, 5, FALSE)</f>
        <v>SMB</v>
      </c>
      <c r="N1843">
        <f>VLOOKUP(C1843, Customers!A:E, 3, FALSE)</f>
        <v>46</v>
      </c>
      <c r="O1843" s="93" t="str">
        <f>VLOOKUP(E1843, Sales_Reps!A:C, 3, FALSE)</f>
        <v>West</v>
      </c>
      <c r="P1843">
        <f>VLOOKUP(D1843, Products!A:E, 4, FALSE)</f>
        <v>1222</v>
      </c>
      <c r="Q1843">
        <f>IF(COUNTIF($A$2:A1843, A1843)=2, 1, 0)</f>
        <v>0</v>
      </c>
      <c r="R1843">
        <f>IF(ISNA(MATCH(C1843, Customers!$A:$A, 0)), 1, 0)</f>
        <v>0</v>
      </c>
      <c r="S1843" s="94" t="b">
        <f>VLOOKUP(D1843, Products!A:F, 6, FALSE)</f>
        <v>1</v>
      </c>
    </row>
    <row r="1844" spans="1:19">
      <c r="A1844" s="102" t="s">
        <v>2341</v>
      </c>
      <c r="B1844" s="2">
        <v>45506</v>
      </c>
      <c r="C1844" s="1" t="s">
        <v>752</v>
      </c>
      <c r="D1844" s="1" t="s">
        <v>267</v>
      </c>
      <c r="E1844" s="1" t="s">
        <v>201</v>
      </c>
      <c r="F1844" s="83">
        <v>2</v>
      </c>
      <c r="G1844" s="92">
        <v>1220</v>
      </c>
      <c r="H1844" s="3">
        <v>10.5</v>
      </c>
      <c r="I1844" s="3">
        <v>2183.8000000000002</v>
      </c>
      <c r="J1844" s="1" t="s">
        <v>87</v>
      </c>
      <c r="K1844" s="1" t="s">
        <v>117</v>
      </c>
      <c r="L1844" t="str">
        <f>VLOOKUP(D1844, Products!A:C, 3, FALSE)</f>
        <v>Electronics</v>
      </c>
      <c r="M1844" t="str">
        <f>VLOOKUP(C1844, Customers!A:E, 5, FALSE)</f>
        <v>Retail</v>
      </c>
      <c r="N1844">
        <f>VLOOKUP(C1844, Customers!A:E, 3, FALSE)</f>
        <v>32</v>
      </c>
      <c r="O1844" s="93" t="str">
        <f>VLOOKUP(E1844, Sales_Reps!A:C, 3, FALSE)</f>
        <v>West</v>
      </c>
      <c r="P1844">
        <f>VLOOKUP(D1844, Products!A:E, 4, FALSE)</f>
        <v>517</v>
      </c>
      <c r="Q1844">
        <f>IF(COUNTIF($A$2:A1844, A1844)=2, 1, 0)</f>
        <v>0</v>
      </c>
      <c r="R1844">
        <f>IF(ISNA(MATCH(C1844, Customers!$A:$A, 0)), 1, 0)</f>
        <v>0</v>
      </c>
      <c r="S1844" s="94" t="b">
        <f>VLOOKUP(D1844, Products!A:F, 6, FALSE)</f>
        <v>1</v>
      </c>
    </row>
    <row r="1845" spans="1:19">
      <c r="A1845" s="102" t="s">
        <v>2342</v>
      </c>
      <c r="B1845" s="2">
        <v>45521</v>
      </c>
      <c r="C1845" s="1" t="s">
        <v>312</v>
      </c>
      <c r="D1845" s="1" t="s">
        <v>380</v>
      </c>
      <c r="E1845" s="1" t="s">
        <v>201</v>
      </c>
      <c r="F1845" s="83">
        <v>7</v>
      </c>
      <c r="G1845" s="92">
        <v>960</v>
      </c>
      <c r="H1845" s="3">
        <v>5.4</v>
      </c>
      <c r="I1845" s="3">
        <v>6357.12</v>
      </c>
      <c r="J1845" s="1" t="s">
        <v>144</v>
      </c>
      <c r="K1845" s="1" t="s">
        <v>133</v>
      </c>
      <c r="L1845" t="str">
        <f>VLOOKUP(D1845, Products!A:C, 3, FALSE)</f>
        <v>Beauty</v>
      </c>
      <c r="M1845" t="str">
        <f>VLOOKUP(C1845, Customers!A:E, 5, FALSE)</f>
        <v>Retail</v>
      </c>
      <c r="N1845">
        <f>VLOOKUP(C1845, Customers!A:E, 3, FALSE)</f>
        <v>46</v>
      </c>
      <c r="O1845" s="93" t="str">
        <f>VLOOKUP(E1845, Sales_Reps!A:C, 3, FALSE)</f>
        <v>West</v>
      </c>
      <c r="P1845">
        <f>VLOOKUP(D1845, Products!A:E, 4, FALSE)</f>
        <v>675</v>
      </c>
      <c r="Q1845">
        <f>IF(COUNTIF($A$2:A1845, A1845)=2, 1, 0)</f>
        <v>0</v>
      </c>
      <c r="R1845">
        <f>IF(ISNA(MATCH(C1845, Customers!$A:$A, 0)), 1, 0)</f>
        <v>0</v>
      </c>
      <c r="S1845" s="94" t="b">
        <f>VLOOKUP(D1845, Products!A:F, 6, FALSE)</f>
        <v>1</v>
      </c>
    </row>
    <row r="1846" spans="1:19">
      <c r="A1846" s="102" t="s">
        <v>2343</v>
      </c>
      <c r="B1846" s="2">
        <v>45389</v>
      </c>
      <c r="C1846" s="1" t="s">
        <v>905</v>
      </c>
      <c r="D1846" s="1" t="s">
        <v>184</v>
      </c>
      <c r="E1846" s="1" t="s">
        <v>98</v>
      </c>
      <c r="F1846" s="83">
        <v>3</v>
      </c>
      <c r="G1846" s="92">
        <v>4880</v>
      </c>
      <c r="H1846" s="3">
        <v>17.100000000000001</v>
      </c>
      <c r="I1846" s="3">
        <v>12136.56</v>
      </c>
      <c r="J1846" s="1" t="s">
        <v>87</v>
      </c>
      <c r="K1846" s="1" t="s">
        <v>112</v>
      </c>
      <c r="L1846" t="str">
        <f>VLOOKUP(D1846, Products!A:C, 3, FALSE)</f>
        <v>Beauty</v>
      </c>
      <c r="M1846" t="str">
        <f>VLOOKUP(C1846, Customers!A:E, 5, FALSE)</f>
        <v>SMB</v>
      </c>
      <c r="N1846">
        <f>VLOOKUP(C1846, Customers!A:E, 3, FALSE)</f>
        <v>43</v>
      </c>
      <c r="O1846" s="93" t="str">
        <f>VLOOKUP(E1846, Sales_Reps!A:C, 3, FALSE)</f>
        <v>South</v>
      </c>
      <c r="P1846">
        <f>VLOOKUP(D1846, Products!A:E, 4, FALSE)</f>
        <v>2768</v>
      </c>
      <c r="Q1846">
        <f>IF(COUNTIF($A$2:A1846, A1846)=2, 1, 0)</f>
        <v>0</v>
      </c>
      <c r="R1846">
        <f>IF(ISNA(MATCH(C1846, Customers!$A:$A, 0)), 1, 0)</f>
        <v>0</v>
      </c>
      <c r="S1846" s="94" t="b">
        <f>VLOOKUP(D1846, Products!A:F, 6, FALSE)</f>
        <v>1</v>
      </c>
    </row>
    <row r="1847" spans="1:19">
      <c r="A1847" s="102" t="s">
        <v>2344</v>
      </c>
      <c r="B1847" s="2">
        <v>45390</v>
      </c>
      <c r="C1847" s="1" t="s">
        <v>582</v>
      </c>
      <c r="D1847" s="1" t="s">
        <v>131</v>
      </c>
      <c r="E1847" s="1" t="s">
        <v>128</v>
      </c>
      <c r="F1847" s="83">
        <v>5</v>
      </c>
      <c r="G1847" s="92">
        <v>2270</v>
      </c>
      <c r="H1847" s="3">
        <v>12.4</v>
      </c>
      <c r="I1847" s="3">
        <v>9942.6</v>
      </c>
      <c r="J1847" s="1" t="s">
        <v>87</v>
      </c>
      <c r="K1847" s="1" t="s">
        <v>94</v>
      </c>
      <c r="L1847" t="str">
        <f>VLOOKUP(D1847, Products!A:C, 3, FALSE)</f>
        <v>Grocery</v>
      </c>
      <c r="M1847" t="str">
        <f>VLOOKUP(C1847, Customers!A:E, 5, FALSE)</f>
        <v>SMB</v>
      </c>
      <c r="N1847">
        <f>VLOOKUP(C1847, Customers!A:E, 3, FALSE)</f>
        <v>59</v>
      </c>
      <c r="O1847" s="93" t="str">
        <f>VLOOKUP(E1847, Sales_Reps!A:C, 3, FALSE)</f>
        <v>West</v>
      </c>
      <c r="P1847">
        <f>VLOOKUP(D1847, Products!A:E, 4, FALSE)</f>
        <v>1203</v>
      </c>
      <c r="Q1847">
        <f>IF(COUNTIF($A$2:A1847, A1847)=2, 1, 0)</f>
        <v>0</v>
      </c>
      <c r="R1847">
        <f>IF(ISNA(MATCH(C1847, Customers!$A:$A, 0)), 1, 0)</f>
        <v>0</v>
      </c>
      <c r="S1847" s="94" t="b">
        <f>VLOOKUP(D1847, Products!A:F, 6, FALSE)</f>
        <v>1</v>
      </c>
    </row>
    <row r="1848" spans="1:19">
      <c r="A1848" s="102" t="s">
        <v>2345</v>
      </c>
      <c r="B1848" s="2">
        <v>45413</v>
      </c>
      <c r="C1848" s="1" t="s">
        <v>613</v>
      </c>
      <c r="D1848" s="1" t="s">
        <v>502</v>
      </c>
      <c r="E1848" s="1" t="s">
        <v>128</v>
      </c>
      <c r="F1848" s="83">
        <v>1</v>
      </c>
      <c r="G1848" s="92">
        <v>1090</v>
      </c>
      <c r="H1848" s="3">
        <v>17.3</v>
      </c>
      <c r="I1848" s="3">
        <v>901.43</v>
      </c>
      <c r="J1848" s="1" t="s">
        <v>87</v>
      </c>
      <c r="K1848" s="1" t="s">
        <v>112</v>
      </c>
      <c r="L1848" t="str">
        <f>VLOOKUP(D1848, Products!A:C, 3, FALSE)</f>
        <v>Home</v>
      </c>
      <c r="M1848" t="str">
        <f>VLOOKUP(C1848, Customers!A:E, 5, FALSE)</f>
        <v>Retail</v>
      </c>
      <c r="N1848">
        <f>VLOOKUP(C1848, Customers!A:E, 3, FALSE)</f>
        <v>44</v>
      </c>
      <c r="O1848" s="93" t="str">
        <f>VLOOKUP(E1848, Sales_Reps!A:C, 3, FALSE)</f>
        <v>West</v>
      </c>
      <c r="P1848">
        <f>VLOOKUP(D1848, Products!A:E, 4, FALSE)</f>
        <v>464</v>
      </c>
      <c r="Q1848">
        <f>IF(COUNTIF($A$2:A1848, A1848)=2, 1, 0)</f>
        <v>0</v>
      </c>
      <c r="R1848">
        <f>IF(ISNA(MATCH(C1848, Customers!$A:$A, 0)), 1, 0)</f>
        <v>0</v>
      </c>
      <c r="S1848" s="94" t="b">
        <f>VLOOKUP(D1848, Products!A:F, 6, FALSE)</f>
        <v>1</v>
      </c>
    </row>
    <row r="1849" spans="1:19">
      <c r="A1849" s="102" t="s">
        <v>2346</v>
      </c>
      <c r="B1849" s="2">
        <v>45535</v>
      </c>
      <c r="C1849" s="1" t="s">
        <v>324</v>
      </c>
      <c r="D1849" s="1" t="s">
        <v>443</v>
      </c>
      <c r="E1849" s="1" t="s">
        <v>229</v>
      </c>
      <c r="F1849" s="83">
        <v>8</v>
      </c>
      <c r="G1849" s="92">
        <v>5080</v>
      </c>
      <c r="H1849" s="3">
        <v>0.9</v>
      </c>
      <c r="I1849" s="3">
        <v>40274.239999999998</v>
      </c>
      <c r="J1849" s="1" t="s">
        <v>87</v>
      </c>
      <c r="K1849" s="1" t="s">
        <v>133</v>
      </c>
      <c r="L1849" t="str">
        <f>VLOOKUP(D1849, Products!A:C, 3, FALSE)</f>
        <v>Home</v>
      </c>
      <c r="M1849" t="str">
        <f>VLOOKUP(C1849, Customers!A:E, 5, FALSE)</f>
        <v>Retail</v>
      </c>
      <c r="N1849">
        <f>VLOOKUP(C1849, Customers!A:E, 3, FALSE)</f>
        <v>28</v>
      </c>
      <c r="O1849" s="93" t="str">
        <f>VLOOKUP(E1849, Sales_Reps!A:C, 3, FALSE)</f>
        <v>West</v>
      </c>
      <c r="P1849">
        <f>VLOOKUP(D1849, Products!A:E, 4, FALSE)</f>
        <v>2459</v>
      </c>
      <c r="Q1849">
        <f>IF(COUNTIF($A$2:A1849, A1849)=2, 1, 0)</f>
        <v>0</v>
      </c>
      <c r="R1849">
        <f>IF(ISNA(MATCH(C1849, Customers!$A:$A, 0)), 1, 0)</f>
        <v>0</v>
      </c>
      <c r="S1849" s="94" t="b">
        <f>VLOOKUP(D1849, Products!A:F, 6, FALSE)</f>
        <v>1</v>
      </c>
    </row>
    <row r="1850" spans="1:19">
      <c r="A1850" s="102" t="s">
        <v>2347</v>
      </c>
      <c r="B1850" s="2">
        <v>45569</v>
      </c>
      <c r="C1850" s="1" t="s">
        <v>856</v>
      </c>
      <c r="D1850" s="1" t="s">
        <v>270</v>
      </c>
      <c r="E1850" s="1" t="s">
        <v>238</v>
      </c>
      <c r="F1850" s="83">
        <v>7</v>
      </c>
      <c r="G1850" s="92">
        <v>4610</v>
      </c>
      <c r="H1850" s="3">
        <v>0.9</v>
      </c>
      <c r="I1850" s="3">
        <v>31979.57</v>
      </c>
      <c r="J1850" s="1" t="s">
        <v>87</v>
      </c>
      <c r="K1850" s="1" t="s">
        <v>88</v>
      </c>
      <c r="L1850" t="str">
        <f>VLOOKUP(D1850, Products!A:C, 3, FALSE)</f>
        <v>Home</v>
      </c>
      <c r="M1850" t="str">
        <f>VLOOKUP(C1850, Customers!A:E, 5, FALSE)</f>
        <v>SMB</v>
      </c>
      <c r="N1850">
        <f>VLOOKUP(C1850, Customers!A:E, 3, FALSE)</f>
        <v>59</v>
      </c>
      <c r="O1850" s="93" t="str">
        <f>VLOOKUP(E1850, Sales_Reps!A:C, 3, FALSE)</f>
        <v>East</v>
      </c>
      <c r="P1850">
        <f>VLOOKUP(D1850, Products!A:E, 4, FALSE)</f>
        <v>1850</v>
      </c>
      <c r="Q1850">
        <f>IF(COUNTIF($A$2:A1850, A1850)=2, 1, 0)</f>
        <v>0</v>
      </c>
      <c r="R1850">
        <f>IF(ISNA(MATCH(C1850, Customers!$A:$A, 0)), 1, 0)</f>
        <v>0</v>
      </c>
      <c r="S1850" s="94" t="b">
        <f>VLOOKUP(D1850, Products!A:F, 6, FALSE)</f>
        <v>1</v>
      </c>
    </row>
    <row r="1851" spans="1:19">
      <c r="A1851" s="102" t="s">
        <v>2348</v>
      </c>
      <c r="B1851" s="2">
        <v>45527</v>
      </c>
      <c r="C1851" s="1" t="s">
        <v>501</v>
      </c>
      <c r="D1851" s="1" t="s">
        <v>276</v>
      </c>
      <c r="E1851" s="1" t="s">
        <v>128</v>
      </c>
      <c r="F1851" s="83">
        <v>1</v>
      </c>
      <c r="G1851" s="92">
        <v>3020</v>
      </c>
      <c r="H1851" s="3">
        <v>10.3</v>
      </c>
      <c r="I1851" s="3">
        <v>2708.94</v>
      </c>
      <c r="J1851" s="1" t="s">
        <v>87</v>
      </c>
      <c r="K1851" s="1" t="s">
        <v>133</v>
      </c>
      <c r="L1851" t="str">
        <f>VLOOKUP(D1851, Products!A:C, 3, FALSE)</f>
        <v>Beauty</v>
      </c>
      <c r="M1851" t="str">
        <f>VLOOKUP(C1851, Customers!A:E, 5, FALSE)</f>
        <v>SMB</v>
      </c>
      <c r="N1851">
        <f>VLOOKUP(C1851, Customers!A:E, 3, FALSE)</f>
        <v>65</v>
      </c>
      <c r="O1851" s="93" t="str">
        <f>VLOOKUP(E1851, Sales_Reps!A:C, 3, FALSE)</f>
        <v>West</v>
      </c>
      <c r="P1851">
        <f>VLOOKUP(D1851, Products!A:E, 4, FALSE)</f>
        <v>1626</v>
      </c>
      <c r="Q1851">
        <f>IF(COUNTIF($A$2:A1851, A1851)=2, 1, 0)</f>
        <v>0</v>
      </c>
      <c r="R1851">
        <f>IF(ISNA(MATCH(C1851, Customers!$A:$A, 0)), 1, 0)</f>
        <v>0</v>
      </c>
      <c r="S1851" s="94" t="b">
        <f>VLOOKUP(D1851, Products!A:F, 6, FALSE)</f>
        <v>1</v>
      </c>
    </row>
    <row r="1852" spans="1:19">
      <c r="A1852" s="102" t="s">
        <v>2349</v>
      </c>
      <c r="B1852" s="2">
        <v>45453</v>
      </c>
      <c r="C1852" s="1" t="s">
        <v>638</v>
      </c>
      <c r="D1852" s="1" t="s">
        <v>245</v>
      </c>
      <c r="E1852" s="1" t="s">
        <v>128</v>
      </c>
      <c r="F1852" s="83">
        <v>6</v>
      </c>
      <c r="G1852" s="92">
        <v>2270</v>
      </c>
      <c r="H1852" s="3">
        <v>23.1</v>
      </c>
      <c r="I1852" s="3">
        <v>10473.780000000001</v>
      </c>
      <c r="J1852" s="1" t="s">
        <v>87</v>
      </c>
      <c r="K1852" s="1" t="s">
        <v>99</v>
      </c>
      <c r="L1852" t="str">
        <f>VLOOKUP(D1852, Products!A:C, 3, FALSE)</f>
        <v>Grocery</v>
      </c>
      <c r="M1852" t="str">
        <f>VLOOKUP(C1852, Customers!A:E, 5, FALSE)</f>
        <v>Retail</v>
      </c>
      <c r="N1852">
        <f>VLOOKUP(C1852, Customers!A:E, 3, FALSE)</f>
        <v>43</v>
      </c>
      <c r="O1852" s="93" t="str">
        <f>VLOOKUP(E1852, Sales_Reps!A:C, 3, FALSE)</f>
        <v>West</v>
      </c>
      <c r="P1852">
        <f>VLOOKUP(D1852, Products!A:E, 4, FALSE)</f>
        <v>1412</v>
      </c>
      <c r="Q1852">
        <f>IF(COUNTIF($A$2:A1852, A1852)=2, 1, 0)</f>
        <v>0</v>
      </c>
      <c r="R1852">
        <f>IF(ISNA(MATCH(C1852, Customers!$A:$A, 0)), 1, 0)</f>
        <v>0</v>
      </c>
      <c r="S1852" s="94" t="b">
        <f>VLOOKUP(D1852, Products!A:F, 6, FALSE)</f>
        <v>1</v>
      </c>
    </row>
    <row r="1853" spans="1:19">
      <c r="A1853" s="102" t="s">
        <v>2350</v>
      </c>
      <c r="B1853" s="2">
        <v>45605</v>
      </c>
      <c r="C1853" s="1" t="s">
        <v>142</v>
      </c>
      <c r="D1853" s="1" t="s">
        <v>264</v>
      </c>
      <c r="E1853" s="1" t="s">
        <v>132</v>
      </c>
      <c r="F1853" s="83">
        <v>6</v>
      </c>
      <c r="G1853" s="92">
        <v>4070</v>
      </c>
      <c r="H1853" s="3">
        <v>28.9</v>
      </c>
      <c r="I1853" s="3">
        <v>17362.62</v>
      </c>
      <c r="J1853" s="1" t="s">
        <v>87</v>
      </c>
      <c r="K1853" s="1" t="s">
        <v>88</v>
      </c>
      <c r="L1853" t="str">
        <f>VLOOKUP(D1853, Products!A:C, 3, FALSE)</f>
        <v>Grocery</v>
      </c>
      <c r="M1853" t="str">
        <f>VLOOKUP(C1853, Customers!A:E, 5, FALSE)</f>
        <v>SMB</v>
      </c>
      <c r="N1853">
        <f>VLOOKUP(C1853, Customers!A:E, 3, FALSE)</f>
        <v>39</v>
      </c>
      <c r="O1853" s="93" t="str">
        <f>VLOOKUP(E1853, Sales_Reps!A:C, 3, FALSE)</f>
        <v>South</v>
      </c>
      <c r="P1853">
        <f>VLOOKUP(D1853, Products!A:E, 4, FALSE)</f>
        <v>2027</v>
      </c>
      <c r="Q1853">
        <f>IF(COUNTIF($A$2:A1853, A1853)=2, 1, 0)</f>
        <v>0</v>
      </c>
      <c r="R1853">
        <f>IF(ISNA(MATCH(C1853, Customers!$A:$A, 0)), 1, 0)</f>
        <v>0</v>
      </c>
      <c r="S1853" s="94" t="b">
        <f>VLOOKUP(D1853, Products!A:F, 6, FALSE)</f>
        <v>1</v>
      </c>
    </row>
    <row r="1854" spans="1:19">
      <c r="A1854" s="102" t="s">
        <v>2351</v>
      </c>
      <c r="B1854" s="2">
        <v>45650</v>
      </c>
      <c r="C1854" s="1" t="s">
        <v>541</v>
      </c>
      <c r="D1854" s="1" t="s">
        <v>267</v>
      </c>
      <c r="E1854" s="1" t="s">
        <v>238</v>
      </c>
      <c r="F1854" s="83">
        <v>5</v>
      </c>
      <c r="G1854" s="92">
        <v>1220</v>
      </c>
      <c r="H1854" s="3">
        <v>18.7</v>
      </c>
      <c r="I1854" s="3">
        <v>4959.3</v>
      </c>
      <c r="J1854" s="1" t="s">
        <v>87</v>
      </c>
      <c r="K1854" s="1" t="s">
        <v>94</v>
      </c>
      <c r="L1854" t="str">
        <f>VLOOKUP(D1854, Products!A:C, 3, FALSE)</f>
        <v>Electronics</v>
      </c>
      <c r="M1854" t="str">
        <f>VLOOKUP(C1854, Customers!A:E, 5, FALSE)</f>
        <v>Corporate</v>
      </c>
      <c r="N1854">
        <f>VLOOKUP(C1854, Customers!A:E, 3, FALSE)</f>
        <v>34</v>
      </c>
      <c r="O1854" s="93" t="str">
        <f>VLOOKUP(E1854, Sales_Reps!A:C, 3, FALSE)</f>
        <v>East</v>
      </c>
      <c r="P1854">
        <f>VLOOKUP(D1854, Products!A:E, 4, FALSE)</f>
        <v>517</v>
      </c>
      <c r="Q1854">
        <f>IF(COUNTIF($A$2:A1854, A1854)=2, 1, 0)</f>
        <v>0</v>
      </c>
      <c r="R1854">
        <f>IF(ISNA(MATCH(C1854, Customers!$A:$A, 0)), 1, 0)</f>
        <v>0</v>
      </c>
      <c r="S1854" s="94" t="b">
        <f>VLOOKUP(D1854, Products!A:F, 6, FALSE)</f>
        <v>1</v>
      </c>
    </row>
    <row r="1855" spans="1:19">
      <c r="A1855" s="102" t="s">
        <v>2352</v>
      </c>
      <c r="B1855" s="2">
        <v>45412</v>
      </c>
      <c r="C1855" s="1" t="s">
        <v>385</v>
      </c>
      <c r="D1855" s="1" t="s">
        <v>167</v>
      </c>
      <c r="E1855" s="1" t="s">
        <v>116</v>
      </c>
      <c r="F1855" s="83">
        <v>8</v>
      </c>
      <c r="G1855" s="92">
        <v>2480</v>
      </c>
      <c r="H1855" s="3">
        <v>3.2</v>
      </c>
      <c r="I1855" s="3">
        <v>19205.12</v>
      </c>
      <c r="J1855" s="1" t="s">
        <v>140</v>
      </c>
      <c r="K1855" s="1" t="s">
        <v>117</v>
      </c>
      <c r="L1855" t="str">
        <f>VLOOKUP(D1855, Products!A:C, 3, FALSE)</f>
        <v>Apparel</v>
      </c>
      <c r="M1855" t="str">
        <f>VLOOKUP(C1855, Customers!A:E, 5, FALSE)</f>
        <v>Retail</v>
      </c>
      <c r="N1855">
        <f>VLOOKUP(C1855, Customers!A:E, 3, FALSE)</f>
        <v>23</v>
      </c>
      <c r="O1855" s="93" t="str">
        <f>VLOOKUP(E1855, Sales_Reps!A:C, 3, FALSE)</f>
        <v>West</v>
      </c>
      <c r="P1855">
        <f>VLOOKUP(D1855, Products!A:E, 4, FALSE)</f>
        <v>1173</v>
      </c>
      <c r="Q1855">
        <f>IF(COUNTIF($A$2:A1855, A1855)=2, 1, 0)</f>
        <v>0</v>
      </c>
      <c r="R1855">
        <f>IF(ISNA(MATCH(C1855, Customers!$A:$A, 0)), 1, 0)</f>
        <v>0</v>
      </c>
      <c r="S1855" s="94" t="b">
        <f>VLOOKUP(D1855, Products!A:F, 6, FALSE)</f>
        <v>1</v>
      </c>
    </row>
    <row r="1856" spans="1:19">
      <c r="A1856" s="102" t="s">
        <v>2353</v>
      </c>
      <c r="B1856" s="2">
        <v>45554</v>
      </c>
      <c r="C1856" s="1" t="s">
        <v>460</v>
      </c>
      <c r="D1856" s="1" t="s">
        <v>195</v>
      </c>
      <c r="E1856" s="1" t="s">
        <v>86</v>
      </c>
      <c r="F1856" s="83">
        <v>7</v>
      </c>
      <c r="G1856" s="92">
        <v>2860</v>
      </c>
      <c r="H1856" s="3">
        <v>8.4</v>
      </c>
      <c r="I1856" s="3">
        <v>18338.32</v>
      </c>
      <c r="J1856" s="1" t="s">
        <v>87</v>
      </c>
      <c r="K1856" s="1" t="s">
        <v>88</v>
      </c>
      <c r="L1856" t="str">
        <f>VLOOKUP(D1856, Products!A:C, 3, FALSE)</f>
        <v>Sports</v>
      </c>
      <c r="M1856" t="str">
        <f>VLOOKUP(C1856, Customers!A:E, 5, FALSE)</f>
        <v>Corporate</v>
      </c>
      <c r="N1856">
        <f>VLOOKUP(C1856, Customers!A:E, 3, FALSE)</f>
        <v>37</v>
      </c>
      <c r="O1856" s="93" t="str">
        <f>VLOOKUP(E1856, Sales_Reps!A:C, 3, FALSE)</f>
        <v>North</v>
      </c>
      <c r="P1856">
        <f>VLOOKUP(D1856, Products!A:E, 4, FALSE)</f>
        <v>2028</v>
      </c>
      <c r="Q1856">
        <f>IF(COUNTIF($A$2:A1856, A1856)=2, 1, 0)</f>
        <v>0</v>
      </c>
      <c r="R1856">
        <f>IF(ISNA(MATCH(C1856, Customers!$A:$A, 0)), 1, 0)</f>
        <v>0</v>
      </c>
      <c r="S1856" s="94" t="b">
        <f>VLOOKUP(D1856, Products!A:F, 6, FALSE)</f>
        <v>1</v>
      </c>
    </row>
    <row r="1857" spans="1:19">
      <c r="A1857" s="102" t="s">
        <v>2354</v>
      </c>
      <c r="B1857" s="2">
        <v>45365</v>
      </c>
      <c r="C1857" s="1" t="s">
        <v>322</v>
      </c>
      <c r="D1857" s="1" t="s">
        <v>234</v>
      </c>
      <c r="E1857" s="1" t="s">
        <v>116</v>
      </c>
      <c r="F1857" s="83">
        <v>1</v>
      </c>
      <c r="G1857" s="92">
        <v>3780</v>
      </c>
      <c r="H1857" s="3">
        <v>16.3</v>
      </c>
      <c r="I1857" s="3">
        <v>3163.86</v>
      </c>
      <c r="J1857" s="1" t="s">
        <v>140</v>
      </c>
      <c r="K1857" s="1" t="s">
        <v>99</v>
      </c>
      <c r="L1857" t="str">
        <f>VLOOKUP(D1857, Products!A:C, 3, FALSE)</f>
        <v>Grocery</v>
      </c>
      <c r="M1857" t="str">
        <f>VLOOKUP(C1857, Customers!A:E, 5, FALSE)</f>
        <v>Retail</v>
      </c>
      <c r="N1857">
        <f>VLOOKUP(C1857, Customers!A:E, 3, FALSE)</f>
        <v>31</v>
      </c>
      <c r="O1857" s="93" t="str">
        <f>VLOOKUP(E1857, Sales_Reps!A:C, 3, FALSE)</f>
        <v>West</v>
      </c>
      <c r="P1857">
        <f>VLOOKUP(D1857, Products!A:E, 4, FALSE)</f>
        <v>2436</v>
      </c>
      <c r="Q1857">
        <f>IF(COUNTIF($A$2:A1857, A1857)=2, 1, 0)</f>
        <v>0</v>
      </c>
      <c r="R1857">
        <f>IF(ISNA(MATCH(C1857, Customers!$A:$A, 0)), 1, 0)</f>
        <v>0</v>
      </c>
      <c r="S1857" s="94" t="b">
        <f>VLOOKUP(D1857, Products!A:F, 6, FALSE)</f>
        <v>1</v>
      </c>
    </row>
    <row r="1858" spans="1:19">
      <c r="A1858" s="102" t="s">
        <v>2355</v>
      </c>
      <c r="B1858" s="2">
        <v>45504</v>
      </c>
      <c r="C1858" s="1" t="s">
        <v>977</v>
      </c>
      <c r="D1858" s="1" t="s">
        <v>195</v>
      </c>
      <c r="E1858" s="1" t="s">
        <v>111</v>
      </c>
      <c r="F1858" s="83">
        <v>6</v>
      </c>
      <c r="G1858" s="92">
        <v>2860</v>
      </c>
      <c r="H1858" s="3">
        <v>10.7</v>
      </c>
      <c r="I1858" s="3">
        <v>15323.88</v>
      </c>
      <c r="J1858" s="1" t="s">
        <v>87</v>
      </c>
      <c r="K1858" s="1" t="s">
        <v>88</v>
      </c>
      <c r="L1858" t="str">
        <f>VLOOKUP(D1858, Products!A:C, 3, FALSE)</f>
        <v>Sports</v>
      </c>
      <c r="M1858" t="str">
        <f>VLOOKUP(C1858, Customers!A:E, 5, FALSE)</f>
        <v>Corporate</v>
      </c>
      <c r="N1858">
        <f>VLOOKUP(C1858, Customers!A:E, 3, FALSE)</f>
        <v>29</v>
      </c>
      <c r="O1858" s="93" t="str">
        <f>VLOOKUP(E1858, Sales_Reps!A:C, 3, FALSE)</f>
        <v>West</v>
      </c>
      <c r="P1858">
        <f>VLOOKUP(D1858, Products!A:E, 4, FALSE)</f>
        <v>2028</v>
      </c>
      <c r="Q1858">
        <f>IF(COUNTIF($A$2:A1858, A1858)=2, 1, 0)</f>
        <v>0</v>
      </c>
      <c r="R1858">
        <f>IF(ISNA(MATCH(C1858, Customers!$A:$A, 0)), 1, 0)</f>
        <v>0</v>
      </c>
      <c r="S1858" s="94" t="b">
        <f>VLOOKUP(D1858, Products!A:F, 6, FALSE)</f>
        <v>1</v>
      </c>
    </row>
    <row r="1859" spans="1:19">
      <c r="A1859" s="102" t="s">
        <v>2356</v>
      </c>
      <c r="B1859" s="2">
        <v>45652</v>
      </c>
      <c r="C1859" s="1" t="s">
        <v>741</v>
      </c>
      <c r="D1859" s="1" t="s">
        <v>151</v>
      </c>
      <c r="E1859" s="1" t="s">
        <v>343</v>
      </c>
      <c r="F1859" s="83">
        <v>3</v>
      </c>
      <c r="G1859" s="92">
        <v>2400</v>
      </c>
      <c r="H1859" s="3">
        <v>20.7</v>
      </c>
      <c r="I1859" s="3">
        <v>5709.6</v>
      </c>
      <c r="J1859" s="1" t="s">
        <v>87</v>
      </c>
      <c r="K1859" s="1" t="s">
        <v>133</v>
      </c>
      <c r="L1859" t="str">
        <f>VLOOKUP(D1859, Products!A:C, 3, FALSE)</f>
        <v>Sports</v>
      </c>
      <c r="M1859" t="str">
        <f>VLOOKUP(C1859, Customers!A:E, 5, FALSE)</f>
        <v>SMB</v>
      </c>
      <c r="N1859">
        <f>VLOOKUP(C1859, Customers!A:E, 3, FALSE)</f>
        <v>29</v>
      </c>
      <c r="O1859" s="93" t="str">
        <f>VLOOKUP(E1859, Sales_Reps!A:C, 3, FALSE)</f>
        <v>West</v>
      </c>
      <c r="P1859">
        <f>VLOOKUP(D1859, Products!A:E, 4, FALSE)</f>
        <v>974</v>
      </c>
      <c r="Q1859">
        <f>IF(COUNTIF($A$2:A1859, A1859)=2, 1, 0)</f>
        <v>0</v>
      </c>
      <c r="R1859">
        <f>IF(ISNA(MATCH(C1859, Customers!$A:$A, 0)), 1, 0)</f>
        <v>0</v>
      </c>
      <c r="S1859" s="94" t="b">
        <f>VLOOKUP(D1859, Products!A:F, 6, FALSE)</f>
        <v>1</v>
      </c>
    </row>
    <row r="1860" spans="1:19">
      <c r="A1860" s="102" t="s">
        <v>2357</v>
      </c>
      <c r="B1860" s="2">
        <v>45330</v>
      </c>
      <c r="C1860" s="1" t="s">
        <v>1261</v>
      </c>
      <c r="D1860" s="1" t="s">
        <v>367</v>
      </c>
      <c r="E1860" s="1" t="s">
        <v>111</v>
      </c>
      <c r="F1860" s="83">
        <v>8</v>
      </c>
      <c r="G1860" s="92">
        <v>2380</v>
      </c>
      <c r="H1860" s="3">
        <v>22.3</v>
      </c>
      <c r="I1860" s="3">
        <v>14794.08</v>
      </c>
      <c r="J1860" s="1" t="s">
        <v>144</v>
      </c>
      <c r="K1860" s="1" t="s">
        <v>117</v>
      </c>
      <c r="L1860" t="str">
        <f>VLOOKUP(D1860, Products!A:C, 3, FALSE)</f>
        <v>Grocery</v>
      </c>
      <c r="M1860" t="str">
        <f>VLOOKUP(C1860, Customers!A:E, 5, FALSE)</f>
        <v>Retail</v>
      </c>
      <c r="N1860">
        <f>VLOOKUP(C1860, Customers!A:E, 3, FALSE)</f>
        <v>54</v>
      </c>
      <c r="O1860" s="93" t="str">
        <f>VLOOKUP(E1860, Sales_Reps!A:C, 3, FALSE)</f>
        <v>West</v>
      </c>
      <c r="P1860">
        <f>VLOOKUP(D1860, Products!A:E, 4, FALSE)</f>
        <v>1182</v>
      </c>
      <c r="Q1860">
        <f>IF(COUNTIF($A$2:A1860, A1860)=2, 1, 0)</f>
        <v>0</v>
      </c>
      <c r="R1860">
        <f>IF(ISNA(MATCH(C1860, Customers!$A:$A, 0)), 1, 0)</f>
        <v>0</v>
      </c>
      <c r="S1860" s="94" t="b">
        <f>VLOOKUP(D1860, Products!A:F, 6, FALSE)</f>
        <v>1</v>
      </c>
    </row>
    <row r="1861" spans="1:19">
      <c r="A1861" s="102" t="s">
        <v>2358</v>
      </c>
      <c r="B1861" s="2">
        <v>45533</v>
      </c>
      <c r="C1861" s="1" t="s">
        <v>457</v>
      </c>
      <c r="D1861" s="1" t="s">
        <v>191</v>
      </c>
      <c r="E1861" s="1" t="s">
        <v>103</v>
      </c>
      <c r="F1861" s="83">
        <v>7</v>
      </c>
      <c r="G1861" s="92">
        <v>5100</v>
      </c>
      <c r="H1861" s="3">
        <v>22.9</v>
      </c>
      <c r="I1861" s="3">
        <v>27524.7</v>
      </c>
      <c r="J1861" s="1" t="s">
        <v>140</v>
      </c>
      <c r="K1861" s="1" t="s">
        <v>88</v>
      </c>
      <c r="L1861" t="str">
        <f>VLOOKUP(D1861, Products!A:C, 3, FALSE)</f>
        <v>Beauty</v>
      </c>
      <c r="M1861" t="str">
        <f>VLOOKUP(C1861, Customers!A:E, 5, FALSE)</f>
        <v>Retail</v>
      </c>
      <c r="N1861">
        <f>VLOOKUP(C1861, Customers!A:E, 3, FALSE)</f>
        <v>29</v>
      </c>
      <c r="O1861" s="93" t="str">
        <f>VLOOKUP(E1861, Sales_Reps!A:C, 3, FALSE)</f>
        <v>North</v>
      </c>
      <c r="P1861">
        <f>VLOOKUP(D1861, Products!A:E, 4, FALSE)</f>
        <v>2237</v>
      </c>
      <c r="Q1861">
        <f>IF(COUNTIF($A$2:A1861, A1861)=2, 1, 0)</f>
        <v>0</v>
      </c>
      <c r="R1861">
        <f>IF(ISNA(MATCH(C1861, Customers!$A:$A, 0)), 1, 0)</f>
        <v>0</v>
      </c>
      <c r="S1861" s="94" t="b">
        <f>VLOOKUP(D1861, Products!A:F, 6, FALSE)</f>
        <v>1</v>
      </c>
    </row>
    <row r="1862" spans="1:19">
      <c r="A1862" s="102" t="s">
        <v>2359</v>
      </c>
      <c r="B1862" s="2">
        <v>45463</v>
      </c>
      <c r="C1862" s="1" t="s">
        <v>487</v>
      </c>
      <c r="D1862" s="1" t="s">
        <v>282</v>
      </c>
      <c r="E1862" s="1" t="s">
        <v>188</v>
      </c>
      <c r="F1862" s="83">
        <v>7</v>
      </c>
      <c r="G1862" s="92">
        <v>300</v>
      </c>
      <c r="H1862" s="3">
        <v>15.3</v>
      </c>
      <c r="I1862" s="3">
        <v>1778.7</v>
      </c>
      <c r="J1862" s="1" t="s">
        <v>87</v>
      </c>
      <c r="K1862" s="1" t="s">
        <v>88</v>
      </c>
      <c r="L1862" t="str">
        <f>VLOOKUP(D1862, Products!A:C, 3, FALSE)</f>
        <v>Electronics</v>
      </c>
      <c r="M1862" t="str">
        <f>VLOOKUP(C1862, Customers!A:E, 5, FALSE)</f>
        <v>Corporate</v>
      </c>
      <c r="N1862">
        <f>VLOOKUP(C1862, Customers!A:E, 3, FALSE)</f>
        <v>29</v>
      </c>
      <c r="O1862" s="93" t="str">
        <f>VLOOKUP(E1862, Sales_Reps!A:C, 3, FALSE)</f>
        <v>South</v>
      </c>
      <c r="P1862">
        <f>VLOOKUP(D1862, Products!A:E, 4, FALSE)</f>
        <v>128</v>
      </c>
      <c r="Q1862">
        <f>IF(COUNTIF($A$2:A1862, A1862)=2, 1, 0)</f>
        <v>0</v>
      </c>
      <c r="R1862">
        <f>IF(ISNA(MATCH(C1862, Customers!$A:$A, 0)), 1, 0)</f>
        <v>0</v>
      </c>
      <c r="S1862" s="94" t="b">
        <f>VLOOKUP(D1862, Products!A:F, 6, FALSE)</f>
        <v>1</v>
      </c>
    </row>
    <row r="1863" spans="1:19">
      <c r="A1863" s="102" t="s">
        <v>2360</v>
      </c>
      <c r="B1863" s="2">
        <v>45428</v>
      </c>
      <c r="C1863" s="1" t="s">
        <v>137</v>
      </c>
      <c r="D1863" s="1" t="s">
        <v>161</v>
      </c>
      <c r="E1863" s="1" t="s">
        <v>132</v>
      </c>
      <c r="F1863" s="83">
        <v>5</v>
      </c>
      <c r="G1863" s="92">
        <v>3450</v>
      </c>
      <c r="H1863" s="3">
        <v>16.8</v>
      </c>
      <c r="I1863" s="3">
        <v>14352</v>
      </c>
      <c r="J1863" s="1" t="s">
        <v>87</v>
      </c>
      <c r="K1863" s="1" t="s">
        <v>99</v>
      </c>
      <c r="L1863" t="str">
        <f>VLOOKUP(D1863, Products!A:C, 3, FALSE)</f>
        <v>Sports</v>
      </c>
      <c r="M1863" t="str">
        <f>VLOOKUP(C1863, Customers!A:E, 5, FALSE)</f>
        <v>SMB</v>
      </c>
      <c r="N1863">
        <f>VLOOKUP(C1863, Customers!A:E, 3, FALSE)</f>
        <v>27</v>
      </c>
      <c r="O1863" s="93" t="str">
        <f>VLOOKUP(E1863, Sales_Reps!A:C, 3, FALSE)</f>
        <v>South</v>
      </c>
      <c r="P1863">
        <f>VLOOKUP(D1863, Products!A:E, 4, FALSE)</f>
        <v>2467</v>
      </c>
      <c r="Q1863">
        <f>IF(COUNTIF($A$2:A1863, A1863)=2, 1, 0)</f>
        <v>0</v>
      </c>
      <c r="R1863">
        <f>IF(ISNA(MATCH(C1863, Customers!$A:$A, 0)), 1, 0)</f>
        <v>0</v>
      </c>
      <c r="S1863" s="94" t="b">
        <f>VLOOKUP(D1863, Products!A:F, 6, FALSE)</f>
        <v>1</v>
      </c>
    </row>
    <row r="1864" spans="1:19">
      <c r="A1864" s="102" t="s">
        <v>2361</v>
      </c>
      <c r="B1864" s="2">
        <v>45634</v>
      </c>
      <c r="C1864" s="1" t="s">
        <v>686</v>
      </c>
      <c r="D1864" s="1" t="s">
        <v>195</v>
      </c>
      <c r="E1864" s="1" t="s">
        <v>98</v>
      </c>
      <c r="F1864" s="83">
        <v>4</v>
      </c>
      <c r="G1864" s="92">
        <v>2860</v>
      </c>
      <c r="H1864" s="3">
        <v>14.3</v>
      </c>
      <c r="I1864" s="3">
        <v>9804.08</v>
      </c>
      <c r="J1864" s="1" t="s">
        <v>87</v>
      </c>
      <c r="K1864" s="1" t="s">
        <v>112</v>
      </c>
      <c r="L1864" t="str">
        <f>VLOOKUP(D1864, Products!A:C, 3, FALSE)</f>
        <v>Sports</v>
      </c>
      <c r="M1864" t="str">
        <f>VLOOKUP(C1864, Customers!A:E, 5, FALSE)</f>
        <v>Retail</v>
      </c>
      <c r="N1864">
        <f>VLOOKUP(C1864, Customers!A:E, 3, FALSE)</f>
        <v>35</v>
      </c>
      <c r="O1864" s="93" t="str">
        <f>VLOOKUP(E1864, Sales_Reps!A:C, 3, FALSE)</f>
        <v>South</v>
      </c>
      <c r="P1864">
        <f>VLOOKUP(D1864, Products!A:E, 4, FALSE)</f>
        <v>2028</v>
      </c>
      <c r="Q1864">
        <f>IF(COUNTIF($A$2:A1864, A1864)=2, 1, 0)</f>
        <v>0</v>
      </c>
      <c r="R1864">
        <f>IF(ISNA(MATCH(C1864, Customers!$A:$A, 0)), 1, 0)</f>
        <v>0</v>
      </c>
      <c r="S1864" s="94" t="b">
        <f>VLOOKUP(D1864, Products!A:F, 6, FALSE)</f>
        <v>1</v>
      </c>
    </row>
    <row r="1865" spans="1:19">
      <c r="A1865" s="102" t="s">
        <v>2362</v>
      </c>
      <c r="B1865" s="2">
        <v>45627</v>
      </c>
      <c r="C1865" s="1" t="s">
        <v>528</v>
      </c>
      <c r="D1865" s="1" t="s">
        <v>173</v>
      </c>
      <c r="E1865" s="1" t="s">
        <v>215</v>
      </c>
      <c r="F1865" s="83">
        <v>6</v>
      </c>
      <c r="G1865" s="92">
        <v>2720</v>
      </c>
      <c r="H1865" s="3">
        <v>25.1</v>
      </c>
      <c r="I1865" s="3">
        <v>12223.68</v>
      </c>
      <c r="J1865" s="1" t="s">
        <v>140</v>
      </c>
      <c r="K1865" s="1" t="s">
        <v>112</v>
      </c>
      <c r="L1865" t="str">
        <f>VLOOKUP(D1865, Products!A:C, 3, FALSE)</f>
        <v>Apparel</v>
      </c>
      <c r="M1865" t="str">
        <f>VLOOKUP(C1865, Customers!A:E, 5, FALSE)</f>
        <v>Retail</v>
      </c>
      <c r="N1865">
        <f>VLOOKUP(C1865, Customers!A:E, 3, FALSE)</f>
        <v>44</v>
      </c>
      <c r="O1865" s="93" t="str">
        <f>VLOOKUP(E1865, Sales_Reps!A:C, 3, FALSE)</f>
        <v>North</v>
      </c>
      <c r="P1865">
        <f>VLOOKUP(D1865, Products!A:E, 4, FALSE)</f>
        <v>1962</v>
      </c>
      <c r="Q1865">
        <f>IF(COUNTIF($A$2:A1865, A1865)=2, 1, 0)</f>
        <v>0</v>
      </c>
      <c r="R1865">
        <f>IF(ISNA(MATCH(C1865, Customers!$A:$A, 0)), 1, 0)</f>
        <v>0</v>
      </c>
      <c r="S1865" s="94" t="b">
        <f>VLOOKUP(D1865, Products!A:F, 6, FALSE)</f>
        <v>1</v>
      </c>
    </row>
    <row r="1866" spans="1:19">
      <c r="A1866" s="102" t="s">
        <v>2363</v>
      </c>
      <c r="B1866" s="2">
        <v>45429</v>
      </c>
      <c r="C1866" s="1" t="s">
        <v>362</v>
      </c>
      <c r="D1866" s="1" t="s">
        <v>226</v>
      </c>
      <c r="E1866" s="1" t="s">
        <v>128</v>
      </c>
      <c r="F1866" s="83">
        <v>3</v>
      </c>
      <c r="G1866" s="92">
        <v>3730</v>
      </c>
      <c r="H1866" s="3">
        <v>24.8</v>
      </c>
      <c r="I1866" s="3">
        <v>8414.8799999999992</v>
      </c>
      <c r="J1866" s="1" t="s">
        <v>87</v>
      </c>
      <c r="K1866" s="1" t="s">
        <v>94</v>
      </c>
      <c r="L1866" t="str">
        <f>VLOOKUP(D1866, Products!A:C, 3, FALSE)</f>
        <v>Home</v>
      </c>
      <c r="M1866" t="str">
        <f>VLOOKUP(C1866, Customers!A:E, 5, FALSE)</f>
        <v>Corporate</v>
      </c>
      <c r="N1866">
        <f>VLOOKUP(C1866, Customers!A:E, 3, FALSE)</f>
        <v>51</v>
      </c>
      <c r="O1866" s="93" t="str">
        <f>VLOOKUP(E1866, Sales_Reps!A:C, 3, FALSE)</f>
        <v>West</v>
      </c>
      <c r="P1866">
        <f>VLOOKUP(D1866, Products!A:E, 4, FALSE)</f>
        <v>2135</v>
      </c>
      <c r="Q1866">
        <f>IF(COUNTIF($A$2:A1866, A1866)=2, 1, 0)</f>
        <v>0</v>
      </c>
      <c r="R1866">
        <f>IF(ISNA(MATCH(C1866, Customers!$A:$A, 0)), 1, 0)</f>
        <v>0</v>
      </c>
      <c r="S1866" s="94" t="b">
        <f>VLOOKUP(D1866, Products!A:F, 6, FALSE)</f>
        <v>1</v>
      </c>
    </row>
    <row r="1867" spans="1:19">
      <c r="A1867" s="102" t="s">
        <v>2364</v>
      </c>
      <c r="B1867" s="2">
        <v>45648</v>
      </c>
      <c r="C1867" s="1" t="s">
        <v>1350</v>
      </c>
      <c r="D1867" s="1" t="s">
        <v>351</v>
      </c>
      <c r="E1867" s="1" t="s">
        <v>297</v>
      </c>
      <c r="F1867" s="83">
        <v>2</v>
      </c>
      <c r="G1867" s="92">
        <v>4060</v>
      </c>
      <c r="H1867" s="3">
        <v>11.3</v>
      </c>
      <c r="I1867" s="3">
        <v>7202.44</v>
      </c>
      <c r="J1867" s="1" t="s">
        <v>87</v>
      </c>
      <c r="K1867" s="1" t="s">
        <v>112</v>
      </c>
      <c r="L1867" t="str">
        <f>VLOOKUP(D1867, Products!A:C, 3, FALSE)</f>
        <v>Grocery</v>
      </c>
      <c r="M1867" t="str">
        <f>VLOOKUP(C1867, Customers!A:E, 5, FALSE)</f>
        <v>Retail</v>
      </c>
      <c r="N1867">
        <f>VLOOKUP(C1867, Customers!A:E, 3, FALSE)</f>
        <v>38</v>
      </c>
      <c r="O1867" s="93" t="str">
        <f>VLOOKUP(E1867, Sales_Reps!A:C, 3, FALSE)</f>
        <v>North</v>
      </c>
      <c r="P1867">
        <f>VLOOKUP(D1867, Products!A:E, 4, FALSE)</f>
        <v>2911</v>
      </c>
      <c r="Q1867">
        <f>IF(COUNTIF($A$2:A1867, A1867)=2, 1, 0)</f>
        <v>0</v>
      </c>
      <c r="R1867">
        <f>IF(ISNA(MATCH(C1867, Customers!$A:$A, 0)), 1, 0)</f>
        <v>0</v>
      </c>
      <c r="S1867" s="94" t="b">
        <f>VLOOKUP(D1867, Products!A:F, 6, FALSE)</f>
        <v>1</v>
      </c>
    </row>
    <row r="1868" spans="1:19">
      <c r="A1868" s="102" t="s">
        <v>2365</v>
      </c>
      <c r="B1868" s="2">
        <v>45295</v>
      </c>
      <c r="C1868" s="1" t="s">
        <v>921</v>
      </c>
      <c r="D1868" s="1" t="s">
        <v>386</v>
      </c>
      <c r="E1868" s="1" t="s">
        <v>303</v>
      </c>
      <c r="F1868" s="83">
        <v>6</v>
      </c>
      <c r="G1868" s="92">
        <v>2290</v>
      </c>
      <c r="H1868" s="3">
        <v>26.8</v>
      </c>
      <c r="I1868" s="3">
        <v>10057.68</v>
      </c>
      <c r="J1868" s="1" t="s">
        <v>144</v>
      </c>
      <c r="K1868" s="1" t="s">
        <v>117</v>
      </c>
      <c r="L1868" t="str">
        <f>VLOOKUP(D1868, Products!A:C, 3, FALSE)</f>
        <v>Beauty</v>
      </c>
      <c r="M1868" t="str">
        <f>VLOOKUP(C1868, Customers!A:E, 5, FALSE)</f>
        <v>Retail</v>
      </c>
      <c r="N1868">
        <f>VLOOKUP(C1868, Customers!A:E, 3, FALSE)</f>
        <v>28</v>
      </c>
      <c r="O1868" s="93" t="str">
        <f>VLOOKUP(E1868, Sales_Reps!A:C, 3, FALSE)</f>
        <v>East</v>
      </c>
      <c r="P1868">
        <f>VLOOKUP(D1868, Products!A:E, 4, FALSE)</f>
        <v>1219</v>
      </c>
      <c r="Q1868">
        <f>IF(COUNTIF($A$2:A1868, A1868)=2, 1, 0)</f>
        <v>0</v>
      </c>
      <c r="R1868">
        <f>IF(ISNA(MATCH(C1868, Customers!$A:$A, 0)), 1, 0)</f>
        <v>0</v>
      </c>
      <c r="S1868" s="94" t="b">
        <f>VLOOKUP(D1868, Products!A:F, 6, FALSE)</f>
        <v>1</v>
      </c>
    </row>
    <row r="1869" spans="1:19">
      <c r="A1869" s="102" t="s">
        <v>2366</v>
      </c>
      <c r="B1869" s="2">
        <v>45418</v>
      </c>
      <c r="C1869" s="1" t="s">
        <v>353</v>
      </c>
      <c r="D1869" s="1" t="s">
        <v>515</v>
      </c>
      <c r="E1869" s="1" t="s">
        <v>252</v>
      </c>
      <c r="F1869" s="83">
        <v>1</v>
      </c>
      <c r="G1869" s="92">
        <v>6940</v>
      </c>
      <c r="H1869" s="3">
        <v>15.7</v>
      </c>
      <c r="I1869" s="3">
        <v>5850.42</v>
      </c>
      <c r="J1869" s="1" t="s">
        <v>87</v>
      </c>
      <c r="K1869" s="1" t="s">
        <v>94</v>
      </c>
      <c r="L1869" t="str">
        <f>VLOOKUP(D1869, Products!A:C, 3, FALSE)</f>
        <v>Sports</v>
      </c>
      <c r="M1869" t="str">
        <f>VLOOKUP(C1869, Customers!A:E, 5, FALSE)</f>
        <v>Retail</v>
      </c>
      <c r="N1869">
        <f>VLOOKUP(C1869, Customers!A:E, 3, FALSE)</f>
        <v>60</v>
      </c>
      <c r="O1869" s="93" t="str">
        <f>VLOOKUP(E1869, Sales_Reps!A:C, 3, FALSE)</f>
        <v>South</v>
      </c>
      <c r="P1869">
        <f>VLOOKUP(D1869, Products!A:E, 4, FALSE)</f>
        <v>2827</v>
      </c>
      <c r="Q1869">
        <f>IF(COUNTIF($A$2:A1869, A1869)=2, 1, 0)</f>
        <v>0</v>
      </c>
      <c r="R1869">
        <f>IF(ISNA(MATCH(C1869, Customers!$A:$A, 0)), 1, 0)</f>
        <v>0</v>
      </c>
      <c r="S1869" s="94" t="b">
        <f>VLOOKUP(D1869, Products!A:F, 6, FALSE)</f>
        <v>1</v>
      </c>
    </row>
    <row r="1870" spans="1:19">
      <c r="A1870" s="102" t="s">
        <v>2367</v>
      </c>
      <c r="B1870" s="2">
        <v>45623</v>
      </c>
      <c r="C1870" s="1" t="s">
        <v>411</v>
      </c>
      <c r="D1870" s="1" t="s">
        <v>226</v>
      </c>
      <c r="E1870" s="1" t="s">
        <v>204</v>
      </c>
      <c r="F1870" s="83">
        <v>3</v>
      </c>
      <c r="G1870" s="92">
        <v>3730</v>
      </c>
      <c r="H1870" s="3">
        <v>18.100000000000001</v>
      </c>
      <c r="I1870" s="3">
        <v>9164.61</v>
      </c>
      <c r="J1870" s="1" t="s">
        <v>87</v>
      </c>
      <c r="K1870" s="1" t="s">
        <v>112</v>
      </c>
      <c r="L1870" t="str">
        <f>VLOOKUP(D1870, Products!A:C, 3, FALSE)</f>
        <v>Home</v>
      </c>
      <c r="M1870" t="str">
        <f>VLOOKUP(C1870, Customers!A:E, 5, FALSE)</f>
        <v>Retail</v>
      </c>
      <c r="N1870">
        <f>VLOOKUP(C1870, Customers!A:E, 3, FALSE)</f>
        <v>61</v>
      </c>
      <c r="O1870" s="93" t="str">
        <f>VLOOKUP(E1870, Sales_Reps!A:C, 3, FALSE)</f>
        <v>South</v>
      </c>
      <c r="P1870">
        <f>VLOOKUP(D1870, Products!A:E, 4, FALSE)</f>
        <v>2135</v>
      </c>
      <c r="Q1870">
        <f>IF(COUNTIF($A$2:A1870, A1870)=2, 1, 0)</f>
        <v>0</v>
      </c>
      <c r="R1870">
        <f>IF(ISNA(MATCH(C1870, Customers!$A:$A, 0)), 1, 0)</f>
        <v>0</v>
      </c>
      <c r="S1870" s="94" t="b">
        <f>VLOOKUP(D1870, Products!A:F, 6, FALSE)</f>
        <v>1</v>
      </c>
    </row>
    <row r="1871" spans="1:19">
      <c r="A1871" s="102" t="s">
        <v>2368</v>
      </c>
      <c r="B1871" s="2">
        <v>45528</v>
      </c>
      <c r="C1871" s="1" t="s">
        <v>342</v>
      </c>
      <c r="D1871" s="1" t="s">
        <v>226</v>
      </c>
      <c r="E1871" s="1" t="s">
        <v>297</v>
      </c>
      <c r="F1871" s="83">
        <v>8</v>
      </c>
      <c r="G1871" s="92">
        <v>3730</v>
      </c>
      <c r="H1871" s="3">
        <v>12.5</v>
      </c>
      <c r="I1871" s="3">
        <v>26110</v>
      </c>
      <c r="J1871" s="1" t="s">
        <v>87</v>
      </c>
      <c r="K1871" s="1" t="s">
        <v>94</v>
      </c>
      <c r="L1871" t="str">
        <f>VLOOKUP(D1871, Products!A:C, 3, FALSE)</f>
        <v>Home</v>
      </c>
      <c r="M1871" t="str">
        <f>VLOOKUP(C1871, Customers!A:E, 5, FALSE)</f>
        <v>Retail</v>
      </c>
      <c r="N1871">
        <f>VLOOKUP(C1871, Customers!A:E, 3, FALSE)</f>
        <v>26</v>
      </c>
      <c r="O1871" s="93" t="str">
        <f>VLOOKUP(E1871, Sales_Reps!A:C, 3, FALSE)</f>
        <v>North</v>
      </c>
      <c r="P1871">
        <f>VLOOKUP(D1871, Products!A:E, 4, FALSE)</f>
        <v>2135</v>
      </c>
      <c r="Q1871">
        <f>IF(COUNTIF($A$2:A1871, A1871)=2, 1, 0)</f>
        <v>0</v>
      </c>
      <c r="R1871">
        <f>IF(ISNA(MATCH(C1871, Customers!$A:$A, 0)), 1, 0)</f>
        <v>0</v>
      </c>
      <c r="S1871" s="94" t="b">
        <f>VLOOKUP(D1871, Products!A:F, 6, FALSE)</f>
        <v>1</v>
      </c>
    </row>
    <row r="1872" spans="1:19">
      <c r="A1872" s="102" t="s">
        <v>2369</v>
      </c>
      <c r="B1872" s="2">
        <v>45644</v>
      </c>
      <c r="C1872" s="1" t="s">
        <v>1816</v>
      </c>
      <c r="D1872" s="1" t="s">
        <v>367</v>
      </c>
      <c r="E1872" s="1" t="s">
        <v>188</v>
      </c>
      <c r="F1872" s="83">
        <v>9</v>
      </c>
      <c r="G1872" s="92">
        <v>2380</v>
      </c>
      <c r="H1872" s="3">
        <v>8.1</v>
      </c>
      <c r="I1872" s="3">
        <v>19684.98</v>
      </c>
      <c r="J1872" s="1" t="s">
        <v>140</v>
      </c>
      <c r="K1872" s="1" t="s">
        <v>99</v>
      </c>
      <c r="L1872" t="str">
        <f>VLOOKUP(D1872, Products!A:C, 3, FALSE)</f>
        <v>Grocery</v>
      </c>
      <c r="M1872" t="str">
        <f>VLOOKUP(C1872, Customers!A:E, 5, FALSE)</f>
        <v>Retail</v>
      </c>
      <c r="N1872">
        <f>VLOOKUP(C1872, Customers!A:E, 3, FALSE)</f>
        <v>62</v>
      </c>
      <c r="O1872" s="93" t="str">
        <f>VLOOKUP(E1872, Sales_Reps!A:C, 3, FALSE)</f>
        <v>South</v>
      </c>
      <c r="P1872">
        <f>VLOOKUP(D1872, Products!A:E, 4, FALSE)</f>
        <v>1182</v>
      </c>
      <c r="Q1872">
        <f>IF(COUNTIF($A$2:A1872, A1872)=2, 1, 0)</f>
        <v>0</v>
      </c>
      <c r="R1872">
        <f>IF(ISNA(MATCH(C1872, Customers!$A:$A, 0)), 1, 0)</f>
        <v>0</v>
      </c>
      <c r="S1872" s="94" t="b">
        <f>VLOOKUP(D1872, Products!A:F, 6, FALSE)</f>
        <v>1</v>
      </c>
    </row>
    <row r="1873" spans="1:19">
      <c r="A1873" s="102" t="s">
        <v>2370</v>
      </c>
      <c r="B1873" s="2">
        <v>45475</v>
      </c>
      <c r="C1873" s="1" t="s">
        <v>1217</v>
      </c>
      <c r="D1873" s="1" t="s">
        <v>164</v>
      </c>
      <c r="E1873" s="1" t="s">
        <v>297</v>
      </c>
      <c r="F1873" s="83">
        <v>6</v>
      </c>
      <c r="G1873" s="92">
        <v>1080</v>
      </c>
      <c r="H1873" s="3">
        <v>8.8000000000000007</v>
      </c>
      <c r="I1873" s="3">
        <v>5909.76</v>
      </c>
      <c r="J1873" s="1" t="s">
        <v>87</v>
      </c>
      <c r="K1873" s="1" t="s">
        <v>112</v>
      </c>
      <c r="L1873" t="str">
        <f>VLOOKUP(D1873, Products!A:C, 3, FALSE)</f>
        <v>Home</v>
      </c>
      <c r="M1873" t="str">
        <f>VLOOKUP(C1873, Customers!A:E, 5, FALSE)</f>
        <v>Retail</v>
      </c>
      <c r="N1873">
        <f>VLOOKUP(C1873, Customers!A:E, 3, FALSE)</f>
        <v>44</v>
      </c>
      <c r="O1873" s="93" t="str">
        <f>VLOOKUP(E1873, Sales_Reps!A:C, 3, FALSE)</f>
        <v>North</v>
      </c>
      <c r="P1873">
        <f>VLOOKUP(D1873, Products!A:E, 4, FALSE)</f>
        <v>519</v>
      </c>
      <c r="Q1873">
        <f>IF(COUNTIF($A$2:A1873, A1873)=2, 1, 0)</f>
        <v>0</v>
      </c>
      <c r="R1873">
        <f>IF(ISNA(MATCH(C1873, Customers!$A:$A, 0)), 1, 0)</f>
        <v>0</v>
      </c>
      <c r="S1873" s="94" t="b">
        <f>VLOOKUP(D1873, Products!A:F, 6, FALSE)</f>
        <v>1</v>
      </c>
    </row>
    <row r="1874" spans="1:19">
      <c r="A1874" s="102" t="s">
        <v>2211</v>
      </c>
      <c r="B1874" s="2">
        <v>45401</v>
      </c>
      <c r="C1874" s="1" t="s">
        <v>592</v>
      </c>
      <c r="D1874" s="1" t="s">
        <v>97</v>
      </c>
      <c r="E1874" s="1" t="s">
        <v>252</v>
      </c>
      <c r="F1874" s="83">
        <v>5</v>
      </c>
      <c r="G1874" s="92">
        <v>470</v>
      </c>
      <c r="H1874" s="3">
        <v>1.3</v>
      </c>
      <c r="I1874" s="3">
        <v>2319.4499999999998</v>
      </c>
      <c r="J1874" s="1" t="s">
        <v>87</v>
      </c>
      <c r="K1874" s="1" t="s">
        <v>133</v>
      </c>
      <c r="L1874" t="str">
        <f>VLOOKUP(D1874, Products!A:C, 3, FALSE)</f>
        <v>Sports</v>
      </c>
      <c r="M1874" t="str">
        <f>VLOOKUP(C1874, Customers!A:E, 5, FALSE)</f>
        <v>Retail</v>
      </c>
      <c r="N1874">
        <f>VLOOKUP(C1874, Customers!A:E, 3, FALSE)</f>
        <v>22</v>
      </c>
      <c r="O1874" s="93" t="str">
        <f>VLOOKUP(E1874, Sales_Reps!A:C, 3, FALSE)</f>
        <v>South</v>
      </c>
      <c r="P1874">
        <f>VLOOKUP(D1874, Products!A:E, 4, FALSE)</f>
        <v>302</v>
      </c>
      <c r="Q1874">
        <f>IF(COUNTIF($A$2:A1874, A1874)=2, 1, 0)</f>
        <v>1</v>
      </c>
      <c r="R1874">
        <f>IF(ISNA(MATCH(C1874, Customers!$A:$A, 0)), 1, 0)</f>
        <v>0</v>
      </c>
      <c r="S1874" s="94" t="b">
        <f>VLOOKUP(D1874, Products!A:F, 6, FALSE)</f>
        <v>0</v>
      </c>
    </row>
    <row r="1875" spans="1:19">
      <c r="A1875" s="102" t="s">
        <v>2371</v>
      </c>
      <c r="B1875" s="2">
        <v>45516</v>
      </c>
      <c r="C1875" s="1" t="s">
        <v>945</v>
      </c>
      <c r="D1875" s="1" t="s">
        <v>110</v>
      </c>
      <c r="E1875" s="1" t="s">
        <v>201</v>
      </c>
      <c r="F1875" s="83">
        <v>4</v>
      </c>
      <c r="G1875" s="92">
        <v>370</v>
      </c>
      <c r="H1875" s="3">
        <v>13.1</v>
      </c>
      <c r="I1875" s="3">
        <v>1286.1199999999999</v>
      </c>
      <c r="J1875" s="1" t="s">
        <v>87</v>
      </c>
      <c r="K1875" s="1" t="s">
        <v>88</v>
      </c>
      <c r="L1875" t="str">
        <f>VLOOKUP(D1875, Products!A:C, 3, FALSE)</f>
        <v>Home</v>
      </c>
      <c r="M1875" t="str">
        <f>VLOOKUP(C1875, Customers!A:E, 5, FALSE)</f>
        <v>Retail</v>
      </c>
      <c r="N1875">
        <f>VLOOKUP(C1875, Customers!A:E, 3, FALSE)</f>
        <v>54</v>
      </c>
      <c r="O1875" s="93" t="str">
        <f>VLOOKUP(E1875, Sales_Reps!A:C, 3, FALSE)</f>
        <v>West</v>
      </c>
      <c r="P1875">
        <f>VLOOKUP(D1875, Products!A:E, 4, FALSE)</f>
        <v>288</v>
      </c>
      <c r="Q1875">
        <f>IF(COUNTIF($A$2:A1875, A1875)=2, 1, 0)</f>
        <v>0</v>
      </c>
      <c r="R1875">
        <f>IF(ISNA(MATCH(C1875, Customers!$A:$A, 0)), 1, 0)</f>
        <v>0</v>
      </c>
      <c r="S1875" s="94" t="b">
        <f>VLOOKUP(D1875, Products!A:F, 6, FALSE)</f>
        <v>1</v>
      </c>
    </row>
    <row r="1876" spans="1:19">
      <c r="A1876" s="102" t="s">
        <v>2372</v>
      </c>
      <c r="B1876" s="2">
        <v>45517</v>
      </c>
      <c r="C1876" s="1" t="s">
        <v>617</v>
      </c>
      <c r="D1876" s="1" t="s">
        <v>106</v>
      </c>
      <c r="E1876" s="1" t="s">
        <v>86</v>
      </c>
      <c r="F1876" s="83">
        <v>7</v>
      </c>
      <c r="G1876" s="92">
        <v>3160</v>
      </c>
      <c r="H1876" s="3">
        <v>12.3</v>
      </c>
      <c r="I1876" s="3">
        <v>19399.240000000002</v>
      </c>
      <c r="J1876" s="1" t="s">
        <v>87</v>
      </c>
      <c r="K1876" s="1" t="s">
        <v>112</v>
      </c>
      <c r="L1876" t="str">
        <f>VLOOKUP(D1876, Products!A:C, 3, FALSE)</f>
        <v>Apparel</v>
      </c>
      <c r="M1876" t="str">
        <f>VLOOKUP(C1876, Customers!A:E, 5, FALSE)</f>
        <v>SMB</v>
      </c>
      <c r="N1876">
        <f>VLOOKUP(C1876, Customers!A:E, 3, FALSE)</f>
        <v>65</v>
      </c>
      <c r="O1876" s="93" t="str">
        <f>VLOOKUP(E1876, Sales_Reps!A:C, 3, FALSE)</f>
        <v>North</v>
      </c>
      <c r="P1876">
        <f>VLOOKUP(D1876, Products!A:E, 4, FALSE)</f>
        <v>1886</v>
      </c>
      <c r="Q1876">
        <f>IF(COUNTIF($A$2:A1876, A1876)=2, 1, 0)</f>
        <v>0</v>
      </c>
      <c r="R1876">
        <f>IF(ISNA(MATCH(C1876, Customers!$A:$A, 0)), 1, 0)</f>
        <v>0</v>
      </c>
      <c r="S1876" s="94" t="b">
        <f>VLOOKUP(D1876, Products!A:F, 6, FALSE)</f>
        <v>1</v>
      </c>
    </row>
    <row r="1877" spans="1:19">
      <c r="A1877" s="102" t="s">
        <v>2373</v>
      </c>
      <c r="B1877" s="2">
        <v>45645</v>
      </c>
      <c r="C1877" s="1" t="s">
        <v>403</v>
      </c>
      <c r="D1877" s="1" t="s">
        <v>659</v>
      </c>
      <c r="E1877" s="1" t="s">
        <v>116</v>
      </c>
      <c r="F1877" s="83">
        <v>5</v>
      </c>
      <c r="G1877" s="92">
        <v>3560</v>
      </c>
      <c r="H1877" s="3">
        <v>24</v>
      </c>
      <c r="I1877" s="3">
        <v>13528</v>
      </c>
      <c r="J1877" s="1" t="s">
        <v>87</v>
      </c>
      <c r="K1877" s="1" t="s">
        <v>117</v>
      </c>
      <c r="L1877" t="str">
        <f>VLOOKUP(D1877, Products!A:C, 3, FALSE)</f>
        <v>Apparel</v>
      </c>
      <c r="M1877" t="str">
        <f>VLOOKUP(C1877, Customers!A:E, 5, FALSE)</f>
        <v>Retail</v>
      </c>
      <c r="N1877">
        <f>VLOOKUP(C1877, Customers!A:E, 3, FALSE)</f>
        <v>59</v>
      </c>
      <c r="O1877" s="93" t="str">
        <f>VLOOKUP(E1877, Sales_Reps!A:C, 3, FALSE)</f>
        <v>West</v>
      </c>
      <c r="P1877">
        <f>VLOOKUP(D1877, Products!A:E, 4, FALSE)</f>
        <v>2629</v>
      </c>
      <c r="Q1877">
        <f>IF(COUNTIF($A$2:A1877, A1877)=2, 1, 0)</f>
        <v>0</v>
      </c>
      <c r="R1877">
        <f>IF(ISNA(MATCH(C1877, Customers!$A:$A, 0)), 1, 0)</f>
        <v>0</v>
      </c>
      <c r="S1877" s="94" t="b">
        <f>VLOOKUP(D1877, Products!A:F, 6, FALSE)</f>
        <v>1</v>
      </c>
    </row>
    <row r="1878" spans="1:19">
      <c r="A1878" s="102" t="s">
        <v>2374</v>
      </c>
      <c r="B1878" s="2">
        <v>45417</v>
      </c>
      <c r="C1878" s="1" t="s">
        <v>422</v>
      </c>
      <c r="D1878" s="1" t="s">
        <v>295</v>
      </c>
      <c r="E1878" s="1" t="s">
        <v>158</v>
      </c>
      <c r="F1878" s="83">
        <v>6</v>
      </c>
      <c r="G1878" s="92">
        <v>2030</v>
      </c>
      <c r="H1878" s="3">
        <v>20.5</v>
      </c>
      <c r="I1878" s="3">
        <v>9683.1</v>
      </c>
      <c r="J1878" s="1" t="s">
        <v>87</v>
      </c>
      <c r="K1878" s="1" t="s">
        <v>94</v>
      </c>
      <c r="L1878" t="str">
        <f>VLOOKUP(D1878, Products!A:C, 3, FALSE)</f>
        <v>Home</v>
      </c>
      <c r="M1878" t="str">
        <f>VLOOKUP(C1878, Customers!A:E, 5, FALSE)</f>
        <v>SMB</v>
      </c>
      <c r="N1878">
        <f>VLOOKUP(C1878, Customers!A:E, 3, FALSE)</f>
        <v>64</v>
      </c>
      <c r="O1878" s="93" t="str">
        <f>VLOOKUP(E1878, Sales_Reps!A:C, 3, FALSE)</f>
        <v>East</v>
      </c>
      <c r="P1878">
        <f>VLOOKUP(D1878, Products!A:E, 4, FALSE)</f>
        <v>1143</v>
      </c>
      <c r="Q1878">
        <f>IF(COUNTIF($A$2:A1878, A1878)=2, 1, 0)</f>
        <v>0</v>
      </c>
      <c r="R1878">
        <f>IF(ISNA(MATCH(C1878, Customers!$A:$A, 0)), 1, 0)</f>
        <v>0</v>
      </c>
      <c r="S1878" s="94" t="b">
        <f>VLOOKUP(D1878, Products!A:F, 6, FALSE)</f>
        <v>1</v>
      </c>
    </row>
    <row r="1879" spans="1:19">
      <c r="A1879" s="102" t="s">
        <v>2375</v>
      </c>
      <c r="B1879" s="2">
        <v>45351</v>
      </c>
      <c r="C1879" s="1" t="s">
        <v>472</v>
      </c>
      <c r="D1879" s="1" t="s">
        <v>135</v>
      </c>
      <c r="E1879" s="1" t="s">
        <v>303</v>
      </c>
      <c r="F1879" s="83">
        <v>5</v>
      </c>
      <c r="G1879" s="92">
        <v>2640</v>
      </c>
      <c r="H1879" s="3">
        <v>21.3</v>
      </c>
      <c r="I1879" s="3">
        <v>10388.4</v>
      </c>
      <c r="J1879" s="1" t="s">
        <v>93</v>
      </c>
      <c r="K1879" s="1" t="s">
        <v>94</v>
      </c>
      <c r="L1879" t="str">
        <f>VLOOKUP(D1879, Products!A:C, 3, FALSE)</f>
        <v>Electronics</v>
      </c>
      <c r="M1879" t="str">
        <f>VLOOKUP(C1879, Customers!A:E, 5, FALSE)</f>
        <v>Corporate</v>
      </c>
      <c r="N1879">
        <f>VLOOKUP(C1879, Customers!A:E, 3, FALSE)</f>
        <v>35</v>
      </c>
      <c r="O1879" s="93" t="str">
        <f>VLOOKUP(E1879, Sales_Reps!A:C, 3, FALSE)</f>
        <v>East</v>
      </c>
      <c r="P1879">
        <f>VLOOKUP(D1879, Products!A:E, 4, FALSE)</f>
        <v>1149</v>
      </c>
      <c r="Q1879">
        <f>IF(COUNTIF($A$2:A1879, A1879)=2, 1, 0)</f>
        <v>0</v>
      </c>
      <c r="R1879">
        <f>IF(ISNA(MATCH(C1879, Customers!$A:$A, 0)), 1, 0)</f>
        <v>0</v>
      </c>
      <c r="S1879" s="94" t="b">
        <f>VLOOKUP(D1879, Products!A:F, 6, FALSE)</f>
        <v>1</v>
      </c>
    </row>
    <row r="1880" spans="1:19">
      <c r="A1880" s="102" t="s">
        <v>2376</v>
      </c>
      <c r="B1880" s="2">
        <v>45629</v>
      </c>
      <c r="C1880" s="1" t="s">
        <v>225</v>
      </c>
      <c r="D1880" s="1" t="s">
        <v>245</v>
      </c>
      <c r="E1880" s="1" t="s">
        <v>297</v>
      </c>
      <c r="F1880" s="83">
        <v>4</v>
      </c>
      <c r="G1880" s="92">
        <v>2270</v>
      </c>
      <c r="H1880" s="3">
        <v>15.8</v>
      </c>
      <c r="I1880" s="3">
        <v>7645.36</v>
      </c>
      <c r="J1880" s="1" t="s">
        <v>87</v>
      </c>
      <c r="K1880" s="1" t="s">
        <v>94</v>
      </c>
      <c r="L1880" t="str">
        <f>VLOOKUP(D1880, Products!A:C, 3, FALSE)</f>
        <v>Grocery</v>
      </c>
      <c r="M1880" t="str">
        <f>VLOOKUP(C1880, Customers!A:E, 5, FALSE)</f>
        <v>Retail</v>
      </c>
      <c r="N1880">
        <f>VLOOKUP(C1880, Customers!A:E, 3, FALSE)</f>
        <v>37</v>
      </c>
      <c r="O1880" s="93" t="str">
        <f>VLOOKUP(E1880, Sales_Reps!A:C, 3, FALSE)</f>
        <v>North</v>
      </c>
      <c r="P1880">
        <f>VLOOKUP(D1880, Products!A:E, 4, FALSE)</f>
        <v>1412</v>
      </c>
      <c r="Q1880">
        <f>IF(COUNTIF($A$2:A1880, A1880)=2, 1, 0)</f>
        <v>0</v>
      </c>
      <c r="R1880">
        <f>IF(ISNA(MATCH(C1880, Customers!$A:$A, 0)), 1, 0)</f>
        <v>0</v>
      </c>
      <c r="S1880" s="94" t="b">
        <f>VLOOKUP(D1880, Products!A:F, 6, FALSE)</f>
        <v>1</v>
      </c>
    </row>
    <row r="1881" spans="1:19">
      <c r="A1881" s="102" t="s">
        <v>2377</v>
      </c>
      <c r="B1881" s="2">
        <v>45588</v>
      </c>
      <c r="C1881" s="1" t="s">
        <v>528</v>
      </c>
      <c r="D1881" s="1" t="s">
        <v>110</v>
      </c>
      <c r="E1881" s="1" t="s">
        <v>297</v>
      </c>
      <c r="F1881" s="83">
        <v>1</v>
      </c>
      <c r="G1881" s="92">
        <v>370</v>
      </c>
      <c r="H1881" s="3">
        <v>27</v>
      </c>
      <c r="I1881" s="3">
        <v>270.10000000000002</v>
      </c>
      <c r="J1881" s="1" t="s">
        <v>93</v>
      </c>
      <c r="K1881" s="1" t="s">
        <v>112</v>
      </c>
      <c r="L1881" t="str">
        <f>VLOOKUP(D1881, Products!A:C, 3, FALSE)</f>
        <v>Home</v>
      </c>
      <c r="M1881" t="str">
        <f>VLOOKUP(C1881, Customers!A:E, 5, FALSE)</f>
        <v>Retail</v>
      </c>
      <c r="N1881">
        <f>VLOOKUP(C1881, Customers!A:E, 3, FALSE)</f>
        <v>44</v>
      </c>
      <c r="O1881" s="93" t="str">
        <f>VLOOKUP(E1881, Sales_Reps!A:C, 3, FALSE)</f>
        <v>North</v>
      </c>
      <c r="P1881">
        <f>VLOOKUP(D1881, Products!A:E, 4, FALSE)</f>
        <v>288</v>
      </c>
      <c r="Q1881">
        <f>IF(COUNTIF($A$2:A1881, A1881)=2, 1, 0)</f>
        <v>0</v>
      </c>
      <c r="R1881">
        <f>IF(ISNA(MATCH(C1881, Customers!$A:$A, 0)), 1, 0)</f>
        <v>0</v>
      </c>
      <c r="S1881" s="94" t="b">
        <f>VLOOKUP(D1881, Products!A:F, 6, FALSE)</f>
        <v>1</v>
      </c>
    </row>
    <row r="1882" spans="1:19">
      <c r="A1882" s="102" t="s">
        <v>2378</v>
      </c>
      <c r="B1882" s="2">
        <v>45366</v>
      </c>
      <c r="C1882" s="1" t="s">
        <v>272</v>
      </c>
      <c r="D1882" s="1" t="s">
        <v>191</v>
      </c>
      <c r="E1882" s="1" t="s">
        <v>238</v>
      </c>
      <c r="F1882" s="83">
        <v>9</v>
      </c>
      <c r="G1882" s="92">
        <v>5100</v>
      </c>
      <c r="H1882" s="3">
        <v>2.4</v>
      </c>
      <c r="I1882" s="3">
        <v>44798.400000000001</v>
      </c>
      <c r="J1882" s="1" t="s">
        <v>87</v>
      </c>
      <c r="K1882" s="1" t="s">
        <v>94</v>
      </c>
      <c r="L1882" t="str">
        <f>VLOOKUP(D1882, Products!A:C, 3, FALSE)</f>
        <v>Beauty</v>
      </c>
      <c r="M1882" t="str">
        <f>VLOOKUP(C1882, Customers!A:E, 5, FALSE)</f>
        <v>SMB</v>
      </c>
      <c r="N1882">
        <f>VLOOKUP(C1882, Customers!A:E, 3, FALSE)</f>
        <v>55</v>
      </c>
      <c r="O1882" s="93" t="str">
        <f>VLOOKUP(E1882, Sales_Reps!A:C, 3, FALSE)</f>
        <v>East</v>
      </c>
      <c r="P1882">
        <f>VLOOKUP(D1882, Products!A:E, 4, FALSE)</f>
        <v>2237</v>
      </c>
      <c r="Q1882">
        <f>IF(COUNTIF($A$2:A1882, A1882)=2, 1, 0)</f>
        <v>0</v>
      </c>
      <c r="R1882">
        <f>IF(ISNA(MATCH(C1882, Customers!$A:$A, 0)), 1, 0)</f>
        <v>0</v>
      </c>
      <c r="S1882" s="94" t="b">
        <f>VLOOKUP(D1882, Products!A:F, 6, FALSE)</f>
        <v>1</v>
      </c>
    </row>
    <row r="1883" spans="1:19">
      <c r="A1883" s="102" t="s">
        <v>2379</v>
      </c>
      <c r="B1883" s="2">
        <v>45322</v>
      </c>
      <c r="C1883" s="1" t="s">
        <v>592</v>
      </c>
      <c r="D1883" s="1" t="s">
        <v>110</v>
      </c>
      <c r="E1883" s="1" t="s">
        <v>154</v>
      </c>
      <c r="F1883" s="83">
        <v>6</v>
      </c>
      <c r="G1883" s="92">
        <v>370</v>
      </c>
      <c r="H1883" s="3">
        <v>18.7</v>
      </c>
      <c r="I1883" s="3">
        <v>1804.86</v>
      </c>
      <c r="J1883" s="1" t="s">
        <v>140</v>
      </c>
      <c r="K1883" s="1" t="s">
        <v>133</v>
      </c>
      <c r="L1883" t="str">
        <f>VLOOKUP(D1883, Products!A:C, 3, FALSE)</f>
        <v>Home</v>
      </c>
      <c r="M1883" t="str">
        <f>VLOOKUP(C1883, Customers!A:E, 5, FALSE)</f>
        <v>Retail</v>
      </c>
      <c r="N1883">
        <f>VLOOKUP(C1883, Customers!A:E, 3, FALSE)</f>
        <v>22</v>
      </c>
      <c r="O1883" s="93" t="str">
        <f>VLOOKUP(E1883, Sales_Reps!A:C, 3, FALSE)</f>
        <v>East</v>
      </c>
      <c r="P1883">
        <f>VLOOKUP(D1883, Products!A:E, 4, FALSE)</f>
        <v>288</v>
      </c>
      <c r="Q1883">
        <f>IF(COUNTIF($A$2:A1883, A1883)=2, 1, 0)</f>
        <v>0</v>
      </c>
      <c r="R1883">
        <f>IF(ISNA(MATCH(C1883, Customers!$A:$A, 0)), 1, 0)</f>
        <v>0</v>
      </c>
      <c r="S1883" s="94" t="b">
        <f>VLOOKUP(D1883, Products!A:F, 6, FALSE)</f>
        <v>1</v>
      </c>
    </row>
    <row r="1884" spans="1:19">
      <c r="A1884" s="102" t="s">
        <v>2380</v>
      </c>
      <c r="B1884" s="2">
        <v>45465</v>
      </c>
      <c r="C1884" s="1" t="s">
        <v>563</v>
      </c>
      <c r="D1884" s="1" t="s">
        <v>127</v>
      </c>
      <c r="E1884" s="1" t="s">
        <v>139</v>
      </c>
      <c r="F1884" s="83">
        <v>6</v>
      </c>
      <c r="G1884" s="92">
        <v>970</v>
      </c>
      <c r="H1884" s="3">
        <v>21.6</v>
      </c>
      <c r="I1884" s="3">
        <v>4562.88</v>
      </c>
      <c r="J1884" s="1" t="s">
        <v>87</v>
      </c>
      <c r="K1884" s="1" t="s">
        <v>88</v>
      </c>
      <c r="L1884" t="str">
        <f>VLOOKUP(D1884, Products!A:C, 3, FALSE)</f>
        <v>Grocery</v>
      </c>
      <c r="M1884" t="str">
        <f>VLOOKUP(C1884, Customers!A:E, 5, FALSE)</f>
        <v>SMB</v>
      </c>
      <c r="N1884">
        <f>VLOOKUP(C1884, Customers!A:E, 3, FALSE)</f>
        <v>24</v>
      </c>
      <c r="O1884" s="93" t="str">
        <f>VLOOKUP(E1884, Sales_Reps!A:C, 3, FALSE)</f>
        <v>North</v>
      </c>
      <c r="P1884">
        <f>VLOOKUP(D1884, Products!A:E, 4, FALSE)</f>
        <v>434</v>
      </c>
      <c r="Q1884">
        <f>IF(COUNTIF($A$2:A1884, A1884)=2, 1, 0)</f>
        <v>0</v>
      </c>
      <c r="R1884">
        <f>IF(ISNA(MATCH(C1884, Customers!$A:$A, 0)), 1, 0)</f>
        <v>0</v>
      </c>
      <c r="S1884" s="94" t="b">
        <f>VLOOKUP(D1884, Products!A:F, 6, FALSE)</f>
        <v>1</v>
      </c>
    </row>
    <row r="1885" spans="1:19">
      <c r="A1885" s="102" t="s">
        <v>2381</v>
      </c>
      <c r="B1885" s="2">
        <v>45622</v>
      </c>
      <c r="C1885" s="1" t="s">
        <v>2382</v>
      </c>
      <c r="D1885" s="1" t="s">
        <v>338</v>
      </c>
      <c r="E1885" s="1" t="s">
        <v>229</v>
      </c>
      <c r="F1885" s="83">
        <v>3</v>
      </c>
      <c r="G1885" s="92">
        <v>2210</v>
      </c>
      <c r="H1885" s="3">
        <v>8.5</v>
      </c>
      <c r="I1885" s="3">
        <v>6066.45</v>
      </c>
      <c r="J1885" s="1" t="s">
        <v>87</v>
      </c>
      <c r="K1885" s="1" t="s">
        <v>99</v>
      </c>
      <c r="L1885" t="str">
        <f>VLOOKUP(D1885, Products!A:C, 3, FALSE)</f>
        <v>Grocery</v>
      </c>
      <c r="M1885" t="e">
        <f>VLOOKUP(C1885, Customers!A:E, 5, FALSE)</f>
        <v>#N/A</v>
      </c>
      <c r="N1885" t="e">
        <f>VLOOKUP(C1885, Customers!A:E, 3, FALSE)</f>
        <v>#N/A</v>
      </c>
      <c r="O1885" s="93" t="str">
        <f>VLOOKUP(E1885, Sales_Reps!A:C, 3, FALSE)</f>
        <v>West</v>
      </c>
      <c r="P1885">
        <f>VLOOKUP(D1885, Products!A:E, 4, FALSE)</f>
        <v>1010</v>
      </c>
      <c r="Q1885">
        <f>IF(COUNTIF($A$2:A1885, A1885)=2, 1, 0)</f>
        <v>0</v>
      </c>
      <c r="R1885">
        <f>IF(ISNA(MATCH(C1885, Customers!$A:$A, 0)), 1, 0)</f>
        <v>1</v>
      </c>
      <c r="S1885" s="94" t="b">
        <f>VLOOKUP(D1885, Products!A:F, 6, FALSE)</f>
        <v>1</v>
      </c>
    </row>
    <row r="1886" spans="1:19">
      <c r="A1886" s="102" t="s">
        <v>2383</v>
      </c>
      <c r="B1886" s="2">
        <v>45457</v>
      </c>
      <c r="C1886" s="1" t="s">
        <v>382</v>
      </c>
      <c r="D1886" s="1" t="s">
        <v>176</v>
      </c>
      <c r="E1886" s="1" t="s">
        <v>297</v>
      </c>
      <c r="F1886" s="83">
        <v>1</v>
      </c>
      <c r="G1886" s="92">
        <v>1650</v>
      </c>
      <c r="H1886" s="3">
        <v>19.7</v>
      </c>
      <c r="I1886" s="3">
        <v>1324.95</v>
      </c>
      <c r="J1886" s="1" t="s">
        <v>87</v>
      </c>
      <c r="K1886" s="1" t="s">
        <v>99</v>
      </c>
      <c r="L1886" t="str">
        <f>VLOOKUP(D1886, Products!A:C, 3, FALSE)</f>
        <v>Beauty</v>
      </c>
      <c r="M1886" t="str">
        <f>VLOOKUP(C1886, Customers!A:E, 5, FALSE)</f>
        <v>Corporate</v>
      </c>
      <c r="N1886">
        <f>VLOOKUP(C1886, Customers!A:E, 3, FALSE)</f>
        <v>27</v>
      </c>
      <c r="O1886" s="93" t="str">
        <f>VLOOKUP(E1886, Sales_Reps!A:C, 3, FALSE)</f>
        <v>North</v>
      </c>
      <c r="P1886">
        <f>VLOOKUP(D1886, Products!A:E, 4, FALSE)</f>
        <v>1222</v>
      </c>
      <c r="Q1886">
        <f>IF(COUNTIF($A$2:A1886, A1886)=2, 1, 0)</f>
        <v>0</v>
      </c>
      <c r="R1886">
        <f>IF(ISNA(MATCH(C1886, Customers!$A:$A, 0)), 1, 0)</f>
        <v>0</v>
      </c>
      <c r="S1886" s="94" t="b">
        <f>VLOOKUP(D1886, Products!A:F, 6, FALSE)</f>
        <v>1</v>
      </c>
    </row>
    <row r="1887" spans="1:19">
      <c r="A1887" s="102" t="s">
        <v>2384</v>
      </c>
      <c r="B1887" s="2">
        <v>45480</v>
      </c>
      <c r="C1887" s="1" t="s">
        <v>948</v>
      </c>
      <c r="D1887" s="1" t="s">
        <v>515</v>
      </c>
      <c r="E1887" s="1" t="s">
        <v>148</v>
      </c>
      <c r="F1887" s="83">
        <v>5</v>
      </c>
      <c r="G1887" s="92">
        <v>6940</v>
      </c>
      <c r="H1887" s="3">
        <v>7.7</v>
      </c>
      <c r="I1887" s="3">
        <v>32028.1</v>
      </c>
      <c r="J1887" s="1" t="s">
        <v>87</v>
      </c>
      <c r="K1887" s="1" t="s">
        <v>88</v>
      </c>
      <c r="L1887" t="str">
        <f>VLOOKUP(D1887, Products!A:C, 3, FALSE)</f>
        <v>Sports</v>
      </c>
      <c r="M1887" t="str">
        <f>VLOOKUP(C1887, Customers!A:E, 5, FALSE)</f>
        <v>Retail</v>
      </c>
      <c r="N1887">
        <f>VLOOKUP(C1887, Customers!A:E, 3, FALSE)</f>
        <v>65</v>
      </c>
      <c r="O1887" s="93" t="str">
        <f>VLOOKUP(E1887, Sales_Reps!A:C, 3, FALSE)</f>
        <v>North</v>
      </c>
      <c r="P1887">
        <f>VLOOKUP(D1887, Products!A:E, 4, FALSE)</f>
        <v>2827</v>
      </c>
      <c r="Q1887">
        <f>IF(COUNTIF($A$2:A1887, A1887)=2, 1, 0)</f>
        <v>0</v>
      </c>
      <c r="R1887">
        <f>IF(ISNA(MATCH(C1887, Customers!$A:$A, 0)), 1, 0)</f>
        <v>0</v>
      </c>
      <c r="S1887" s="94" t="b">
        <f>VLOOKUP(D1887, Products!A:F, 6, FALSE)</f>
        <v>1</v>
      </c>
    </row>
    <row r="1888" spans="1:19">
      <c r="A1888" s="102" t="s">
        <v>2385</v>
      </c>
      <c r="B1888" s="2">
        <v>45392</v>
      </c>
      <c r="C1888" s="1" t="s">
        <v>487</v>
      </c>
      <c r="D1888" s="1" t="s">
        <v>338</v>
      </c>
      <c r="E1888" s="1" t="s">
        <v>285</v>
      </c>
      <c r="F1888" s="83">
        <v>2</v>
      </c>
      <c r="G1888" s="92">
        <v>2210</v>
      </c>
      <c r="H1888" s="3">
        <v>5.6</v>
      </c>
      <c r="I1888" s="3">
        <v>4172.4799999999996</v>
      </c>
      <c r="J1888" s="1" t="s">
        <v>140</v>
      </c>
      <c r="K1888" s="1" t="s">
        <v>88</v>
      </c>
      <c r="L1888" t="str">
        <f>VLOOKUP(D1888, Products!A:C, 3, FALSE)</f>
        <v>Grocery</v>
      </c>
      <c r="M1888" t="str">
        <f>VLOOKUP(C1888, Customers!A:E, 5, FALSE)</f>
        <v>Corporate</v>
      </c>
      <c r="N1888">
        <f>VLOOKUP(C1888, Customers!A:E, 3, FALSE)</f>
        <v>29</v>
      </c>
      <c r="O1888" s="93" t="str">
        <f>VLOOKUP(E1888, Sales_Reps!A:C, 3, FALSE)</f>
        <v>East</v>
      </c>
      <c r="P1888">
        <f>VLOOKUP(D1888, Products!A:E, 4, FALSE)</f>
        <v>1010</v>
      </c>
      <c r="Q1888">
        <f>IF(COUNTIF($A$2:A1888, A1888)=2, 1, 0)</f>
        <v>0</v>
      </c>
      <c r="R1888">
        <f>IF(ISNA(MATCH(C1888, Customers!$A:$A, 0)), 1, 0)</f>
        <v>0</v>
      </c>
      <c r="S1888" s="94" t="b">
        <f>VLOOKUP(D1888, Products!A:F, 6, FALSE)</f>
        <v>1</v>
      </c>
    </row>
    <row r="1889" spans="1:19">
      <c r="A1889" s="102" t="s">
        <v>2386</v>
      </c>
      <c r="B1889" s="2">
        <v>45380</v>
      </c>
      <c r="C1889" s="1" t="s">
        <v>316</v>
      </c>
      <c r="D1889" s="1" t="s">
        <v>138</v>
      </c>
      <c r="E1889" s="1" t="s">
        <v>98</v>
      </c>
      <c r="F1889" s="83">
        <v>9</v>
      </c>
      <c r="G1889" s="92">
        <v>2600</v>
      </c>
      <c r="H1889" s="3">
        <v>3.1</v>
      </c>
      <c r="I1889" s="3">
        <v>22674.6</v>
      </c>
      <c r="J1889" s="1" t="s">
        <v>87</v>
      </c>
      <c r="K1889" s="1" t="s">
        <v>88</v>
      </c>
      <c r="L1889" t="str">
        <f>VLOOKUP(D1889, Products!A:C, 3, FALSE)</f>
        <v>Electronics</v>
      </c>
      <c r="M1889" t="str">
        <f>VLOOKUP(C1889, Customers!A:E, 5, FALSE)</f>
        <v>SMB</v>
      </c>
      <c r="N1889">
        <f>VLOOKUP(C1889, Customers!A:E, 3, FALSE)</f>
        <v>60</v>
      </c>
      <c r="O1889" s="93" t="str">
        <f>VLOOKUP(E1889, Sales_Reps!A:C, 3, FALSE)</f>
        <v>South</v>
      </c>
      <c r="P1889">
        <f>VLOOKUP(D1889, Products!A:E, 4, FALSE)</f>
        <v>1052</v>
      </c>
      <c r="Q1889">
        <f>IF(COUNTIF($A$2:A1889, A1889)=2, 1, 0)</f>
        <v>0</v>
      </c>
      <c r="R1889">
        <f>IF(ISNA(MATCH(C1889, Customers!$A:$A, 0)), 1, 0)</f>
        <v>0</v>
      </c>
      <c r="S1889" s="94" t="b">
        <f>VLOOKUP(D1889, Products!A:F, 6, FALSE)</f>
        <v>1</v>
      </c>
    </row>
    <row r="1890" spans="1:19">
      <c r="A1890" s="102" t="s">
        <v>2387</v>
      </c>
      <c r="B1890" s="2">
        <v>45494</v>
      </c>
      <c r="C1890" s="1" t="s">
        <v>900</v>
      </c>
      <c r="D1890" s="1" t="s">
        <v>461</v>
      </c>
      <c r="E1890" s="1" t="s">
        <v>148</v>
      </c>
      <c r="F1890" s="83">
        <v>7</v>
      </c>
      <c r="G1890" s="92">
        <v>3780</v>
      </c>
      <c r="H1890" s="3">
        <v>13.3</v>
      </c>
      <c r="I1890" s="3">
        <v>22940.82</v>
      </c>
      <c r="J1890" s="1" t="s">
        <v>87</v>
      </c>
      <c r="K1890" s="1" t="s">
        <v>117</v>
      </c>
      <c r="L1890" t="str">
        <f>VLOOKUP(D1890, Products!A:C, 3, FALSE)</f>
        <v>Sports</v>
      </c>
      <c r="M1890" t="str">
        <f>VLOOKUP(C1890, Customers!A:E, 5, FALSE)</f>
        <v>Retail</v>
      </c>
      <c r="N1890">
        <f>VLOOKUP(C1890, Customers!A:E, 3, FALSE)</f>
        <v>35</v>
      </c>
      <c r="O1890" s="93" t="str">
        <f>VLOOKUP(E1890, Sales_Reps!A:C, 3, FALSE)</f>
        <v>North</v>
      </c>
      <c r="P1890">
        <f>VLOOKUP(D1890, Products!A:E, 4, FALSE)</f>
        <v>1860</v>
      </c>
      <c r="Q1890">
        <f>IF(COUNTIF($A$2:A1890, A1890)=2, 1, 0)</f>
        <v>0</v>
      </c>
      <c r="R1890">
        <f>IF(ISNA(MATCH(C1890, Customers!$A:$A, 0)), 1, 0)</f>
        <v>0</v>
      </c>
      <c r="S1890" s="94" t="b">
        <f>VLOOKUP(D1890, Products!A:F, 6, FALSE)</f>
        <v>1</v>
      </c>
    </row>
    <row r="1891" spans="1:19">
      <c r="A1891" s="102" t="s">
        <v>2388</v>
      </c>
      <c r="B1891" s="2">
        <v>45621</v>
      </c>
      <c r="C1891" s="1" t="s">
        <v>1038</v>
      </c>
      <c r="D1891" s="1" t="s">
        <v>151</v>
      </c>
      <c r="E1891" s="1" t="s">
        <v>252</v>
      </c>
      <c r="F1891" s="83">
        <v>4</v>
      </c>
      <c r="G1891" s="92">
        <v>2400</v>
      </c>
      <c r="H1891" s="3">
        <v>16.600000000000001</v>
      </c>
      <c r="I1891" s="3">
        <v>8006.4</v>
      </c>
      <c r="J1891" s="1" t="s">
        <v>93</v>
      </c>
      <c r="K1891" s="1" t="s">
        <v>117</v>
      </c>
      <c r="L1891" t="str">
        <f>VLOOKUP(D1891, Products!A:C, 3, FALSE)</f>
        <v>Sports</v>
      </c>
      <c r="M1891" t="str">
        <f>VLOOKUP(C1891, Customers!A:E, 5, FALSE)</f>
        <v>Corporate</v>
      </c>
      <c r="N1891">
        <f>VLOOKUP(C1891, Customers!A:E, 3, FALSE)</f>
        <v>55</v>
      </c>
      <c r="O1891" s="93" t="str">
        <f>VLOOKUP(E1891, Sales_Reps!A:C, 3, FALSE)</f>
        <v>South</v>
      </c>
      <c r="P1891">
        <f>VLOOKUP(D1891, Products!A:E, 4, FALSE)</f>
        <v>974</v>
      </c>
      <c r="Q1891">
        <f>IF(COUNTIF($A$2:A1891, A1891)=2, 1, 0)</f>
        <v>0</v>
      </c>
      <c r="R1891">
        <f>IF(ISNA(MATCH(C1891, Customers!$A:$A, 0)), 1, 0)</f>
        <v>0</v>
      </c>
      <c r="S1891" s="94" t="b">
        <f>VLOOKUP(D1891, Products!A:F, 6, FALSE)</f>
        <v>1</v>
      </c>
    </row>
    <row r="1892" spans="1:19">
      <c r="A1892" s="102" t="s">
        <v>2389</v>
      </c>
      <c r="B1892" s="2">
        <v>45603</v>
      </c>
      <c r="C1892" s="1" t="s">
        <v>281</v>
      </c>
      <c r="D1892" s="1" t="s">
        <v>282</v>
      </c>
      <c r="E1892" s="1" t="s">
        <v>92</v>
      </c>
      <c r="F1892" s="83">
        <v>10</v>
      </c>
      <c r="G1892" s="92">
        <v>300</v>
      </c>
      <c r="H1892" s="3">
        <v>23.9</v>
      </c>
      <c r="I1892" s="3">
        <v>2283</v>
      </c>
      <c r="J1892" s="1" t="s">
        <v>87</v>
      </c>
      <c r="K1892" s="1" t="s">
        <v>88</v>
      </c>
      <c r="L1892" t="str">
        <f>VLOOKUP(D1892, Products!A:C, 3, FALSE)</f>
        <v>Electronics</v>
      </c>
      <c r="M1892" t="str">
        <f>VLOOKUP(C1892, Customers!A:E, 5, FALSE)</f>
        <v>Retail</v>
      </c>
      <c r="N1892">
        <f>VLOOKUP(C1892, Customers!A:E, 3, FALSE)</f>
        <v>25</v>
      </c>
      <c r="O1892" s="93" t="str">
        <f>VLOOKUP(E1892, Sales_Reps!A:C, 3, FALSE)</f>
        <v>North</v>
      </c>
      <c r="P1892">
        <f>VLOOKUP(D1892, Products!A:E, 4, FALSE)</f>
        <v>128</v>
      </c>
      <c r="Q1892">
        <f>IF(COUNTIF($A$2:A1892, A1892)=2, 1, 0)</f>
        <v>0</v>
      </c>
      <c r="R1892">
        <f>IF(ISNA(MATCH(C1892, Customers!$A:$A, 0)), 1, 0)</f>
        <v>0</v>
      </c>
      <c r="S1892" s="94" t="b">
        <f>VLOOKUP(D1892, Products!A:F, 6, FALSE)</f>
        <v>1</v>
      </c>
    </row>
    <row r="1893" spans="1:19">
      <c r="A1893" s="102" t="s">
        <v>2390</v>
      </c>
      <c r="B1893" s="2">
        <v>45640</v>
      </c>
      <c r="C1893" s="1" t="s">
        <v>266</v>
      </c>
      <c r="D1893" s="1" t="s">
        <v>102</v>
      </c>
      <c r="E1893" s="1" t="s">
        <v>132</v>
      </c>
      <c r="F1893" s="83">
        <v>1</v>
      </c>
      <c r="G1893" s="92">
        <v>3660</v>
      </c>
      <c r="H1893" s="3">
        <v>1.5</v>
      </c>
      <c r="I1893" s="3">
        <v>3605.1</v>
      </c>
      <c r="J1893" s="1" t="s">
        <v>93</v>
      </c>
      <c r="K1893" s="1" t="s">
        <v>99</v>
      </c>
      <c r="L1893" t="str">
        <f>VLOOKUP(D1893, Products!A:C, 3, FALSE)</f>
        <v>Grocery</v>
      </c>
      <c r="M1893" t="str">
        <f>VLOOKUP(C1893, Customers!A:E, 5, FALSE)</f>
        <v>Corporate</v>
      </c>
      <c r="N1893">
        <f>VLOOKUP(C1893, Customers!A:E, 3, FALSE)</f>
        <v>55</v>
      </c>
      <c r="O1893" s="93" t="str">
        <f>VLOOKUP(E1893, Sales_Reps!A:C, 3, FALSE)</f>
        <v>South</v>
      </c>
      <c r="P1893">
        <f>VLOOKUP(D1893, Products!A:E, 4, FALSE)</f>
        <v>2214</v>
      </c>
      <c r="Q1893">
        <f>IF(COUNTIF($A$2:A1893, A1893)=2, 1, 0)</f>
        <v>0</v>
      </c>
      <c r="R1893">
        <f>IF(ISNA(MATCH(C1893, Customers!$A:$A, 0)), 1, 0)</f>
        <v>0</v>
      </c>
      <c r="S1893" s="94" t="b">
        <f>VLOOKUP(D1893, Products!A:F, 6, FALSE)</f>
        <v>0</v>
      </c>
    </row>
    <row r="1894" spans="1:19">
      <c r="A1894" s="102" t="s">
        <v>2391</v>
      </c>
      <c r="B1894" s="2">
        <v>45534</v>
      </c>
      <c r="C1894" s="1" t="s">
        <v>310</v>
      </c>
      <c r="D1894" s="1" t="s">
        <v>161</v>
      </c>
      <c r="E1894" s="1" t="s">
        <v>273</v>
      </c>
      <c r="F1894" s="83">
        <v>9</v>
      </c>
      <c r="G1894" s="92">
        <v>3450</v>
      </c>
      <c r="H1894" s="3">
        <v>21.8</v>
      </c>
      <c r="I1894" s="3">
        <v>24281.1</v>
      </c>
      <c r="J1894" s="1" t="s">
        <v>87</v>
      </c>
      <c r="K1894" s="1" t="s">
        <v>117</v>
      </c>
      <c r="L1894" t="str">
        <f>VLOOKUP(D1894, Products!A:C, 3, FALSE)</f>
        <v>Sports</v>
      </c>
      <c r="M1894" t="str">
        <f>VLOOKUP(C1894, Customers!A:E, 5, FALSE)</f>
        <v>Retail</v>
      </c>
      <c r="N1894">
        <f>VLOOKUP(C1894, Customers!A:E, 3, FALSE)</f>
        <v>42</v>
      </c>
      <c r="O1894" s="93" t="str">
        <f>VLOOKUP(E1894, Sales_Reps!A:C, 3, FALSE)</f>
        <v>South</v>
      </c>
      <c r="P1894">
        <f>VLOOKUP(D1894, Products!A:E, 4, FALSE)</f>
        <v>2467</v>
      </c>
      <c r="Q1894">
        <f>IF(COUNTIF($A$2:A1894, A1894)=2, 1, 0)</f>
        <v>0</v>
      </c>
      <c r="R1894">
        <f>IF(ISNA(MATCH(C1894, Customers!$A:$A, 0)), 1, 0)</f>
        <v>0</v>
      </c>
      <c r="S1894" s="94" t="b">
        <f>VLOOKUP(D1894, Products!A:F, 6, FALSE)</f>
        <v>1</v>
      </c>
    </row>
    <row r="1895" spans="1:19">
      <c r="A1895" s="102" t="s">
        <v>2392</v>
      </c>
      <c r="B1895" s="2">
        <v>45410</v>
      </c>
      <c r="C1895" s="1" t="s">
        <v>501</v>
      </c>
      <c r="D1895" s="1" t="s">
        <v>452</v>
      </c>
      <c r="E1895" s="1" t="s">
        <v>86</v>
      </c>
      <c r="F1895" s="83">
        <v>10</v>
      </c>
      <c r="G1895" s="92">
        <v>3450</v>
      </c>
      <c r="H1895" s="3">
        <v>15.7</v>
      </c>
      <c r="I1895" s="3">
        <v>29083.5</v>
      </c>
      <c r="J1895" s="1" t="s">
        <v>140</v>
      </c>
      <c r="K1895" s="1" t="s">
        <v>133</v>
      </c>
      <c r="L1895" t="str">
        <f>VLOOKUP(D1895, Products!A:C, 3, FALSE)</f>
        <v>Apparel</v>
      </c>
      <c r="M1895" t="str">
        <f>VLOOKUP(C1895, Customers!A:E, 5, FALSE)</f>
        <v>SMB</v>
      </c>
      <c r="N1895">
        <f>VLOOKUP(C1895, Customers!A:E, 3, FALSE)</f>
        <v>65</v>
      </c>
      <c r="O1895" s="93" t="str">
        <f>VLOOKUP(E1895, Sales_Reps!A:C, 3, FALSE)</f>
        <v>North</v>
      </c>
      <c r="P1895">
        <f>VLOOKUP(D1895, Products!A:E, 4, FALSE)</f>
        <v>1748</v>
      </c>
      <c r="Q1895">
        <f>IF(COUNTIF($A$2:A1895, A1895)=2, 1, 0)</f>
        <v>0</v>
      </c>
      <c r="R1895">
        <f>IF(ISNA(MATCH(C1895, Customers!$A:$A, 0)), 1, 0)</f>
        <v>0</v>
      </c>
      <c r="S1895" s="94" t="b">
        <f>VLOOKUP(D1895, Products!A:F, 6, FALSE)</f>
        <v>1</v>
      </c>
    </row>
    <row r="1896" spans="1:19">
      <c r="A1896" s="102" t="s">
        <v>2393</v>
      </c>
      <c r="B1896" s="2">
        <v>45412</v>
      </c>
      <c r="C1896" s="1" t="s">
        <v>101</v>
      </c>
      <c r="D1896" s="1" t="s">
        <v>264</v>
      </c>
      <c r="E1896" s="1" t="s">
        <v>107</v>
      </c>
      <c r="F1896" s="83">
        <v>2</v>
      </c>
      <c r="G1896" s="92">
        <v>4070</v>
      </c>
      <c r="H1896" s="3">
        <v>10.8</v>
      </c>
      <c r="I1896" s="3">
        <v>7260.88</v>
      </c>
      <c r="J1896" s="1" t="s">
        <v>87</v>
      </c>
      <c r="K1896" s="1" t="s">
        <v>99</v>
      </c>
      <c r="L1896" t="str">
        <f>VLOOKUP(D1896, Products!A:C, 3, FALSE)</f>
        <v>Grocery</v>
      </c>
      <c r="M1896" t="str">
        <f>VLOOKUP(C1896, Customers!A:E, 5, FALSE)</f>
        <v>Corporate</v>
      </c>
      <c r="N1896">
        <f>VLOOKUP(C1896, Customers!A:E, 3, FALSE)</f>
        <v>46</v>
      </c>
      <c r="O1896" s="93" t="str">
        <f>VLOOKUP(E1896, Sales_Reps!A:C, 3, FALSE)</f>
        <v>North</v>
      </c>
      <c r="P1896">
        <f>VLOOKUP(D1896, Products!A:E, 4, FALSE)</f>
        <v>2027</v>
      </c>
      <c r="Q1896">
        <f>IF(COUNTIF($A$2:A1896, A1896)=2, 1, 0)</f>
        <v>0</v>
      </c>
      <c r="R1896">
        <f>IF(ISNA(MATCH(C1896, Customers!$A:$A, 0)), 1, 0)</f>
        <v>0</v>
      </c>
      <c r="S1896" s="94" t="b">
        <f>VLOOKUP(D1896, Products!A:F, 6, FALSE)</f>
        <v>1</v>
      </c>
    </row>
    <row r="1897" spans="1:19">
      <c r="A1897" s="102" t="s">
        <v>2394</v>
      </c>
      <c r="B1897" s="2">
        <v>45372</v>
      </c>
      <c r="C1897" s="1" t="s">
        <v>369</v>
      </c>
      <c r="D1897" s="1" t="s">
        <v>461</v>
      </c>
      <c r="E1897" s="1" t="s">
        <v>154</v>
      </c>
      <c r="F1897" s="83">
        <v>4</v>
      </c>
      <c r="G1897" s="92">
        <v>3780</v>
      </c>
      <c r="H1897" s="3">
        <v>17.100000000000001</v>
      </c>
      <c r="I1897" s="3">
        <v>12534.48</v>
      </c>
      <c r="J1897" s="1" t="s">
        <v>87</v>
      </c>
      <c r="K1897" s="1" t="s">
        <v>94</v>
      </c>
      <c r="L1897" t="str">
        <f>VLOOKUP(D1897, Products!A:C, 3, FALSE)</f>
        <v>Sports</v>
      </c>
      <c r="M1897" t="str">
        <f>VLOOKUP(C1897, Customers!A:E, 5, FALSE)</f>
        <v>SMB</v>
      </c>
      <c r="N1897">
        <f>VLOOKUP(C1897, Customers!A:E, 3, FALSE)</f>
        <v>62</v>
      </c>
      <c r="O1897" s="93" t="str">
        <f>VLOOKUP(E1897, Sales_Reps!A:C, 3, FALSE)</f>
        <v>East</v>
      </c>
      <c r="P1897">
        <f>VLOOKUP(D1897, Products!A:E, 4, FALSE)</f>
        <v>1860</v>
      </c>
      <c r="Q1897">
        <f>IF(COUNTIF($A$2:A1897, A1897)=2, 1, 0)</f>
        <v>0</v>
      </c>
      <c r="R1897">
        <f>IF(ISNA(MATCH(C1897, Customers!$A:$A, 0)), 1, 0)</f>
        <v>0</v>
      </c>
      <c r="S1897" s="94" t="b">
        <f>VLOOKUP(D1897, Products!A:F, 6, FALSE)</f>
        <v>1</v>
      </c>
    </row>
    <row r="1898" spans="1:19">
      <c r="A1898" s="102" t="s">
        <v>2395</v>
      </c>
      <c r="B1898" s="2">
        <v>45622</v>
      </c>
      <c r="C1898" s="1" t="s">
        <v>673</v>
      </c>
      <c r="D1898" s="1" t="s">
        <v>200</v>
      </c>
      <c r="E1898" s="1" t="s">
        <v>139</v>
      </c>
      <c r="F1898" s="83">
        <v>1</v>
      </c>
      <c r="G1898" s="92">
        <v>2760</v>
      </c>
      <c r="H1898" s="3">
        <v>2.5</v>
      </c>
      <c r="I1898" s="3">
        <v>2691</v>
      </c>
      <c r="J1898" s="1" t="s">
        <v>140</v>
      </c>
      <c r="K1898" s="1" t="s">
        <v>112</v>
      </c>
      <c r="L1898" t="str">
        <f>VLOOKUP(D1898, Products!A:C, 3, FALSE)</f>
        <v>Grocery</v>
      </c>
      <c r="M1898" t="str">
        <f>VLOOKUP(C1898, Customers!A:E, 5, FALSE)</f>
        <v>Retail</v>
      </c>
      <c r="N1898">
        <f>VLOOKUP(C1898, Customers!A:E, 3, FALSE)</f>
        <v>35</v>
      </c>
      <c r="O1898" s="93" t="str">
        <f>VLOOKUP(E1898, Sales_Reps!A:C, 3, FALSE)</f>
        <v>North</v>
      </c>
      <c r="P1898">
        <f>VLOOKUP(D1898, Products!A:E, 4, FALSE)</f>
        <v>1435</v>
      </c>
      <c r="Q1898">
        <f>IF(COUNTIF($A$2:A1898, A1898)=2, 1, 0)</f>
        <v>0</v>
      </c>
      <c r="R1898">
        <f>IF(ISNA(MATCH(C1898, Customers!$A:$A, 0)), 1, 0)</f>
        <v>0</v>
      </c>
      <c r="S1898" s="94" t="b">
        <f>VLOOKUP(D1898, Products!A:F, 6, FALSE)</f>
        <v>1</v>
      </c>
    </row>
    <row r="1899" spans="1:19">
      <c r="A1899" s="102" t="s">
        <v>2396</v>
      </c>
      <c r="B1899" s="2">
        <v>45493</v>
      </c>
      <c r="C1899" s="1" t="s">
        <v>156</v>
      </c>
      <c r="D1899" s="1" t="s">
        <v>184</v>
      </c>
      <c r="E1899" s="1" t="s">
        <v>170</v>
      </c>
      <c r="F1899" s="83">
        <v>2</v>
      </c>
      <c r="G1899" s="92">
        <v>4880</v>
      </c>
      <c r="H1899" s="3">
        <v>11</v>
      </c>
      <c r="I1899" s="3">
        <v>8686.4</v>
      </c>
      <c r="J1899" s="1" t="s">
        <v>87</v>
      </c>
      <c r="K1899" s="1" t="s">
        <v>133</v>
      </c>
      <c r="L1899" t="str">
        <f>VLOOKUP(D1899, Products!A:C, 3, FALSE)</f>
        <v>Beauty</v>
      </c>
      <c r="M1899" t="str">
        <f>VLOOKUP(C1899, Customers!A:E, 5, FALSE)</f>
        <v>Corporate</v>
      </c>
      <c r="N1899">
        <f>VLOOKUP(C1899, Customers!A:E, 3, FALSE)</f>
        <v>32</v>
      </c>
      <c r="O1899" s="93" t="str">
        <f>VLOOKUP(E1899, Sales_Reps!A:C, 3, FALSE)</f>
        <v>West</v>
      </c>
      <c r="P1899">
        <f>VLOOKUP(D1899, Products!A:E, 4, FALSE)</f>
        <v>2768</v>
      </c>
      <c r="Q1899">
        <f>IF(COUNTIF($A$2:A1899, A1899)=2, 1, 0)</f>
        <v>0</v>
      </c>
      <c r="R1899">
        <f>IF(ISNA(MATCH(C1899, Customers!$A:$A, 0)), 1, 0)</f>
        <v>0</v>
      </c>
      <c r="S1899" s="94" t="b">
        <f>VLOOKUP(D1899, Products!A:F, 6, FALSE)</f>
        <v>1</v>
      </c>
    </row>
    <row r="1900" spans="1:19">
      <c r="A1900" s="102" t="s">
        <v>2397</v>
      </c>
      <c r="B1900" s="2">
        <v>45580</v>
      </c>
      <c r="C1900" s="1" t="s">
        <v>606</v>
      </c>
      <c r="D1900" s="1" t="s">
        <v>367</v>
      </c>
      <c r="E1900" s="1" t="s">
        <v>285</v>
      </c>
      <c r="F1900" s="83">
        <v>10</v>
      </c>
      <c r="G1900" s="92">
        <v>2380</v>
      </c>
      <c r="H1900" s="3">
        <v>28.3</v>
      </c>
      <c r="I1900" s="3">
        <v>17064.599999999999</v>
      </c>
      <c r="J1900" s="1" t="s">
        <v>87</v>
      </c>
      <c r="K1900" s="1" t="s">
        <v>112</v>
      </c>
      <c r="L1900" t="str">
        <f>VLOOKUP(D1900, Products!A:C, 3, FALSE)</f>
        <v>Grocery</v>
      </c>
      <c r="M1900" t="str">
        <f>VLOOKUP(C1900, Customers!A:E, 5, FALSE)</f>
        <v>Retail</v>
      </c>
      <c r="N1900">
        <f>VLOOKUP(C1900, Customers!A:E, 3, FALSE)</f>
        <v>52</v>
      </c>
      <c r="O1900" s="93" t="str">
        <f>VLOOKUP(E1900, Sales_Reps!A:C, 3, FALSE)</f>
        <v>East</v>
      </c>
      <c r="P1900">
        <f>VLOOKUP(D1900, Products!A:E, 4, FALSE)</f>
        <v>1182</v>
      </c>
      <c r="Q1900">
        <f>IF(COUNTIF($A$2:A1900, A1900)=2, 1, 0)</f>
        <v>0</v>
      </c>
      <c r="R1900">
        <f>IF(ISNA(MATCH(C1900, Customers!$A:$A, 0)), 1, 0)</f>
        <v>0</v>
      </c>
      <c r="S1900" s="94" t="b">
        <f>VLOOKUP(D1900, Products!A:F, 6, FALSE)</f>
        <v>1</v>
      </c>
    </row>
    <row r="1901" spans="1:19">
      <c r="A1901" s="102" t="s">
        <v>2398</v>
      </c>
      <c r="B1901" s="2">
        <v>45449</v>
      </c>
      <c r="C1901" s="1" t="s">
        <v>1104</v>
      </c>
      <c r="D1901" s="1" t="s">
        <v>386</v>
      </c>
      <c r="E1901" s="1" t="s">
        <v>148</v>
      </c>
      <c r="F1901" s="83">
        <v>3</v>
      </c>
      <c r="G1901" s="92">
        <v>2290</v>
      </c>
      <c r="H1901" s="3">
        <v>11.1</v>
      </c>
      <c r="I1901" s="3">
        <v>6107.43</v>
      </c>
      <c r="J1901" s="1" t="s">
        <v>140</v>
      </c>
      <c r="K1901" s="1" t="s">
        <v>117</v>
      </c>
      <c r="L1901" t="str">
        <f>VLOOKUP(D1901, Products!A:C, 3, FALSE)</f>
        <v>Beauty</v>
      </c>
      <c r="M1901" t="str">
        <f>VLOOKUP(C1901, Customers!A:E, 5, FALSE)</f>
        <v>Corporate</v>
      </c>
      <c r="N1901">
        <f>VLOOKUP(C1901, Customers!A:E, 3, FALSE)</f>
        <v>31</v>
      </c>
      <c r="O1901" s="93" t="str">
        <f>VLOOKUP(E1901, Sales_Reps!A:C, 3, FALSE)</f>
        <v>North</v>
      </c>
      <c r="P1901">
        <f>VLOOKUP(D1901, Products!A:E, 4, FALSE)</f>
        <v>1219</v>
      </c>
      <c r="Q1901">
        <f>IF(COUNTIF($A$2:A1901, A1901)=2, 1, 0)</f>
        <v>0</v>
      </c>
      <c r="R1901">
        <f>IF(ISNA(MATCH(C1901, Customers!$A:$A, 0)), 1, 0)</f>
        <v>0</v>
      </c>
      <c r="S1901" s="94" t="b">
        <f>VLOOKUP(D1901, Products!A:F, 6, FALSE)</f>
        <v>1</v>
      </c>
    </row>
    <row r="1902" spans="1:19">
      <c r="A1902" s="102" t="s">
        <v>2399</v>
      </c>
      <c r="B1902" s="2">
        <v>45417</v>
      </c>
      <c r="C1902" s="1" t="s">
        <v>156</v>
      </c>
      <c r="D1902" s="1" t="s">
        <v>200</v>
      </c>
      <c r="E1902" s="1" t="s">
        <v>139</v>
      </c>
      <c r="F1902" s="83">
        <v>6</v>
      </c>
      <c r="G1902" s="92">
        <v>2760</v>
      </c>
      <c r="H1902" s="3">
        <v>16.5</v>
      </c>
      <c r="I1902" s="3">
        <v>13827.6</v>
      </c>
      <c r="J1902" s="1" t="s">
        <v>87</v>
      </c>
      <c r="K1902" s="1" t="s">
        <v>133</v>
      </c>
      <c r="L1902" t="str">
        <f>VLOOKUP(D1902, Products!A:C, 3, FALSE)</f>
        <v>Grocery</v>
      </c>
      <c r="M1902" t="str">
        <f>VLOOKUP(C1902, Customers!A:E, 5, FALSE)</f>
        <v>Corporate</v>
      </c>
      <c r="N1902">
        <f>VLOOKUP(C1902, Customers!A:E, 3, FALSE)</f>
        <v>32</v>
      </c>
      <c r="O1902" s="93" t="str">
        <f>VLOOKUP(E1902, Sales_Reps!A:C, 3, FALSE)</f>
        <v>North</v>
      </c>
      <c r="P1902">
        <f>VLOOKUP(D1902, Products!A:E, 4, FALSE)</f>
        <v>1435</v>
      </c>
      <c r="Q1902">
        <f>IF(COUNTIF($A$2:A1902, A1902)=2, 1, 0)</f>
        <v>0</v>
      </c>
      <c r="R1902">
        <f>IF(ISNA(MATCH(C1902, Customers!$A:$A, 0)), 1, 0)</f>
        <v>0</v>
      </c>
      <c r="S1902" s="94" t="b">
        <f>VLOOKUP(D1902, Products!A:F, 6, FALSE)</f>
        <v>1</v>
      </c>
    </row>
    <row r="1903" spans="1:19">
      <c r="A1903" s="102" t="s">
        <v>2400</v>
      </c>
      <c r="B1903" s="2">
        <v>45523</v>
      </c>
      <c r="C1903" s="1" t="s">
        <v>518</v>
      </c>
      <c r="D1903" s="1" t="s">
        <v>351</v>
      </c>
      <c r="E1903" s="1" t="s">
        <v>343</v>
      </c>
      <c r="F1903" s="83">
        <v>5</v>
      </c>
      <c r="G1903" s="92">
        <v>4060</v>
      </c>
      <c r="H1903" s="3">
        <v>22.5</v>
      </c>
      <c r="I1903" s="3">
        <v>15732.5</v>
      </c>
      <c r="J1903" s="1" t="s">
        <v>87</v>
      </c>
      <c r="K1903" s="1" t="s">
        <v>88</v>
      </c>
      <c r="L1903" t="str">
        <f>VLOOKUP(D1903, Products!A:C, 3, FALSE)</f>
        <v>Grocery</v>
      </c>
      <c r="M1903" t="str">
        <f>VLOOKUP(C1903, Customers!A:E, 5, FALSE)</f>
        <v>Retail</v>
      </c>
      <c r="N1903">
        <f>VLOOKUP(C1903, Customers!A:E, 3, FALSE)</f>
        <v>49</v>
      </c>
      <c r="O1903" s="93" t="str">
        <f>VLOOKUP(E1903, Sales_Reps!A:C, 3, FALSE)</f>
        <v>West</v>
      </c>
      <c r="P1903">
        <f>VLOOKUP(D1903, Products!A:E, 4, FALSE)</f>
        <v>2911</v>
      </c>
      <c r="Q1903">
        <f>IF(COUNTIF($A$2:A1903, A1903)=2, 1, 0)</f>
        <v>0</v>
      </c>
      <c r="R1903">
        <f>IF(ISNA(MATCH(C1903, Customers!$A:$A, 0)), 1, 0)</f>
        <v>0</v>
      </c>
      <c r="S1903" s="94" t="b">
        <f>VLOOKUP(D1903, Products!A:F, 6, FALSE)</f>
        <v>1</v>
      </c>
    </row>
    <row r="1904" spans="1:19">
      <c r="A1904" s="102" t="s">
        <v>2401</v>
      </c>
      <c r="B1904" s="2">
        <v>45367</v>
      </c>
      <c r="C1904" s="1" t="s">
        <v>328</v>
      </c>
      <c r="D1904" s="1" t="s">
        <v>135</v>
      </c>
      <c r="E1904" s="1" t="s">
        <v>103</v>
      </c>
      <c r="F1904" s="83">
        <v>8</v>
      </c>
      <c r="G1904" s="92">
        <v>2640</v>
      </c>
      <c r="H1904" s="3">
        <v>11.8</v>
      </c>
      <c r="I1904" s="3">
        <v>18627.84</v>
      </c>
      <c r="J1904" s="1" t="s">
        <v>87</v>
      </c>
      <c r="K1904" s="1" t="s">
        <v>94</v>
      </c>
      <c r="L1904" t="str">
        <f>VLOOKUP(D1904, Products!A:C, 3, FALSE)</f>
        <v>Electronics</v>
      </c>
      <c r="M1904" t="str">
        <f>VLOOKUP(C1904, Customers!A:E, 5, FALSE)</f>
        <v>Retail</v>
      </c>
      <c r="N1904">
        <f>VLOOKUP(C1904, Customers!A:E, 3, FALSE)</f>
        <v>28</v>
      </c>
      <c r="O1904" s="93" t="str">
        <f>VLOOKUP(E1904, Sales_Reps!A:C, 3, FALSE)</f>
        <v>North</v>
      </c>
      <c r="P1904">
        <f>VLOOKUP(D1904, Products!A:E, 4, FALSE)</f>
        <v>1149</v>
      </c>
      <c r="Q1904">
        <f>IF(COUNTIF($A$2:A1904, A1904)=2, 1, 0)</f>
        <v>0</v>
      </c>
      <c r="R1904">
        <f>IF(ISNA(MATCH(C1904, Customers!$A:$A, 0)), 1, 0)</f>
        <v>0</v>
      </c>
      <c r="S1904" s="94" t="b">
        <f>VLOOKUP(D1904, Products!A:F, 6, FALSE)</f>
        <v>1</v>
      </c>
    </row>
    <row r="1905" spans="1:19">
      <c r="A1905" s="102" t="s">
        <v>2402</v>
      </c>
      <c r="B1905" s="2">
        <v>45309</v>
      </c>
      <c r="C1905" s="1" t="s">
        <v>816</v>
      </c>
      <c r="D1905" s="1" t="s">
        <v>270</v>
      </c>
      <c r="E1905" s="1" t="s">
        <v>92</v>
      </c>
      <c r="F1905" s="83">
        <v>2</v>
      </c>
      <c r="G1905" s="92">
        <v>4610</v>
      </c>
      <c r="H1905" s="3">
        <v>10.4</v>
      </c>
      <c r="I1905" s="3">
        <v>8261.1200000000008</v>
      </c>
      <c r="J1905" s="1" t="s">
        <v>93</v>
      </c>
      <c r="K1905" s="1" t="s">
        <v>88</v>
      </c>
      <c r="L1905" t="str">
        <f>VLOOKUP(D1905, Products!A:C, 3, FALSE)</f>
        <v>Home</v>
      </c>
      <c r="M1905" t="str">
        <f>VLOOKUP(C1905, Customers!A:E, 5, FALSE)</f>
        <v>Retail</v>
      </c>
      <c r="N1905">
        <f>VLOOKUP(C1905, Customers!A:E, 3, FALSE)</f>
        <v>36</v>
      </c>
      <c r="O1905" s="93" t="str">
        <f>VLOOKUP(E1905, Sales_Reps!A:C, 3, FALSE)</f>
        <v>North</v>
      </c>
      <c r="P1905">
        <f>VLOOKUP(D1905, Products!A:E, 4, FALSE)</f>
        <v>1850</v>
      </c>
      <c r="Q1905">
        <f>IF(COUNTIF($A$2:A1905, A1905)=2, 1, 0)</f>
        <v>0</v>
      </c>
      <c r="R1905">
        <f>IF(ISNA(MATCH(C1905, Customers!$A:$A, 0)), 1, 0)</f>
        <v>0</v>
      </c>
      <c r="S1905" s="94" t="b">
        <f>VLOOKUP(D1905, Products!A:F, 6, FALSE)</f>
        <v>1</v>
      </c>
    </row>
    <row r="1906" spans="1:19">
      <c r="A1906" s="102" t="s">
        <v>2403</v>
      </c>
      <c r="B1906" s="2">
        <v>45383</v>
      </c>
      <c r="C1906" s="1" t="s">
        <v>278</v>
      </c>
      <c r="D1906" s="1" t="s">
        <v>338</v>
      </c>
      <c r="E1906" s="1" t="s">
        <v>128</v>
      </c>
      <c r="F1906" s="83">
        <v>6</v>
      </c>
      <c r="G1906" s="92">
        <v>2210</v>
      </c>
      <c r="H1906" s="3">
        <v>22.5</v>
      </c>
      <c r="I1906" s="3">
        <v>10276.5</v>
      </c>
      <c r="J1906" s="1" t="s">
        <v>140</v>
      </c>
      <c r="K1906" s="1" t="s">
        <v>133</v>
      </c>
      <c r="L1906" t="str">
        <f>VLOOKUP(D1906, Products!A:C, 3, FALSE)</f>
        <v>Grocery</v>
      </c>
      <c r="M1906" t="str">
        <f>VLOOKUP(C1906, Customers!A:E, 5, FALSE)</f>
        <v>Corporate</v>
      </c>
      <c r="N1906">
        <f>VLOOKUP(C1906, Customers!A:E, 3, FALSE)</f>
        <v>29</v>
      </c>
      <c r="O1906" s="93" t="str">
        <f>VLOOKUP(E1906, Sales_Reps!A:C, 3, FALSE)</f>
        <v>West</v>
      </c>
      <c r="P1906">
        <f>VLOOKUP(D1906, Products!A:E, 4, FALSE)</f>
        <v>1010</v>
      </c>
      <c r="Q1906">
        <f>IF(COUNTIF($A$2:A1906, A1906)=2, 1, 0)</f>
        <v>0</v>
      </c>
      <c r="R1906">
        <f>IF(ISNA(MATCH(C1906, Customers!$A:$A, 0)), 1, 0)</f>
        <v>0</v>
      </c>
      <c r="S1906" s="94" t="b">
        <f>VLOOKUP(D1906, Products!A:F, 6, FALSE)</f>
        <v>1</v>
      </c>
    </row>
    <row r="1907" spans="1:19">
      <c r="A1907" s="102" t="s">
        <v>2404</v>
      </c>
      <c r="B1907" s="2">
        <v>45420</v>
      </c>
      <c r="C1907" s="1" t="s">
        <v>546</v>
      </c>
      <c r="D1907" s="1" t="s">
        <v>338</v>
      </c>
      <c r="E1907" s="1" t="s">
        <v>273</v>
      </c>
      <c r="F1907" s="83">
        <v>4</v>
      </c>
      <c r="G1907" s="92">
        <v>2210</v>
      </c>
      <c r="H1907" s="3">
        <v>21.5</v>
      </c>
      <c r="I1907" s="3">
        <v>6939.4</v>
      </c>
      <c r="J1907" s="1" t="s">
        <v>93</v>
      </c>
      <c r="K1907" s="1" t="s">
        <v>99</v>
      </c>
      <c r="L1907" t="str">
        <f>VLOOKUP(D1907, Products!A:C, 3, FALSE)</f>
        <v>Grocery</v>
      </c>
      <c r="M1907" t="str">
        <f>VLOOKUP(C1907, Customers!A:E, 5, FALSE)</f>
        <v>SMB</v>
      </c>
      <c r="N1907">
        <f>VLOOKUP(C1907, Customers!A:E, 3, FALSE)</f>
        <v>29</v>
      </c>
      <c r="O1907" s="93" t="str">
        <f>VLOOKUP(E1907, Sales_Reps!A:C, 3, FALSE)</f>
        <v>South</v>
      </c>
      <c r="P1907">
        <f>VLOOKUP(D1907, Products!A:E, 4, FALSE)</f>
        <v>1010</v>
      </c>
      <c r="Q1907">
        <f>IF(COUNTIF($A$2:A1907, A1907)=2, 1, 0)</f>
        <v>0</v>
      </c>
      <c r="R1907">
        <f>IF(ISNA(MATCH(C1907, Customers!$A:$A, 0)), 1, 0)</f>
        <v>0</v>
      </c>
      <c r="S1907" s="94" t="b">
        <f>VLOOKUP(D1907, Products!A:F, 6, FALSE)</f>
        <v>1</v>
      </c>
    </row>
    <row r="1908" spans="1:19">
      <c r="A1908" s="102" t="s">
        <v>2405</v>
      </c>
      <c r="B1908" s="2">
        <v>45400</v>
      </c>
      <c r="C1908" s="1" t="s">
        <v>84</v>
      </c>
      <c r="D1908" s="1" t="s">
        <v>502</v>
      </c>
      <c r="E1908" s="1" t="s">
        <v>252</v>
      </c>
      <c r="F1908" s="83">
        <v>6</v>
      </c>
      <c r="G1908" s="92">
        <v>1090</v>
      </c>
      <c r="H1908" s="3">
        <v>28.3</v>
      </c>
      <c r="I1908" s="3">
        <v>4689.18</v>
      </c>
      <c r="J1908" s="1" t="s">
        <v>87</v>
      </c>
      <c r="K1908" s="1" t="s">
        <v>88</v>
      </c>
      <c r="L1908" t="str">
        <f>VLOOKUP(D1908, Products!A:C, 3, FALSE)</f>
        <v>Home</v>
      </c>
      <c r="M1908" t="str">
        <f>VLOOKUP(C1908, Customers!A:E, 5, FALSE)</f>
        <v>SMB</v>
      </c>
      <c r="N1908">
        <f>VLOOKUP(C1908, Customers!A:E, 3, FALSE)</f>
        <v>44</v>
      </c>
      <c r="O1908" s="93" t="str">
        <f>VLOOKUP(E1908, Sales_Reps!A:C, 3, FALSE)</f>
        <v>South</v>
      </c>
      <c r="P1908">
        <f>VLOOKUP(D1908, Products!A:E, 4, FALSE)</f>
        <v>464</v>
      </c>
      <c r="Q1908">
        <f>IF(COUNTIF($A$2:A1908, A1908)=2, 1, 0)</f>
        <v>0</v>
      </c>
      <c r="R1908">
        <f>IF(ISNA(MATCH(C1908, Customers!$A:$A, 0)), 1, 0)</f>
        <v>0</v>
      </c>
      <c r="S1908" s="94" t="b">
        <f>VLOOKUP(D1908, Products!A:F, 6, FALSE)</f>
        <v>1</v>
      </c>
    </row>
    <row r="1909" spans="1:19">
      <c r="A1909" s="102" t="s">
        <v>2406</v>
      </c>
      <c r="B1909" s="2">
        <v>45625</v>
      </c>
      <c r="C1909" s="1" t="s">
        <v>420</v>
      </c>
      <c r="D1909" s="1" t="s">
        <v>110</v>
      </c>
      <c r="E1909" s="1" t="s">
        <v>148</v>
      </c>
      <c r="F1909" s="83">
        <v>9</v>
      </c>
      <c r="G1909" s="92">
        <v>370</v>
      </c>
      <c r="H1909" s="3">
        <v>13.8</v>
      </c>
      <c r="I1909" s="3">
        <v>2870.46</v>
      </c>
      <c r="J1909" s="1" t="s">
        <v>87</v>
      </c>
      <c r="K1909" s="1" t="s">
        <v>99</v>
      </c>
      <c r="L1909" t="str">
        <f>VLOOKUP(D1909, Products!A:C, 3, FALSE)</f>
        <v>Home</v>
      </c>
      <c r="M1909" t="str">
        <f>VLOOKUP(C1909, Customers!A:E, 5, FALSE)</f>
        <v>Retail</v>
      </c>
      <c r="N1909">
        <f>VLOOKUP(C1909, Customers!A:E, 3, FALSE)</f>
        <v>44</v>
      </c>
      <c r="O1909" s="93" t="str">
        <f>VLOOKUP(E1909, Sales_Reps!A:C, 3, FALSE)</f>
        <v>North</v>
      </c>
      <c r="P1909">
        <f>VLOOKUP(D1909, Products!A:E, 4, FALSE)</f>
        <v>288</v>
      </c>
      <c r="Q1909">
        <f>IF(COUNTIF($A$2:A1909, A1909)=2, 1, 0)</f>
        <v>0</v>
      </c>
      <c r="R1909">
        <f>IF(ISNA(MATCH(C1909, Customers!$A:$A, 0)), 1, 0)</f>
        <v>0</v>
      </c>
      <c r="S1909" s="94" t="b">
        <f>VLOOKUP(D1909, Products!A:F, 6, FALSE)</f>
        <v>1</v>
      </c>
    </row>
    <row r="1910" spans="1:19">
      <c r="A1910" s="102" t="s">
        <v>2407</v>
      </c>
      <c r="B1910" s="2">
        <v>45555</v>
      </c>
      <c r="C1910" s="1" t="s">
        <v>493</v>
      </c>
      <c r="D1910" s="1" t="s">
        <v>187</v>
      </c>
      <c r="E1910" s="1" t="s">
        <v>111</v>
      </c>
      <c r="F1910" s="83">
        <v>10</v>
      </c>
      <c r="G1910" s="92">
        <v>3570</v>
      </c>
      <c r="H1910" s="3">
        <v>3</v>
      </c>
      <c r="I1910" s="3">
        <v>34629</v>
      </c>
      <c r="J1910" s="1" t="s">
        <v>140</v>
      </c>
      <c r="K1910" s="1" t="s">
        <v>88</v>
      </c>
      <c r="L1910" t="str">
        <f>VLOOKUP(D1910, Products!A:C, 3, FALSE)</f>
        <v>Electronics</v>
      </c>
      <c r="M1910" t="str">
        <f>VLOOKUP(C1910, Customers!A:E, 5, FALSE)</f>
        <v>Retail</v>
      </c>
      <c r="N1910">
        <f>VLOOKUP(C1910, Customers!A:E, 3, FALSE)</f>
        <v>57</v>
      </c>
      <c r="O1910" s="93" t="str">
        <f>VLOOKUP(E1910, Sales_Reps!A:C, 3, FALSE)</f>
        <v>West</v>
      </c>
      <c r="P1910">
        <f>VLOOKUP(D1910, Products!A:E, 4, FALSE)</f>
        <v>1665</v>
      </c>
      <c r="Q1910">
        <f>IF(COUNTIF($A$2:A1910, A1910)=2, 1, 0)</f>
        <v>0</v>
      </c>
      <c r="R1910">
        <f>IF(ISNA(MATCH(C1910, Customers!$A:$A, 0)), 1, 0)</f>
        <v>0</v>
      </c>
      <c r="S1910" s="94" t="b">
        <f>VLOOKUP(D1910, Products!A:F, 6, FALSE)</f>
        <v>1</v>
      </c>
    </row>
    <row r="1911" spans="1:19">
      <c r="A1911" s="102" t="s">
        <v>2408</v>
      </c>
      <c r="B1911" s="2">
        <v>45509</v>
      </c>
      <c r="C1911" s="1" t="s">
        <v>371</v>
      </c>
      <c r="D1911" s="1" t="s">
        <v>143</v>
      </c>
      <c r="E1911" s="1" t="s">
        <v>346</v>
      </c>
      <c r="F1911" s="83">
        <v>10</v>
      </c>
      <c r="G1911" s="92">
        <v>3250</v>
      </c>
      <c r="H1911" s="3">
        <v>20.3</v>
      </c>
      <c r="I1911" s="3">
        <v>25902.5</v>
      </c>
      <c r="J1911" s="1" t="s">
        <v>87</v>
      </c>
      <c r="K1911" s="1" t="s">
        <v>112</v>
      </c>
      <c r="L1911" t="str">
        <f>VLOOKUP(D1911, Products!A:C, 3, FALSE)</f>
        <v>Home</v>
      </c>
      <c r="M1911" t="str">
        <f>VLOOKUP(C1911, Customers!A:E, 5, FALSE)</f>
        <v>Retail</v>
      </c>
      <c r="N1911">
        <f>VLOOKUP(C1911, Customers!A:E, 3, FALSE)</f>
        <v>42</v>
      </c>
      <c r="O1911" s="93" t="str">
        <f>VLOOKUP(E1911, Sales_Reps!A:C, 3, FALSE)</f>
        <v>South</v>
      </c>
      <c r="P1911">
        <f>VLOOKUP(D1911, Products!A:E, 4, FALSE)</f>
        <v>1556</v>
      </c>
      <c r="Q1911">
        <f>IF(COUNTIF($A$2:A1911, A1911)=2, 1, 0)</f>
        <v>0</v>
      </c>
      <c r="R1911">
        <f>IF(ISNA(MATCH(C1911, Customers!$A:$A, 0)), 1, 0)</f>
        <v>0</v>
      </c>
      <c r="S1911" s="94" t="b">
        <f>VLOOKUP(D1911, Products!A:F, 6, FALSE)</f>
        <v>1</v>
      </c>
    </row>
    <row r="1912" spans="1:19">
      <c r="A1912" s="102" t="s">
        <v>2409</v>
      </c>
      <c r="B1912" s="2">
        <v>45436</v>
      </c>
      <c r="C1912" s="1" t="s">
        <v>872</v>
      </c>
      <c r="D1912" s="1" t="s">
        <v>143</v>
      </c>
      <c r="E1912" s="1" t="s">
        <v>128</v>
      </c>
      <c r="F1912" s="83">
        <v>6</v>
      </c>
      <c r="G1912" s="92">
        <v>3250</v>
      </c>
      <c r="H1912" s="3">
        <v>25.8</v>
      </c>
      <c r="I1912" s="3">
        <v>14469</v>
      </c>
      <c r="J1912" s="1" t="s">
        <v>93</v>
      </c>
      <c r="K1912" s="1" t="s">
        <v>112</v>
      </c>
      <c r="L1912" t="str">
        <f>VLOOKUP(D1912, Products!A:C, 3, FALSE)</f>
        <v>Home</v>
      </c>
      <c r="M1912" t="str">
        <f>VLOOKUP(C1912, Customers!A:E, 5, FALSE)</f>
        <v>Corporate</v>
      </c>
      <c r="N1912">
        <f>VLOOKUP(C1912, Customers!A:E, 3, FALSE)</f>
        <v>62</v>
      </c>
      <c r="O1912" s="93" t="str">
        <f>VLOOKUP(E1912, Sales_Reps!A:C, 3, FALSE)</f>
        <v>West</v>
      </c>
      <c r="P1912">
        <f>VLOOKUP(D1912, Products!A:E, 4, FALSE)</f>
        <v>1556</v>
      </c>
      <c r="Q1912">
        <f>IF(COUNTIF($A$2:A1912, A1912)=2, 1, 0)</f>
        <v>0</v>
      </c>
      <c r="R1912">
        <f>IF(ISNA(MATCH(C1912, Customers!$A:$A, 0)), 1, 0)</f>
        <v>0</v>
      </c>
      <c r="S1912" s="94" t="b">
        <f>VLOOKUP(D1912, Products!A:F, 6, FALSE)</f>
        <v>1</v>
      </c>
    </row>
    <row r="1913" spans="1:19">
      <c r="A1913" s="102" t="s">
        <v>2410</v>
      </c>
      <c r="B1913" s="2">
        <v>45610</v>
      </c>
      <c r="C1913" s="1" t="s">
        <v>336</v>
      </c>
      <c r="D1913" s="1" t="s">
        <v>115</v>
      </c>
      <c r="E1913" s="1" t="s">
        <v>116</v>
      </c>
      <c r="F1913" s="83">
        <v>9</v>
      </c>
      <c r="G1913" s="92">
        <v>960</v>
      </c>
      <c r="H1913" s="3">
        <v>29</v>
      </c>
      <c r="I1913" s="3">
        <v>6134.4</v>
      </c>
      <c r="J1913" s="1" t="s">
        <v>87</v>
      </c>
      <c r="K1913" s="1" t="s">
        <v>112</v>
      </c>
      <c r="L1913" t="str">
        <f>VLOOKUP(D1913, Products!A:C, 3, FALSE)</f>
        <v>Sports</v>
      </c>
      <c r="M1913" t="str">
        <f>VLOOKUP(C1913, Customers!A:E, 5, FALSE)</f>
        <v>Retail</v>
      </c>
      <c r="N1913">
        <f>VLOOKUP(C1913, Customers!A:E, 3, FALSE)</f>
        <v>49</v>
      </c>
      <c r="O1913" s="93" t="str">
        <f>VLOOKUP(E1913, Sales_Reps!A:C, 3, FALSE)</f>
        <v>West</v>
      </c>
      <c r="P1913">
        <f>VLOOKUP(D1913, Products!A:E, 4, FALSE)</f>
        <v>705</v>
      </c>
      <c r="Q1913">
        <f>IF(COUNTIF($A$2:A1913, A1913)=2, 1, 0)</f>
        <v>0</v>
      </c>
      <c r="R1913">
        <f>IF(ISNA(MATCH(C1913, Customers!$A:$A, 0)), 1, 0)</f>
        <v>0</v>
      </c>
      <c r="S1913" s="94" t="b">
        <f>VLOOKUP(D1913, Products!A:F, 6, FALSE)</f>
        <v>1</v>
      </c>
    </row>
    <row r="1914" spans="1:19">
      <c r="A1914" s="102" t="s">
        <v>2411</v>
      </c>
      <c r="B1914" s="2">
        <v>45535</v>
      </c>
      <c r="C1914" s="1" t="s">
        <v>357</v>
      </c>
      <c r="D1914" s="1" t="s">
        <v>241</v>
      </c>
      <c r="E1914" s="1" t="s">
        <v>188</v>
      </c>
      <c r="F1914" s="83">
        <v>9</v>
      </c>
      <c r="G1914" s="92">
        <v>6080</v>
      </c>
      <c r="H1914" s="3">
        <v>21</v>
      </c>
      <c r="I1914" s="3">
        <v>43228.800000000003</v>
      </c>
      <c r="J1914" s="1" t="s">
        <v>87</v>
      </c>
      <c r="K1914" s="1" t="s">
        <v>99</v>
      </c>
      <c r="L1914" t="str">
        <f>VLOOKUP(D1914, Products!A:C, 3, FALSE)</f>
        <v>Beauty</v>
      </c>
      <c r="M1914" t="str">
        <f>VLOOKUP(C1914, Customers!A:E, 5, FALSE)</f>
        <v>SMB</v>
      </c>
      <c r="N1914">
        <f>VLOOKUP(C1914, Customers!A:E, 3, FALSE)</f>
        <v>38</v>
      </c>
      <c r="O1914" s="93" t="str">
        <f>VLOOKUP(E1914, Sales_Reps!A:C, 3, FALSE)</f>
        <v>South</v>
      </c>
      <c r="P1914">
        <f>VLOOKUP(D1914, Products!A:E, 4, FALSE)</f>
        <v>2617</v>
      </c>
      <c r="Q1914">
        <f>IF(COUNTIF($A$2:A1914, A1914)=2, 1, 0)</f>
        <v>0</v>
      </c>
      <c r="R1914">
        <f>IF(ISNA(MATCH(C1914, Customers!$A:$A, 0)), 1, 0)</f>
        <v>0</v>
      </c>
      <c r="S1914" s="94" t="b">
        <f>VLOOKUP(D1914, Products!A:F, 6, FALSE)</f>
        <v>1</v>
      </c>
    </row>
    <row r="1915" spans="1:19">
      <c r="A1915" s="102" t="s">
        <v>2412</v>
      </c>
      <c r="B1915" s="2">
        <v>45366</v>
      </c>
      <c r="C1915" s="1" t="s">
        <v>169</v>
      </c>
      <c r="D1915" s="1" t="s">
        <v>270</v>
      </c>
      <c r="E1915" s="1" t="s">
        <v>192</v>
      </c>
      <c r="F1915" s="83">
        <v>6</v>
      </c>
      <c r="G1915" s="92">
        <v>4610</v>
      </c>
      <c r="H1915" s="3">
        <v>13.5</v>
      </c>
      <c r="I1915" s="3">
        <v>23925.9</v>
      </c>
      <c r="J1915" s="1" t="s">
        <v>87</v>
      </c>
      <c r="K1915" s="1" t="s">
        <v>112</v>
      </c>
      <c r="L1915" t="str">
        <f>VLOOKUP(D1915, Products!A:C, 3, FALSE)</f>
        <v>Home</v>
      </c>
      <c r="M1915" t="str">
        <f>VLOOKUP(C1915, Customers!A:E, 5, FALSE)</f>
        <v>Retail</v>
      </c>
      <c r="N1915">
        <f>VLOOKUP(C1915, Customers!A:E, 3, FALSE)</f>
        <v>34</v>
      </c>
      <c r="O1915" s="93" t="str">
        <f>VLOOKUP(E1915, Sales_Reps!A:C, 3, FALSE)</f>
        <v>East</v>
      </c>
      <c r="P1915">
        <f>VLOOKUP(D1915, Products!A:E, 4, FALSE)</f>
        <v>1850</v>
      </c>
      <c r="Q1915">
        <f>IF(COUNTIF($A$2:A1915, A1915)=2, 1, 0)</f>
        <v>0</v>
      </c>
      <c r="R1915">
        <f>IF(ISNA(MATCH(C1915, Customers!$A:$A, 0)), 1, 0)</f>
        <v>0</v>
      </c>
      <c r="S1915" s="94" t="b">
        <f>VLOOKUP(D1915, Products!A:F, 6, FALSE)</f>
        <v>1</v>
      </c>
    </row>
    <row r="1916" spans="1:19">
      <c r="A1916" s="102" t="s">
        <v>2413</v>
      </c>
      <c r="B1916" s="2">
        <v>45446</v>
      </c>
      <c r="C1916" s="1" t="s">
        <v>541</v>
      </c>
      <c r="D1916" s="1" t="s">
        <v>443</v>
      </c>
      <c r="E1916" s="1" t="s">
        <v>158</v>
      </c>
      <c r="F1916" s="83">
        <v>7</v>
      </c>
      <c r="G1916" s="92">
        <v>5080</v>
      </c>
      <c r="H1916" s="3">
        <v>25.4</v>
      </c>
      <c r="I1916" s="3">
        <v>26527.759999999998</v>
      </c>
      <c r="J1916" s="1" t="s">
        <v>87</v>
      </c>
      <c r="K1916" s="1" t="s">
        <v>94</v>
      </c>
      <c r="L1916" t="str">
        <f>VLOOKUP(D1916, Products!A:C, 3, FALSE)</f>
        <v>Home</v>
      </c>
      <c r="M1916" t="str">
        <f>VLOOKUP(C1916, Customers!A:E, 5, FALSE)</f>
        <v>Corporate</v>
      </c>
      <c r="N1916">
        <f>VLOOKUP(C1916, Customers!A:E, 3, FALSE)</f>
        <v>34</v>
      </c>
      <c r="O1916" s="93" t="str">
        <f>VLOOKUP(E1916, Sales_Reps!A:C, 3, FALSE)</f>
        <v>East</v>
      </c>
      <c r="P1916">
        <f>VLOOKUP(D1916, Products!A:E, 4, FALSE)</f>
        <v>2459</v>
      </c>
      <c r="Q1916">
        <f>IF(COUNTIF($A$2:A1916, A1916)=2, 1, 0)</f>
        <v>0</v>
      </c>
      <c r="R1916">
        <f>IF(ISNA(MATCH(C1916, Customers!$A:$A, 0)), 1, 0)</f>
        <v>0</v>
      </c>
      <c r="S1916" s="94" t="b">
        <f>VLOOKUP(D1916, Products!A:F, 6, FALSE)</f>
        <v>1</v>
      </c>
    </row>
    <row r="1917" spans="1:19">
      <c r="A1917" s="102" t="s">
        <v>2414</v>
      </c>
      <c r="B1917" s="2">
        <v>45550</v>
      </c>
      <c r="C1917" s="1" t="s">
        <v>553</v>
      </c>
      <c r="D1917" s="1" t="s">
        <v>179</v>
      </c>
      <c r="E1917" s="1" t="s">
        <v>238</v>
      </c>
      <c r="F1917" s="83">
        <v>5</v>
      </c>
      <c r="G1917" s="92">
        <v>3350</v>
      </c>
      <c r="H1917" s="3">
        <v>2.2000000000000002</v>
      </c>
      <c r="I1917" s="3">
        <v>16381.5</v>
      </c>
      <c r="J1917" s="1" t="s">
        <v>87</v>
      </c>
      <c r="K1917" s="1" t="s">
        <v>112</v>
      </c>
      <c r="L1917" t="str">
        <f>VLOOKUP(D1917, Products!A:C, 3, FALSE)</f>
        <v>Beauty</v>
      </c>
      <c r="M1917" t="str">
        <f>VLOOKUP(C1917, Customers!A:E, 5, FALSE)</f>
        <v>Retail</v>
      </c>
      <c r="N1917">
        <f>VLOOKUP(C1917, Customers!A:E, 3, FALSE)</f>
        <v>65</v>
      </c>
      <c r="O1917" s="93" t="str">
        <f>VLOOKUP(E1917, Sales_Reps!A:C, 3, FALSE)</f>
        <v>East</v>
      </c>
      <c r="P1917">
        <f>VLOOKUP(D1917, Products!A:E, 4, FALSE)</f>
        <v>1728</v>
      </c>
      <c r="Q1917">
        <f>IF(COUNTIF($A$2:A1917, A1917)=2, 1, 0)</f>
        <v>0</v>
      </c>
      <c r="R1917">
        <f>IF(ISNA(MATCH(C1917, Customers!$A:$A, 0)), 1, 0)</f>
        <v>0</v>
      </c>
      <c r="S1917" s="94" t="b">
        <f>VLOOKUP(D1917, Products!A:F, 6, FALSE)</f>
        <v>1</v>
      </c>
    </row>
    <row r="1918" spans="1:19">
      <c r="A1918" s="102" t="s">
        <v>2415</v>
      </c>
      <c r="B1918" s="2">
        <v>45600</v>
      </c>
      <c r="C1918" s="1" t="s">
        <v>910</v>
      </c>
      <c r="D1918" s="1" t="s">
        <v>234</v>
      </c>
      <c r="E1918" s="1" t="s">
        <v>98</v>
      </c>
      <c r="F1918" s="83">
        <v>1</v>
      </c>
      <c r="G1918" s="92">
        <v>3780</v>
      </c>
      <c r="H1918" s="3">
        <v>13.7</v>
      </c>
      <c r="I1918" s="3">
        <v>3262.14</v>
      </c>
      <c r="J1918" s="1" t="s">
        <v>87</v>
      </c>
      <c r="K1918" s="1" t="s">
        <v>99</v>
      </c>
      <c r="L1918" t="str">
        <f>VLOOKUP(D1918, Products!A:C, 3, FALSE)</f>
        <v>Grocery</v>
      </c>
      <c r="M1918" t="str">
        <f>VLOOKUP(C1918, Customers!A:E, 5, FALSE)</f>
        <v>Retail</v>
      </c>
      <c r="N1918">
        <f>VLOOKUP(C1918, Customers!A:E, 3, FALSE)</f>
        <v>55</v>
      </c>
      <c r="O1918" s="93" t="str">
        <f>VLOOKUP(E1918, Sales_Reps!A:C, 3, FALSE)</f>
        <v>South</v>
      </c>
      <c r="P1918">
        <f>VLOOKUP(D1918, Products!A:E, 4, FALSE)</f>
        <v>2436</v>
      </c>
      <c r="Q1918">
        <f>IF(COUNTIF($A$2:A1918, A1918)=2, 1, 0)</f>
        <v>0</v>
      </c>
      <c r="R1918">
        <f>IF(ISNA(MATCH(C1918, Customers!$A:$A, 0)), 1, 0)</f>
        <v>0</v>
      </c>
      <c r="S1918" s="94" t="b">
        <f>VLOOKUP(D1918, Products!A:F, 6, FALSE)</f>
        <v>1</v>
      </c>
    </row>
    <row r="1919" spans="1:19">
      <c r="A1919" s="102" t="s">
        <v>2416</v>
      </c>
      <c r="B1919" s="2">
        <v>45352</v>
      </c>
      <c r="C1919" s="1" t="s">
        <v>178</v>
      </c>
      <c r="D1919" s="1" t="s">
        <v>184</v>
      </c>
      <c r="E1919" s="1" t="s">
        <v>192</v>
      </c>
      <c r="F1919" s="83">
        <v>4</v>
      </c>
      <c r="G1919" s="92">
        <v>4880</v>
      </c>
      <c r="H1919" s="3">
        <v>11.6</v>
      </c>
      <c r="I1919" s="3">
        <v>17255.68</v>
      </c>
      <c r="J1919" s="1" t="s">
        <v>87</v>
      </c>
      <c r="K1919" s="1" t="s">
        <v>94</v>
      </c>
      <c r="L1919" t="str">
        <f>VLOOKUP(D1919, Products!A:C, 3, FALSE)</f>
        <v>Beauty</v>
      </c>
      <c r="M1919" t="str">
        <f>VLOOKUP(C1919, Customers!A:E, 5, FALSE)</f>
        <v>Corporate</v>
      </c>
      <c r="N1919">
        <f>VLOOKUP(C1919, Customers!A:E, 3, FALSE)</f>
        <v>55</v>
      </c>
      <c r="O1919" s="93" t="str">
        <f>VLOOKUP(E1919, Sales_Reps!A:C, 3, FALSE)</f>
        <v>East</v>
      </c>
      <c r="P1919">
        <f>VLOOKUP(D1919, Products!A:E, 4, FALSE)</f>
        <v>2768</v>
      </c>
      <c r="Q1919">
        <f>IF(COUNTIF($A$2:A1919, A1919)=2, 1, 0)</f>
        <v>0</v>
      </c>
      <c r="R1919">
        <f>IF(ISNA(MATCH(C1919, Customers!$A:$A, 0)), 1, 0)</f>
        <v>0</v>
      </c>
      <c r="S1919" s="94" t="b">
        <f>VLOOKUP(D1919, Products!A:F, 6, FALSE)</f>
        <v>1</v>
      </c>
    </row>
    <row r="1920" spans="1:19">
      <c r="A1920" s="102" t="s">
        <v>2417</v>
      </c>
      <c r="B1920" s="2">
        <v>45385</v>
      </c>
      <c r="C1920" s="1" t="s">
        <v>662</v>
      </c>
      <c r="D1920" s="1" t="s">
        <v>191</v>
      </c>
      <c r="E1920" s="1" t="s">
        <v>229</v>
      </c>
      <c r="F1920" s="83">
        <v>3</v>
      </c>
      <c r="G1920" s="92">
        <v>5100</v>
      </c>
      <c r="H1920" s="3">
        <v>24.2</v>
      </c>
      <c r="I1920" s="3">
        <v>11597.4</v>
      </c>
      <c r="J1920" s="1" t="s">
        <v>87</v>
      </c>
      <c r="K1920" s="1" t="s">
        <v>2418</v>
      </c>
      <c r="L1920" t="str">
        <f>VLOOKUP(D1920, Products!A:C, 3, FALSE)</f>
        <v>Beauty</v>
      </c>
      <c r="M1920" t="str">
        <f>VLOOKUP(C1920, Customers!A:E, 5, FALSE)</f>
        <v>Corporate</v>
      </c>
      <c r="N1920">
        <f>VLOOKUP(C1920, Customers!A:E, 3, FALSE)</f>
        <v>41</v>
      </c>
      <c r="O1920" s="93" t="str">
        <f>VLOOKUP(E1920, Sales_Reps!A:C, 3, FALSE)</f>
        <v>West</v>
      </c>
      <c r="P1920">
        <f>VLOOKUP(D1920, Products!A:E, 4, FALSE)</f>
        <v>2237</v>
      </c>
      <c r="Q1920">
        <f>IF(COUNTIF($A$2:A1920, A1920)=2, 1, 0)</f>
        <v>0</v>
      </c>
      <c r="R1920">
        <f>IF(ISNA(MATCH(C1920, Customers!$A:$A, 0)), 1, 0)</f>
        <v>0</v>
      </c>
      <c r="S1920" s="94" t="b">
        <f>VLOOKUP(D1920, Products!A:F, 6, FALSE)</f>
        <v>1</v>
      </c>
    </row>
    <row r="1921" spans="1:19">
      <c r="A1921" s="102" t="s">
        <v>2419</v>
      </c>
      <c r="B1921" s="2">
        <v>45634</v>
      </c>
      <c r="C1921" s="1" t="s">
        <v>779</v>
      </c>
      <c r="D1921" s="1" t="s">
        <v>279</v>
      </c>
      <c r="E1921" s="1" t="s">
        <v>154</v>
      </c>
      <c r="F1921" s="83">
        <v>5</v>
      </c>
      <c r="G1921" s="92">
        <v>2660</v>
      </c>
      <c r="H1921" s="3">
        <v>4.7</v>
      </c>
      <c r="I1921" s="3">
        <v>12674.9</v>
      </c>
      <c r="J1921" s="1" t="s">
        <v>87</v>
      </c>
      <c r="K1921" s="1" t="s">
        <v>117</v>
      </c>
      <c r="L1921" t="str">
        <f>VLOOKUP(D1921, Products!A:C, 3, FALSE)</f>
        <v>Electronics</v>
      </c>
      <c r="M1921" t="str">
        <f>VLOOKUP(C1921, Customers!A:E, 5, FALSE)</f>
        <v>Retail</v>
      </c>
      <c r="N1921">
        <f>VLOOKUP(C1921, Customers!A:E, 3, FALSE)</f>
        <v>27</v>
      </c>
      <c r="O1921" s="93" t="str">
        <f>VLOOKUP(E1921, Sales_Reps!A:C, 3, FALSE)</f>
        <v>East</v>
      </c>
      <c r="P1921">
        <f>VLOOKUP(D1921, Products!A:E, 4, FALSE)</f>
        <v>1259</v>
      </c>
      <c r="Q1921">
        <f>IF(COUNTIF($A$2:A1921, A1921)=2, 1, 0)</f>
        <v>0</v>
      </c>
      <c r="R1921">
        <f>IF(ISNA(MATCH(C1921, Customers!$A:$A, 0)), 1, 0)</f>
        <v>0</v>
      </c>
      <c r="S1921" s="94" t="b">
        <f>VLOOKUP(D1921, Products!A:F, 6, FALSE)</f>
        <v>0</v>
      </c>
    </row>
    <row r="1922" spans="1:19">
      <c r="A1922" s="102" t="s">
        <v>2420</v>
      </c>
      <c r="B1922" s="2">
        <v>45444</v>
      </c>
      <c r="C1922" s="1" t="s">
        <v>359</v>
      </c>
      <c r="D1922" s="1" t="s">
        <v>367</v>
      </c>
      <c r="E1922" s="1" t="s">
        <v>238</v>
      </c>
      <c r="F1922" s="83">
        <v>10</v>
      </c>
      <c r="G1922" s="92">
        <v>2380</v>
      </c>
      <c r="H1922" s="3">
        <v>1</v>
      </c>
      <c r="I1922" s="3">
        <v>23562</v>
      </c>
      <c r="J1922" s="1" t="s">
        <v>87</v>
      </c>
      <c r="K1922" s="1" t="s">
        <v>99</v>
      </c>
      <c r="L1922" t="str">
        <f>VLOOKUP(D1922, Products!A:C, 3, FALSE)</f>
        <v>Grocery</v>
      </c>
      <c r="M1922" t="str">
        <f>VLOOKUP(C1922, Customers!A:E, 5, FALSE)</f>
        <v>SMB</v>
      </c>
      <c r="N1922">
        <f>VLOOKUP(C1922, Customers!A:E, 3, FALSE)</f>
        <v>28</v>
      </c>
      <c r="O1922" s="93" t="str">
        <f>VLOOKUP(E1922, Sales_Reps!A:C, 3, FALSE)</f>
        <v>East</v>
      </c>
      <c r="P1922">
        <f>VLOOKUP(D1922, Products!A:E, 4, FALSE)</f>
        <v>1182</v>
      </c>
      <c r="Q1922">
        <f>IF(COUNTIF($A$2:A1922, A1922)=2, 1, 0)</f>
        <v>0</v>
      </c>
      <c r="R1922">
        <f>IF(ISNA(MATCH(C1922, Customers!$A:$A, 0)), 1, 0)</f>
        <v>0</v>
      </c>
      <c r="S1922" s="94" t="b">
        <f>VLOOKUP(D1922, Products!A:F, 6, FALSE)</f>
        <v>1</v>
      </c>
    </row>
    <row r="1923" spans="1:19">
      <c r="A1923" s="102" t="s">
        <v>2421</v>
      </c>
      <c r="B1923" s="2">
        <v>45553</v>
      </c>
      <c r="C1923" s="1" t="s">
        <v>816</v>
      </c>
      <c r="D1923" s="1" t="s">
        <v>184</v>
      </c>
      <c r="E1923" s="1" t="s">
        <v>297</v>
      </c>
      <c r="F1923" s="83">
        <v>9</v>
      </c>
      <c r="G1923" s="92">
        <v>4880</v>
      </c>
      <c r="H1923" s="3">
        <v>7.2</v>
      </c>
      <c r="I1923" s="3">
        <v>40757.760000000002</v>
      </c>
      <c r="J1923" s="1" t="s">
        <v>87</v>
      </c>
      <c r="K1923" s="1" t="s">
        <v>88</v>
      </c>
      <c r="L1923" t="str">
        <f>VLOOKUP(D1923, Products!A:C, 3, FALSE)</f>
        <v>Beauty</v>
      </c>
      <c r="M1923" t="str">
        <f>VLOOKUP(C1923, Customers!A:E, 5, FALSE)</f>
        <v>Retail</v>
      </c>
      <c r="N1923">
        <f>VLOOKUP(C1923, Customers!A:E, 3, FALSE)</f>
        <v>36</v>
      </c>
      <c r="O1923" s="93" t="str">
        <f>VLOOKUP(E1923, Sales_Reps!A:C, 3, FALSE)</f>
        <v>North</v>
      </c>
      <c r="P1923">
        <f>VLOOKUP(D1923, Products!A:E, 4, FALSE)</f>
        <v>2768</v>
      </c>
      <c r="Q1923">
        <f>IF(COUNTIF($A$2:A1923, A1923)=2, 1, 0)</f>
        <v>0</v>
      </c>
      <c r="R1923">
        <f>IF(ISNA(MATCH(C1923, Customers!$A:$A, 0)), 1, 0)</f>
        <v>0</v>
      </c>
      <c r="S1923" s="94" t="b">
        <f>VLOOKUP(D1923, Products!A:F, 6, FALSE)</f>
        <v>1</v>
      </c>
    </row>
    <row r="1924" spans="1:19">
      <c r="A1924" s="102" t="s">
        <v>2422</v>
      </c>
      <c r="B1924" s="2">
        <v>45411</v>
      </c>
      <c r="C1924" s="1" t="s">
        <v>1193</v>
      </c>
      <c r="D1924" s="1" t="s">
        <v>226</v>
      </c>
      <c r="E1924" s="1" t="s">
        <v>98</v>
      </c>
      <c r="F1924" s="83">
        <v>1</v>
      </c>
      <c r="G1924" s="92">
        <v>3730</v>
      </c>
      <c r="H1924" s="3">
        <v>15.3</v>
      </c>
      <c r="I1924" s="3">
        <v>3159.31</v>
      </c>
      <c r="J1924" s="1" t="s">
        <v>87</v>
      </c>
      <c r="K1924" s="1" t="s">
        <v>133</v>
      </c>
      <c r="L1924" t="str">
        <f>VLOOKUP(D1924, Products!A:C, 3, FALSE)</f>
        <v>Home</v>
      </c>
      <c r="M1924" t="str">
        <f>VLOOKUP(C1924, Customers!A:E, 5, FALSE)</f>
        <v>SMB</v>
      </c>
      <c r="N1924">
        <f>VLOOKUP(C1924, Customers!A:E, 3, FALSE)</f>
        <v>25</v>
      </c>
      <c r="O1924" s="93" t="str">
        <f>VLOOKUP(E1924, Sales_Reps!A:C, 3, FALSE)</f>
        <v>South</v>
      </c>
      <c r="P1924">
        <f>VLOOKUP(D1924, Products!A:E, 4, FALSE)</f>
        <v>2135</v>
      </c>
      <c r="Q1924">
        <f>IF(COUNTIF($A$2:A1924, A1924)=2, 1, 0)</f>
        <v>0</v>
      </c>
      <c r="R1924">
        <f>IF(ISNA(MATCH(C1924, Customers!$A:$A, 0)), 1, 0)</f>
        <v>0</v>
      </c>
      <c r="S1924" s="94" t="b">
        <f>VLOOKUP(D1924, Products!A:F, 6, FALSE)</f>
        <v>1</v>
      </c>
    </row>
    <row r="1925" spans="1:19">
      <c r="A1925" s="102" t="s">
        <v>2423</v>
      </c>
      <c r="B1925" s="2">
        <v>45442</v>
      </c>
      <c r="C1925" s="1" t="s">
        <v>114</v>
      </c>
      <c r="D1925" s="1" t="s">
        <v>461</v>
      </c>
      <c r="E1925" s="1" t="s">
        <v>148</v>
      </c>
      <c r="F1925" s="83">
        <v>10</v>
      </c>
      <c r="G1925" s="92">
        <v>3780</v>
      </c>
      <c r="H1925" s="3">
        <v>2.7</v>
      </c>
      <c r="I1925" s="3">
        <v>36779.4</v>
      </c>
      <c r="J1925" s="1" t="s">
        <v>87</v>
      </c>
      <c r="K1925" s="1" t="s">
        <v>117</v>
      </c>
      <c r="L1925" t="str">
        <f>VLOOKUP(D1925, Products!A:C, 3, FALSE)</f>
        <v>Sports</v>
      </c>
      <c r="M1925" t="str">
        <f>VLOOKUP(C1925, Customers!A:E, 5, FALSE)</f>
        <v>Retail</v>
      </c>
      <c r="N1925">
        <f>VLOOKUP(C1925, Customers!A:E, 3, FALSE)</f>
        <v>27</v>
      </c>
      <c r="O1925" s="93" t="str">
        <f>VLOOKUP(E1925, Sales_Reps!A:C, 3, FALSE)</f>
        <v>North</v>
      </c>
      <c r="P1925">
        <f>VLOOKUP(D1925, Products!A:E, 4, FALSE)</f>
        <v>1860</v>
      </c>
      <c r="Q1925">
        <f>IF(COUNTIF($A$2:A1925, A1925)=2, 1, 0)</f>
        <v>0</v>
      </c>
      <c r="R1925">
        <f>IF(ISNA(MATCH(C1925, Customers!$A:$A, 0)), 1, 0)</f>
        <v>0</v>
      </c>
      <c r="S1925" s="94" t="b">
        <f>VLOOKUP(D1925, Products!A:F, 6, FALSE)</f>
        <v>1</v>
      </c>
    </row>
    <row r="1926" spans="1:19">
      <c r="A1926" s="102" t="s">
        <v>2424</v>
      </c>
      <c r="B1926" s="2">
        <v>45381</v>
      </c>
      <c r="C1926" s="1" t="s">
        <v>1308</v>
      </c>
      <c r="D1926" s="1" t="s">
        <v>85</v>
      </c>
      <c r="E1926" s="1" t="s">
        <v>154</v>
      </c>
      <c r="F1926" s="83">
        <v>2</v>
      </c>
      <c r="G1926" s="92">
        <v>3620</v>
      </c>
      <c r="H1926" s="3">
        <v>23</v>
      </c>
      <c r="I1926" s="3">
        <v>5574.8</v>
      </c>
      <c r="J1926" s="1" t="s">
        <v>87</v>
      </c>
      <c r="K1926" s="1" t="s">
        <v>94</v>
      </c>
      <c r="L1926" t="str">
        <f>VLOOKUP(D1926, Products!A:C, 3, FALSE)</f>
        <v>Apparel</v>
      </c>
      <c r="M1926" t="str">
        <f>VLOOKUP(C1926, Customers!A:E, 5, FALSE)</f>
        <v>SMB</v>
      </c>
      <c r="N1926">
        <f>VLOOKUP(C1926, Customers!A:E, 3, FALSE)</f>
        <v>51</v>
      </c>
      <c r="O1926" s="93" t="str">
        <f>VLOOKUP(E1926, Sales_Reps!A:C, 3, FALSE)</f>
        <v>East</v>
      </c>
      <c r="P1926">
        <f>VLOOKUP(D1926, Products!A:E, 4, FALSE)</f>
        <v>2509</v>
      </c>
      <c r="Q1926">
        <f>IF(COUNTIF($A$2:A1926, A1926)=2, 1, 0)</f>
        <v>0</v>
      </c>
      <c r="R1926">
        <f>IF(ISNA(MATCH(C1926, Customers!$A:$A, 0)), 1, 0)</f>
        <v>0</v>
      </c>
      <c r="S1926" s="94" t="b">
        <f>VLOOKUP(D1926, Products!A:F, 6, FALSE)</f>
        <v>1</v>
      </c>
    </row>
    <row r="1927" spans="1:19">
      <c r="A1927" s="102" t="s">
        <v>2425</v>
      </c>
      <c r="B1927" s="2">
        <v>45536</v>
      </c>
      <c r="C1927" s="1" t="s">
        <v>707</v>
      </c>
      <c r="D1927" s="1" t="s">
        <v>443</v>
      </c>
      <c r="E1927" s="1" t="s">
        <v>158</v>
      </c>
      <c r="F1927" s="83">
        <v>9</v>
      </c>
      <c r="G1927" s="92">
        <v>5080</v>
      </c>
      <c r="H1927" s="3">
        <v>19.899999999999999</v>
      </c>
      <c r="I1927" s="3">
        <v>36621.72</v>
      </c>
      <c r="J1927" s="1" t="s">
        <v>87</v>
      </c>
      <c r="K1927" s="1" t="s">
        <v>112</v>
      </c>
      <c r="L1927" t="str">
        <f>VLOOKUP(D1927, Products!A:C, 3, FALSE)</f>
        <v>Home</v>
      </c>
      <c r="M1927" t="str">
        <f>VLOOKUP(C1927, Customers!A:E, 5, FALSE)</f>
        <v>Retail</v>
      </c>
      <c r="N1927">
        <f>VLOOKUP(C1927, Customers!A:E, 3, FALSE)</f>
        <v>33</v>
      </c>
      <c r="O1927" s="93" t="str">
        <f>VLOOKUP(E1927, Sales_Reps!A:C, 3, FALSE)</f>
        <v>East</v>
      </c>
      <c r="P1927">
        <f>VLOOKUP(D1927, Products!A:E, 4, FALSE)</f>
        <v>2459</v>
      </c>
      <c r="Q1927">
        <f>IF(COUNTIF($A$2:A1927, A1927)=2, 1, 0)</f>
        <v>0</v>
      </c>
      <c r="R1927">
        <f>IF(ISNA(MATCH(C1927, Customers!$A:$A, 0)), 1, 0)</f>
        <v>0</v>
      </c>
      <c r="S1927" s="94" t="b">
        <f>VLOOKUP(D1927, Products!A:F, 6, FALSE)</f>
        <v>1</v>
      </c>
    </row>
    <row r="1928" spans="1:19">
      <c r="A1928" s="102" t="s">
        <v>2426</v>
      </c>
      <c r="B1928" s="2">
        <v>45561</v>
      </c>
      <c r="C1928" s="1" t="s">
        <v>394</v>
      </c>
      <c r="D1928" s="1" t="s">
        <v>659</v>
      </c>
      <c r="E1928" s="1" t="s">
        <v>116</v>
      </c>
      <c r="F1928" s="83">
        <v>2</v>
      </c>
      <c r="G1928" s="92">
        <v>3560</v>
      </c>
      <c r="H1928" s="3">
        <v>5.5</v>
      </c>
      <c r="I1928" s="3">
        <v>6728.4</v>
      </c>
      <c r="J1928" s="1" t="s">
        <v>87</v>
      </c>
      <c r="K1928" s="1" t="s">
        <v>117</v>
      </c>
      <c r="L1928" t="str">
        <f>VLOOKUP(D1928, Products!A:C, 3, FALSE)</f>
        <v>Apparel</v>
      </c>
      <c r="M1928" t="str">
        <f>VLOOKUP(C1928, Customers!A:E, 5, FALSE)</f>
        <v>SMB</v>
      </c>
      <c r="N1928">
        <f>VLOOKUP(C1928, Customers!A:E, 3, FALSE)</f>
        <v>28</v>
      </c>
      <c r="O1928" s="93" t="str">
        <f>VLOOKUP(E1928, Sales_Reps!A:C, 3, FALSE)</f>
        <v>West</v>
      </c>
      <c r="P1928">
        <f>VLOOKUP(D1928, Products!A:E, 4, FALSE)</f>
        <v>2629</v>
      </c>
      <c r="Q1928">
        <f>IF(COUNTIF($A$2:A1928, A1928)=2, 1, 0)</f>
        <v>0</v>
      </c>
      <c r="R1928">
        <f>IF(ISNA(MATCH(C1928, Customers!$A:$A, 0)), 1, 0)</f>
        <v>0</v>
      </c>
      <c r="S1928" s="94" t="b">
        <f>VLOOKUP(D1928, Products!A:F, 6, FALSE)</f>
        <v>1</v>
      </c>
    </row>
    <row r="1929" spans="1:19">
      <c r="A1929" s="102" t="s">
        <v>2427</v>
      </c>
      <c r="B1929" s="2">
        <v>45349</v>
      </c>
      <c r="C1929" s="1" t="s">
        <v>555</v>
      </c>
      <c r="D1929" s="1" t="s">
        <v>127</v>
      </c>
      <c r="E1929" s="1" t="s">
        <v>215</v>
      </c>
      <c r="F1929" s="83">
        <v>6</v>
      </c>
      <c r="G1929" s="92">
        <v>970</v>
      </c>
      <c r="H1929" s="3">
        <v>22.5</v>
      </c>
      <c r="I1929" s="3">
        <v>4510.5</v>
      </c>
      <c r="J1929" s="1" t="s">
        <v>144</v>
      </c>
      <c r="K1929" s="1" t="s">
        <v>112</v>
      </c>
      <c r="L1929" t="str">
        <f>VLOOKUP(D1929, Products!A:C, 3, FALSE)</f>
        <v>Grocery</v>
      </c>
      <c r="M1929" t="str">
        <f>VLOOKUP(C1929, Customers!A:E, 5, FALSE)</f>
        <v>Retail</v>
      </c>
      <c r="N1929">
        <f>VLOOKUP(C1929, Customers!A:E, 3, FALSE)</f>
        <v>37</v>
      </c>
      <c r="O1929" s="93" t="str">
        <f>VLOOKUP(E1929, Sales_Reps!A:C, 3, FALSE)</f>
        <v>North</v>
      </c>
      <c r="P1929">
        <f>VLOOKUP(D1929, Products!A:E, 4, FALSE)</f>
        <v>434</v>
      </c>
      <c r="Q1929">
        <f>IF(COUNTIF($A$2:A1929, A1929)=2, 1, 0)</f>
        <v>0</v>
      </c>
      <c r="R1929">
        <f>IF(ISNA(MATCH(C1929, Customers!$A:$A, 0)), 1, 0)</f>
        <v>0</v>
      </c>
      <c r="S1929" s="94" t="b">
        <f>VLOOKUP(D1929, Products!A:F, 6, FALSE)</f>
        <v>1</v>
      </c>
    </row>
    <row r="1930" spans="1:19">
      <c r="A1930" s="102" t="s">
        <v>2428</v>
      </c>
      <c r="B1930" s="2">
        <v>45650</v>
      </c>
      <c r="C1930" s="1" t="s">
        <v>956</v>
      </c>
      <c r="D1930" s="1" t="s">
        <v>179</v>
      </c>
      <c r="E1930" s="1" t="s">
        <v>98</v>
      </c>
      <c r="F1930" s="83">
        <v>9</v>
      </c>
      <c r="G1930" s="92">
        <v>3350</v>
      </c>
      <c r="H1930" s="3">
        <v>5.0999999999999996</v>
      </c>
      <c r="I1930" s="3">
        <v>28612.35</v>
      </c>
      <c r="J1930" s="1" t="s">
        <v>87</v>
      </c>
      <c r="K1930" s="1" t="s">
        <v>112</v>
      </c>
      <c r="L1930" t="str">
        <f>VLOOKUP(D1930, Products!A:C, 3, FALSE)</f>
        <v>Beauty</v>
      </c>
      <c r="M1930" t="str">
        <f>VLOOKUP(C1930, Customers!A:E, 5, FALSE)</f>
        <v>Retail</v>
      </c>
      <c r="N1930">
        <f>VLOOKUP(C1930, Customers!A:E, 3, FALSE)</f>
        <v>49</v>
      </c>
      <c r="O1930" s="93" t="str">
        <f>VLOOKUP(E1930, Sales_Reps!A:C, 3, FALSE)</f>
        <v>South</v>
      </c>
      <c r="P1930">
        <f>VLOOKUP(D1930, Products!A:E, 4, FALSE)</f>
        <v>1728</v>
      </c>
      <c r="Q1930">
        <f>IF(COUNTIF($A$2:A1930, A1930)=2, 1, 0)</f>
        <v>0</v>
      </c>
      <c r="R1930">
        <f>IF(ISNA(MATCH(C1930, Customers!$A:$A, 0)), 1, 0)</f>
        <v>0</v>
      </c>
      <c r="S1930" s="94" t="b">
        <f>VLOOKUP(D1930, Products!A:F, 6, FALSE)</f>
        <v>1</v>
      </c>
    </row>
    <row r="1931" spans="1:19">
      <c r="A1931" s="102" t="s">
        <v>2429</v>
      </c>
      <c r="B1931" s="2">
        <v>45525</v>
      </c>
      <c r="C1931" s="1" t="s">
        <v>2430</v>
      </c>
      <c r="D1931" s="1" t="s">
        <v>110</v>
      </c>
      <c r="E1931" s="1" t="s">
        <v>273</v>
      </c>
      <c r="F1931" s="83">
        <v>6</v>
      </c>
      <c r="G1931" s="92">
        <v>370</v>
      </c>
      <c r="H1931" s="3">
        <v>17.8</v>
      </c>
      <c r="I1931" s="3">
        <v>1824.84</v>
      </c>
      <c r="J1931" s="1" t="s">
        <v>87</v>
      </c>
      <c r="K1931" s="1" t="s">
        <v>112</v>
      </c>
      <c r="L1931" t="str">
        <f>VLOOKUP(D1931, Products!A:C, 3, FALSE)</f>
        <v>Home</v>
      </c>
      <c r="M1931" t="e">
        <f>VLOOKUP(C1931, Customers!A:E, 5, FALSE)</f>
        <v>#N/A</v>
      </c>
      <c r="N1931" t="e">
        <f>VLOOKUP(C1931, Customers!A:E, 3, FALSE)</f>
        <v>#N/A</v>
      </c>
      <c r="O1931" s="93" t="str">
        <f>VLOOKUP(E1931, Sales_Reps!A:C, 3, FALSE)</f>
        <v>South</v>
      </c>
      <c r="P1931">
        <f>VLOOKUP(D1931, Products!A:E, 4, FALSE)</f>
        <v>288</v>
      </c>
      <c r="Q1931">
        <f>IF(COUNTIF($A$2:A1931, A1931)=2, 1, 0)</f>
        <v>0</v>
      </c>
      <c r="R1931">
        <f>IF(ISNA(MATCH(C1931, Customers!$A:$A, 0)), 1, 0)</f>
        <v>1</v>
      </c>
      <c r="S1931" s="94" t="b">
        <f>VLOOKUP(D1931, Products!A:F, 6, FALSE)</f>
        <v>1</v>
      </c>
    </row>
    <row r="1932" spans="1:19">
      <c r="A1932" s="102" t="s">
        <v>2431</v>
      </c>
      <c r="B1932" s="2">
        <v>45365</v>
      </c>
      <c r="C1932" s="1" t="s">
        <v>266</v>
      </c>
      <c r="D1932" s="1" t="s">
        <v>131</v>
      </c>
      <c r="E1932" s="1" t="s">
        <v>273</v>
      </c>
      <c r="F1932" s="83">
        <v>3</v>
      </c>
      <c r="G1932" s="92">
        <v>2270</v>
      </c>
      <c r="H1932" s="3">
        <v>8.4</v>
      </c>
      <c r="I1932" s="3">
        <v>6237.96</v>
      </c>
      <c r="J1932" s="1" t="s">
        <v>93</v>
      </c>
      <c r="K1932" s="1" t="s">
        <v>99</v>
      </c>
      <c r="L1932" t="str">
        <f>VLOOKUP(D1932, Products!A:C, 3, FALSE)</f>
        <v>Grocery</v>
      </c>
      <c r="M1932" t="str">
        <f>VLOOKUP(C1932, Customers!A:E, 5, FALSE)</f>
        <v>Corporate</v>
      </c>
      <c r="N1932">
        <f>VLOOKUP(C1932, Customers!A:E, 3, FALSE)</f>
        <v>55</v>
      </c>
      <c r="O1932" s="93" t="str">
        <f>VLOOKUP(E1932, Sales_Reps!A:C, 3, FALSE)</f>
        <v>South</v>
      </c>
      <c r="P1932">
        <f>VLOOKUP(D1932, Products!A:E, 4, FALSE)</f>
        <v>1203</v>
      </c>
      <c r="Q1932">
        <f>IF(COUNTIF($A$2:A1932, A1932)=2, 1, 0)</f>
        <v>0</v>
      </c>
      <c r="R1932">
        <f>IF(ISNA(MATCH(C1932, Customers!$A:$A, 0)), 1, 0)</f>
        <v>0</v>
      </c>
      <c r="S1932" s="94" t="b">
        <f>VLOOKUP(D1932, Products!A:F, 6, FALSE)</f>
        <v>1</v>
      </c>
    </row>
    <row r="1933" spans="1:19">
      <c r="A1933" s="102" t="s">
        <v>2432</v>
      </c>
      <c r="B1933" s="2">
        <v>45464</v>
      </c>
      <c r="C1933" s="1" t="s">
        <v>567</v>
      </c>
      <c r="D1933" s="1" t="s">
        <v>161</v>
      </c>
      <c r="E1933" s="1" t="s">
        <v>158</v>
      </c>
      <c r="F1933" s="83">
        <v>3</v>
      </c>
      <c r="G1933" s="92">
        <v>3450</v>
      </c>
      <c r="H1933" s="3">
        <v>7.2</v>
      </c>
      <c r="I1933" s="3">
        <v>9604.7999999999993</v>
      </c>
      <c r="J1933" s="1" t="s">
        <v>87</v>
      </c>
      <c r="K1933" s="1" t="s">
        <v>117</v>
      </c>
      <c r="L1933" t="str">
        <f>VLOOKUP(D1933, Products!A:C, 3, FALSE)</f>
        <v>Sports</v>
      </c>
      <c r="M1933" t="str">
        <f>VLOOKUP(C1933, Customers!A:E, 5, FALSE)</f>
        <v>Corporate</v>
      </c>
      <c r="N1933">
        <f>VLOOKUP(C1933, Customers!A:E, 3, FALSE)</f>
        <v>41</v>
      </c>
      <c r="O1933" s="93" t="str">
        <f>VLOOKUP(E1933, Sales_Reps!A:C, 3, FALSE)</f>
        <v>East</v>
      </c>
      <c r="P1933">
        <f>VLOOKUP(D1933, Products!A:E, 4, FALSE)</f>
        <v>2467</v>
      </c>
      <c r="Q1933">
        <f>IF(COUNTIF($A$2:A1933, A1933)=2, 1, 0)</f>
        <v>0</v>
      </c>
      <c r="R1933">
        <f>IF(ISNA(MATCH(C1933, Customers!$A:$A, 0)), 1, 0)</f>
        <v>0</v>
      </c>
      <c r="S1933" s="94" t="b">
        <f>VLOOKUP(D1933, Products!A:F, 6, FALSE)</f>
        <v>1</v>
      </c>
    </row>
    <row r="1934" spans="1:19">
      <c r="A1934" s="102" t="s">
        <v>2433</v>
      </c>
      <c r="B1934" s="2">
        <v>45633</v>
      </c>
      <c r="C1934" s="1" t="s">
        <v>299</v>
      </c>
      <c r="D1934" s="1" t="s">
        <v>182</v>
      </c>
      <c r="E1934" s="1" t="s">
        <v>107</v>
      </c>
      <c r="F1934" s="83">
        <v>9</v>
      </c>
      <c r="G1934" s="92">
        <v>1010</v>
      </c>
      <c r="H1934" s="3">
        <v>17.8</v>
      </c>
      <c r="I1934" s="3">
        <v>7471.98</v>
      </c>
      <c r="J1934" s="1" t="s">
        <v>87</v>
      </c>
      <c r="K1934" s="1" t="s">
        <v>133</v>
      </c>
      <c r="L1934" t="str">
        <f>VLOOKUP(D1934, Products!A:C, 3, FALSE)</f>
        <v>Sports</v>
      </c>
      <c r="M1934" t="str">
        <f>VLOOKUP(C1934, Customers!A:E, 5, FALSE)</f>
        <v>Retail</v>
      </c>
      <c r="N1934">
        <f>VLOOKUP(C1934, Customers!A:E, 3, FALSE)</f>
        <v>29</v>
      </c>
      <c r="O1934" s="93" t="str">
        <f>VLOOKUP(E1934, Sales_Reps!A:C, 3, FALSE)</f>
        <v>North</v>
      </c>
      <c r="P1934">
        <f>VLOOKUP(D1934, Products!A:E, 4, FALSE)</f>
        <v>516</v>
      </c>
      <c r="Q1934">
        <f>IF(COUNTIF($A$2:A1934, A1934)=2, 1, 0)</f>
        <v>0</v>
      </c>
      <c r="R1934">
        <f>IF(ISNA(MATCH(C1934, Customers!$A:$A, 0)), 1, 0)</f>
        <v>0</v>
      </c>
      <c r="S1934" s="94" t="b">
        <f>VLOOKUP(D1934, Products!A:F, 6, FALSE)</f>
        <v>1</v>
      </c>
    </row>
    <row r="1935" spans="1:19">
      <c r="A1935" s="102" t="s">
        <v>2434</v>
      </c>
      <c r="B1935" s="2">
        <v>45373</v>
      </c>
      <c r="C1935" s="1" t="s">
        <v>1036</v>
      </c>
      <c r="D1935" s="1" t="s">
        <v>270</v>
      </c>
      <c r="E1935" s="1" t="s">
        <v>148</v>
      </c>
      <c r="F1935" s="83">
        <v>5</v>
      </c>
      <c r="G1935" s="92">
        <v>4610</v>
      </c>
      <c r="H1935" s="3">
        <v>29.8</v>
      </c>
      <c r="I1935" s="3">
        <v>16181.1</v>
      </c>
      <c r="J1935" s="1" t="s">
        <v>140</v>
      </c>
      <c r="K1935" s="1" t="s">
        <v>112</v>
      </c>
      <c r="L1935" t="str">
        <f>VLOOKUP(D1935, Products!A:C, 3, FALSE)</f>
        <v>Home</v>
      </c>
      <c r="M1935" t="str">
        <f>VLOOKUP(C1935, Customers!A:E, 5, FALSE)</f>
        <v>Retail</v>
      </c>
      <c r="N1935">
        <f>VLOOKUP(C1935, Customers!A:E, 3, FALSE)</f>
        <v>33</v>
      </c>
      <c r="O1935" s="93" t="str">
        <f>VLOOKUP(E1935, Sales_Reps!A:C, 3, FALSE)</f>
        <v>North</v>
      </c>
      <c r="P1935">
        <f>VLOOKUP(D1935, Products!A:E, 4, FALSE)</f>
        <v>1850</v>
      </c>
      <c r="Q1935">
        <f>IF(COUNTIF($A$2:A1935, A1935)=2, 1, 0)</f>
        <v>0</v>
      </c>
      <c r="R1935">
        <f>IF(ISNA(MATCH(C1935, Customers!$A:$A, 0)), 1, 0)</f>
        <v>0</v>
      </c>
      <c r="S1935" s="94" t="b">
        <f>VLOOKUP(D1935, Products!A:F, 6, FALSE)</f>
        <v>1</v>
      </c>
    </row>
    <row r="1936" spans="1:19">
      <c r="A1936" s="102" t="s">
        <v>2435</v>
      </c>
      <c r="B1936" s="2">
        <v>45497</v>
      </c>
      <c r="C1936" s="1" t="s">
        <v>490</v>
      </c>
      <c r="D1936" s="1" t="s">
        <v>110</v>
      </c>
      <c r="E1936" s="1" t="s">
        <v>148</v>
      </c>
      <c r="F1936" s="83">
        <v>6</v>
      </c>
      <c r="G1936" s="92">
        <v>370</v>
      </c>
      <c r="H1936" s="3">
        <v>17.899999999999999</v>
      </c>
      <c r="I1936" s="3">
        <v>1822.62</v>
      </c>
      <c r="J1936" s="1" t="s">
        <v>87</v>
      </c>
      <c r="K1936" s="1" t="s">
        <v>99</v>
      </c>
      <c r="L1936" t="str">
        <f>VLOOKUP(D1936, Products!A:C, 3, FALSE)</f>
        <v>Home</v>
      </c>
      <c r="M1936" t="str">
        <f>VLOOKUP(C1936, Customers!A:E, 5, FALSE)</f>
        <v>Retail</v>
      </c>
      <c r="N1936">
        <f>VLOOKUP(C1936, Customers!A:E, 3, FALSE)</f>
        <v>59</v>
      </c>
      <c r="O1936" s="93" t="str">
        <f>VLOOKUP(E1936, Sales_Reps!A:C, 3, FALSE)</f>
        <v>North</v>
      </c>
      <c r="P1936">
        <f>VLOOKUP(D1936, Products!A:E, 4, FALSE)</f>
        <v>288</v>
      </c>
      <c r="Q1936">
        <f>IF(COUNTIF($A$2:A1936, A1936)=2, 1, 0)</f>
        <v>0</v>
      </c>
      <c r="R1936">
        <f>IF(ISNA(MATCH(C1936, Customers!$A:$A, 0)), 1, 0)</f>
        <v>0</v>
      </c>
      <c r="S1936" s="94" t="b">
        <f>VLOOKUP(D1936, Products!A:F, 6, FALSE)</f>
        <v>1</v>
      </c>
    </row>
    <row r="1937" spans="1:19">
      <c r="A1937" s="102" t="s">
        <v>2436</v>
      </c>
      <c r="B1937" s="2">
        <v>45352</v>
      </c>
      <c r="C1937" s="1" t="s">
        <v>405</v>
      </c>
      <c r="D1937" s="1" t="s">
        <v>367</v>
      </c>
      <c r="E1937" s="1" t="s">
        <v>201</v>
      </c>
      <c r="F1937" s="83">
        <v>6</v>
      </c>
      <c r="G1937" s="92">
        <v>2380</v>
      </c>
      <c r="H1937" s="3">
        <v>13.6</v>
      </c>
      <c r="I1937" s="3">
        <v>12337.92</v>
      </c>
      <c r="J1937" s="1" t="s">
        <v>140</v>
      </c>
      <c r="K1937" s="1" t="s">
        <v>94</v>
      </c>
      <c r="L1937" t="str">
        <f>VLOOKUP(D1937, Products!A:C, 3, FALSE)</f>
        <v>Grocery</v>
      </c>
      <c r="M1937" t="str">
        <f>VLOOKUP(C1937, Customers!A:E, 5, FALSE)</f>
        <v>Corporate</v>
      </c>
      <c r="N1937">
        <f>VLOOKUP(C1937, Customers!A:E, 3, FALSE)</f>
        <v>24</v>
      </c>
      <c r="O1937" s="93" t="str">
        <f>VLOOKUP(E1937, Sales_Reps!A:C, 3, FALSE)</f>
        <v>West</v>
      </c>
      <c r="P1937">
        <f>VLOOKUP(D1937, Products!A:E, 4, FALSE)</f>
        <v>1182</v>
      </c>
      <c r="Q1937">
        <f>IF(COUNTIF($A$2:A1937, A1937)=2, 1, 0)</f>
        <v>0</v>
      </c>
      <c r="R1937">
        <f>IF(ISNA(MATCH(C1937, Customers!$A:$A, 0)), 1, 0)</f>
        <v>0</v>
      </c>
      <c r="S1937" s="94" t="b">
        <f>VLOOKUP(D1937, Products!A:F, 6, FALSE)</f>
        <v>1</v>
      </c>
    </row>
    <row r="1938" spans="1:19">
      <c r="A1938" s="102" t="s">
        <v>2437</v>
      </c>
      <c r="B1938" s="2">
        <v>45379</v>
      </c>
      <c r="C1938" s="1" t="s">
        <v>175</v>
      </c>
      <c r="D1938" s="1" t="s">
        <v>380</v>
      </c>
      <c r="E1938" s="1" t="s">
        <v>154</v>
      </c>
      <c r="F1938" s="83">
        <v>6</v>
      </c>
      <c r="G1938" s="92">
        <v>960</v>
      </c>
      <c r="H1938" s="3">
        <v>15</v>
      </c>
      <c r="I1938" s="3">
        <v>4896</v>
      </c>
      <c r="J1938" s="1" t="s">
        <v>93</v>
      </c>
      <c r="K1938" s="1" t="s">
        <v>133</v>
      </c>
      <c r="L1938" t="str">
        <f>VLOOKUP(D1938, Products!A:C, 3, FALSE)</f>
        <v>Beauty</v>
      </c>
      <c r="M1938" t="str">
        <f>VLOOKUP(C1938, Customers!A:E, 5, FALSE)</f>
        <v>SMB</v>
      </c>
      <c r="N1938">
        <f>VLOOKUP(C1938, Customers!A:E, 3, FALSE)</f>
        <v>40</v>
      </c>
      <c r="O1938" s="93" t="str">
        <f>VLOOKUP(E1938, Sales_Reps!A:C, 3, FALSE)</f>
        <v>East</v>
      </c>
      <c r="P1938">
        <f>VLOOKUP(D1938, Products!A:E, 4, FALSE)</f>
        <v>675</v>
      </c>
      <c r="Q1938">
        <f>IF(COUNTIF($A$2:A1938, A1938)=2, 1, 0)</f>
        <v>0</v>
      </c>
      <c r="R1938">
        <f>IF(ISNA(MATCH(C1938, Customers!$A:$A, 0)), 1, 0)</f>
        <v>0</v>
      </c>
      <c r="S1938" s="94" t="b">
        <f>VLOOKUP(D1938, Products!A:F, 6, FALSE)</f>
        <v>1</v>
      </c>
    </row>
    <row r="1939" spans="1:19">
      <c r="A1939" s="102" t="s">
        <v>2438</v>
      </c>
      <c r="B1939" s="2">
        <v>45422</v>
      </c>
      <c r="C1939" s="1" t="s">
        <v>720</v>
      </c>
      <c r="D1939" s="1" t="s">
        <v>115</v>
      </c>
      <c r="E1939" s="1" t="s">
        <v>297</v>
      </c>
      <c r="F1939" s="83">
        <v>3</v>
      </c>
      <c r="G1939" s="92">
        <v>960</v>
      </c>
      <c r="H1939" s="3">
        <v>12.3</v>
      </c>
      <c r="I1939" s="3">
        <v>2525.7600000000002</v>
      </c>
      <c r="J1939" s="1" t="s">
        <v>87</v>
      </c>
      <c r="K1939" s="1" t="s">
        <v>88</v>
      </c>
      <c r="L1939" t="str">
        <f>VLOOKUP(D1939, Products!A:C, 3, FALSE)</f>
        <v>Sports</v>
      </c>
      <c r="M1939" t="str">
        <f>VLOOKUP(C1939, Customers!A:E, 5, FALSE)</f>
        <v>Retail</v>
      </c>
      <c r="N1939">
        <f>VLOOKUP(C1939, Customers!A:E, 3, FALSE)</f>
        <v>48</v>
      </c>
      <c r="O1939" s="93" t="str">
        <f>VLOOKUP(E1939, Sales_Reps!A:C, 3, FALSE)</f>
        <v>North</v>
      </c>
      <c r="P1939">
        <f>VLOOKUP(D1939, Products!A:E, 4, FALSE)</f>
        <v>705</v>
      </c>
      <c r="Q1939">
        <f>IF(COUNTIF($A$2:A1939, A1939)=2, 1, 0)</f>
        <v>0</v>
      </c>
      <c r="R1939">
        <f>IF(ISNA(MATCH(C1939, Customers!$A:$A, 0)), 1, 0)</f>
        <v>0</v>
      </c>
      <c r="S1939" s="94" t="b">
        <f>VLOOKUP(D1939, Products!A:F, 6, FALSE)</f>
        <v>1</v>
      </c>
    </row>
    <row r="1940" spans="1:19">
      <c r="A1940" s="102" t="s">
        <v>2439</v>
      </c>
      <c r="B1940" s="2">
        <v>45413</v>
      </c>
      <c r="C1940" s="1" t="s">
        <v>557</v>
      </c>
      <c r="D1940" s="1" t="s">
        <v>292</v>
      </c>
      <c r="E1940" s="1" t="s">
        <v>229</v>
      </c>
      <c r="F1940" s="83">
        <v>7</v>
      </c>
      <c r="G1940" s="92">
        <v>620</v>
      </c>
      <c r="H1940" s="3">
        <v>5.8</v>
      </c>
      <c r="I1940" s="3">
        <v>4088.28</v>
      </c>
      <c r="J1940" s="1" t="s">
        <v>87</v>
      </c>
      <c r="K1940" s="1" t="s">
        <v>112</v>
      </c>
      <c r="L1940" t="str">
        <f>VLOOKUP(D1940, Products!A:C, 3, FALSE)</f>
        <v>Apparel</v>
      </c>
      <c r="M1940" t="str">
        <f>VLOOKUP(C1940, Customers!A:E, 5, FALSE)</f>
        <v>Retail</v>
      </c>
      <c r="N1940">
        <f>VLOOKUP(C1940, Customers!A:E, 3, FALSE)</f>
        <v>65</v>
      </c>
      <c r="O1940" s="93" t="str">
        <f>VLOOKUP(E1940, Sales_Reps!A:C, 3, FALSE)</f>
        <v>West</v>
      </c>
      <c r="P1940">
        <f>VLOOKUP(D1940, Products!A:E, 4, FALSE)</f>
        <v>396</v>
      </c>
      <c r="Q1940">
        <f>IF(COUNTIF($A$2:A1940, A1940)=2, 1, 0)</f>
        <v>0</v>
      </c>
      <c r="R1940">
        <f>IF(ISNA(MATCH(C1940, Customers!$A:$A, 0)), 1, 0)</f>
        <v>0</v>
      </c>
      <c r="S1940" s="94" t="b">
        <f>VLOOKUP(D1940, Products!A:F, 6, FALSE)</f>
        <v>1</v>
      </c>
    </row>
    <row r="1941" spans="1:19">
      <c r="A1941" s="102" t="s">
        <v>2440</v>
      </c>
      <c r="B1941" s="2">
        <v>45467</v>
      </c>
      <c r="C1941" s="1" t="s">
        <v>735</v>
      </c>
      <c r="D1941" s="1" t="s">
        <v>115</v>
      </c>
      <c r="E1941" s="1" t="s">
        <v>192</v>
      </c>
      <c r="F1941" s="83">
        <v>1</v>
      </c>
      <c r="G1941" s="92">
        <v>960</v>
      </c>
      <c r="H1941" s="3">
        <v>4.5999999999999996</v>
      </c>
      <c r="I1941" s="3">
        <v>915.84</v>
      </c>
      <c r="J1941" s="1" t="s">
        <v>87</v>
      </c>
      <c r="K1941" s="1" t="s">
        <v>88</v>
      </c>
      <c r="L1941" t="str">
        <f>VLOOKUP(D1941, Products!A:C, 3, FALSE)</f>
        <v>Sports</v>
      </c>
      <c r="M1941" t="str">
        <f>VLOOKUP(C1941, Customers!A:E, 5, FALSE)</f>
        <v>Retail</v>
      </c>
      <c r="N1941">
        <f>VLOOKUP(C1941, Customers!A:E, 3, FALSE)</f>
        <v>54</v>
      </c>
      <c r="O1941" s="93" t="str">
        <f>VLOOKUP(E1941, Sales_Reps!A:C, 3, FALSE)</f>
        <v>East</v>
      </c>
      <c r="P1941">
        <f>VLOOKUP(D1941, Products!A:E, 4, FALSE)</f>
        <v>705</v>
      </c>
      <c r="Q1941">
        <f>IF(COUNTIF($A$2:A1941, A1941)=2, 1, 0)</f>
        <v>0</v>
      </c>
      <c r="R1941">
        <f>IF(ISNA(MATCH(C1941, Customers!$A:$A, 0)), 1, 0)</f>
        <v>0</v>
      </c>
      <c r="S1941" s="94" t="b">
        <f>VLOOKUP(D1941, Products!A:F, 6, FALSE)</f>
        <v>1</v>
      </c>
    </row>
    <row r="1942" spans="1:19">
      <c r="A1942" s="102" t="s">
        <v>2441</v>
      </c>
      <c r="B1942" s="2">
        <v>45520</v>
      </c>
      <c r="C1942" s="1" t="s">
        <v>493</v>
      </c>
      <c r="D1942" s="1" t="s">
        <v>157</v>
      </c>
      <c r="E1942" s="1" t="s">
        <v>128</v>
      </c>
      <c r="F1942" s="83">
        <v>4</v>
      </c>
      <c r="G1942" s="92">
        <v>3450</v>
      </c>
      <c r="H1942" s="3">
        <v>13.3</v>
      </c>
      <c r="I1942" s="3">
        <v>11964.6</v>
      </c>
      <c r="J1942" s="1" t="s">
        <v>87</v>
      </c>
      <c r="K1942" s="1" t="s">
        <v>88</v>
      </c>
      <c r="L1942" t="str">
        <f>VLOOKUP(D1942, Products!A:C, 3, FALSE)</f>
        <v>Beauty</v>
      </c>
      <c r="M1942" t="str">
        <f>VLOOKUP(C1942, Customers!A:E, 5, FALSE)</f>
        <v>Retail</v>
      </c>
      <c r="N1942">
        <f>VLOOKUP(C1942, Customers!A:E, 3, FALSE)</f>
        <v>57</v>
      </c>
      <c r="O1942" s="93" t="str">
        <f>VLOOKUP(E1942, Sales_Reps!A:C, 3, FALSE)</f>
        <v>West</v>
      </c>
      <c r="P1942">
        <f>VLOOKUP(D1942, Products!A:E, 4, FALSE)</f>
        <v>2420</v>
      </c>
      <c r="Q1942">
        <f>IF(COUNTIF($A$2:A1942, A1942)=2, 1, 0)</f>
        <v>0</v>
      </c>
      <c r="R1942">
        <f>IF(ISNA(MATCH(C1942, Customers!$A:$A, 0)), 1, 0)</f>
        <v>0</v>
      </c>
      <c r="S1942" s="94" t="b">
        <f>VLOOKUP(D1942, Products!A:F, 6, FALSE)</f>
        <v>1</v>
      </c>
    </row>
    <row r="1943" spans="1:19">
      <c r="A1943" s="102" t="s">
        <v>2442</v>
      </c>
      <c r="B1943" s="2">
        <v>45626</v>
      </c>
      <c r="C1943" s="1" t="s">
        <v>561</v>
      </c>
      <c r="D1943" s="1" t="s">
        <v>173</v>
      </c>
      <c r="E1943" s="1" t="s">
        <v>121</v>
      </c>
      <c r="F1943" s="83">
        <v>10</v>
      </c>
      <c r="G1943" s="92">
        <v>2720</v>
      </c>
      <c r="H1943" s="3">
        <v>3.4</v>
      </c>
      <c r="I1943" s="3">
        <v>26275.200000000001</v>
      </c>
      <c r="J1943" s="1" t="s">
        <v>87</v>
      </c>
      <c r="K1943" s="1" t="s">
        <v>133</v>
      </c>
      <c r="L1943" t="str">
        <f>VLOOKUP(D1943, Products!A:C, 3, FALSE)</f>
        <v>Apparel</v>
      </c>
      <c r="M1943" t="str">
        <f>VLOOKUP(C1943, Customers!A:E, 5, FALSE)</f>
        <v>SMB</v>
      </c>
      <c r="N1943">
        <f>VLOOKUP(C1943, Customers!A:E, 3, FALSE)</f>
        <v>43</v>
      </c>
      <c r="O1943" s="93" t="str">
        <f>VLOOKUP(E1943, Sales_Reps!A:C, 3, FALSE)</f>
        <v>East</v>
      </c>
      <c r="P1943">
        <f>VLOOKUP(D1943, Products!A:E, 4, FALSE)</f>
        <v>1962</v>
      </c>
      <c r="Q1943">
        <f>IF(COUNTIF($A$2:A1943, A1943)=2, 1, 0)</f>
        <v>0</v>
      </c>
      <c r="R1943">
        <f>IF(ISNA(MATCH(C1943, Customers!$A:$A, 0)), 1, 0)</f>
        <v>0</v>
      </c>
      <c r="S1943" s="94" t="b">
        <f>VLOOKUP(D1943, Products!A:F, 6, FALSE)</f>
        <v>1</v>
      </c>
    </row>
    <row r="1944" spans="1:19">
      <c r="A1944" s="102" t="s">
        <v>2443</v>
      </c>
      <c r="B1944" s="2">
        <v>45452</v>
      </c>
      <c r="C1944" s="1" t="s">
        <v>617</v>
      </c>
      <c r="D1944" s="1" t="s">
        <v>157</v>
      </c>
      <c r="E1944" s="1" t="s">
        <v>121</v>
      </c>
      <c r="F1944" s="83">
        <v>1</v>
      </c>
      <c r="G1944" s="92">
        <v>3450</v>
      </c>
      <c r="H1944" s="3">
        <v>29.4</v>
      </c>
      <c r="I1944" s="3">
        <v>2435.6999999999998</v>
      </c>
      <c r="J1944" s="1" t="s">
        <v>87</v>
      </c>
      <c r="K1944" s="1" t="s">
        <v>112</v>
      </c>
      <c r="L1944" t="str">
        <f>VLOOKUP(D1944, Products!A:C, 3, FALSE)</f>
        <v>Beauty</v>
      </c>
      <c r="M1944" t="str">
        <f>VLOOKUP(C1944, Customers!A:E, 5, FALSE)</f>
        <v>SMB</v>
      </c>
      <c r="N1944">
        <f>VLOOKUP(C1944, Customers!A:E, 3, FALSE)</f>
        <v>65</v>
      </c>
      <c r="O1944" s="93" t="str">
        <f>VLOOKUP(E1944, Sales_Reps!A:C, 3, FALSE)</f>
        <v>East</v>
      </c>
      <c r="P1944">
        <f>VLOOKUP(D1944, Products!A:E, 4, FALSE)</f>
        <v>2420</v>
      </c>
      <c r="Q1944">
        <f>IF(COUNTIF($A$2:A1944, A1944)=2, 1, 0)</f>
        <v>0</v>
      </c>
      <c r="R1944">
        <f>IF(ISNA(MATCH(C1944, Customers!$A:$A, 0)), 1, 0)</f>
        <v>0</v>
      </c>
      <c r="S1944" s="94" t="b">
        <f>VLOOKUP(D1944, Products!A:F, 6, FALSE)</f>
        <v>1</v>
      </c>
    </row>
    <row r="1945" spans="1:19">
      <c r="A1945" s="102" t="s">
        <v>2444</v>
      </c>
      <c r="B1945" s="2">
        <v>45529</v>
      </c>
      <c r="C1945" s="1" t="s">
        <v>557</v>
      </c>
      <c r="D1945" s="1" t="s">
        <v>176</v>
      </c>
      <c r="E1945" s="1" t="s">
        <v>116</v>
      </c>
      <c r="F1945" s="83">
        <v>5</v>
      </c>
      <c r="G1945" s="92">
        <v>1650</v>
      </c>
      <c r="H1945" s="3">
        <v>29.4</v>
      </c>
      <c r="I1945" s="3">
        <v>5824.5</v>
      </c>
      <c r="J1945" s="1" t="s">
        <v>87</v>
      </c>
      <c r="K1945" s="1" t="s">
        <v>112</v>
      </c>
      <c r="L1945" t="str">
        <f>VLOOKUP(D1945, Products!A:C, 3, FALSE)</f>
        <v>Beauty</v>
      </c>
      <c r="M1945" t="str">
        <f>VLOOKUP(C1945, Customers!A:E, 5, FALSE)</f>
        <v>Retail</v>
      </c>
      <c r="N1945">
        <f>VLOOKUP(C1945, Customers!A:E, 3, FALSE)</f>
        <v>65</v>
      </c>
      <c r="O1945" s="93" t="str">
        <f>VLOOKUP(E1945, Sales_Reps!A:C, 3, FALSE)</f>
        <v>West</v>
      </c>
      <c r="P1945">
        <f>VLOOKUP(D1945, Products!A:E, 4, FALSE)</f>
        <v>1222</v>
      </c>
      <c r="Q1945">
        <f>IF(COUNTIF($A$2:A1945, A1945)=2, 1, 0)</f>
        <v>0</v>
      </c>
      <c r="R1945">
        <f>IF(ISNA(MATCH(C1945, Customers!$A:$A, 0)), 1, 0)</f>
        <v>0</v>
      </c>
      <c r="S1945" s="94" t="b">
        <f>VLOOKUP(D1945, Products!A:F, 6, FALSE)</f>
        <v>1</v>
      </c>
    </row>
    <row r="1946" spans="1:19">
      <c r="A1946" s="102" t="s">
        <v>2445</v>
      </c>
      <c r="B1946" s="2">
        <v>45639</v>
      </c>
      <c r="C1946" s="1" t="s">
        <v>781</v>
      </c>
      <c r="D1946" s="1" t="s">
        <v>85</v>
      </c>
      <c r="E1946" s="1" t="s">
        <v>204</v>
      </c>
      <c r="F1946" s="83">
        <v>2</v>
      </c>
      <c r="G1946" s="92">
        <v>3620</v>
      </c>
      <c r="H1946" s="3">
        <v>15.6</v>
      </c>
      <c r="I1946" s="3">
        <v>6110.56</v>
      </c>
      <c r="J1946" s="1" t="s">
        <v>87</v>
      </c>
      <c r="K1946" s="1" t="s">
        <v>99</v>
      </c>
      <c r="L1946" t="str">
        <f>VLOOKUP(D1946, Products!A:C, 3, FALSE)</f>
        <v>Apparel</v>
      </c>
      <c r="M1946" t="str">
        <f>VLOOKUP(C1946, Customers!A:E, 5, FALSE)</f>
        <v>SMB</v>
      </c>
      <c r="N1946">
        <f>VLOOKUP(C1946, Customers!A:E, 3, FALSE)</f>
        <v>29</v>
      </c>
      <c r="O1946" s="93" t="str">
        <f>VLOOKUP(E1946, Sales_Reps!A:C, 3, FALSE)</f>
        <v>South</v>
      </c>
      <c r="P1946">
        <f>VLOOKUP(D1946, Products!A:E, 4, FALSE)</f>
        <v>2509</v>
      </c>
      <c r="Q1946">
        <f>IF(COUNTIF($A$2:A1946, A1946)=2, 1, 0)</f>
        <v>0</v>
      </c>
      <c r="R1946">
        <f>IF(ISNA(MATCH(C1946, Customers!$A:$A, 0)), 1, 0)</f>
        <v>0</v>
      </c>
      <c r="S1946" s="94" t="b">
        <f>VLOOKUP(D1946, Products!A:F, 6, FALSE)</f>
        <v>1</v>
      </c>
    </row>
    <row r="1947" spans="1:19">
      <c r="A1947" s="102" t="s">
        <v>2446</v>
      </c>
      <c r="B1947" s="2">
        <v>45592</v>
      </c>
      <c r="C1947" s="1" t="s">
        <v>96</v>
      </c>
      <c r="D1947" s="1" t="s">
        <v>282</v>
      </c>
      <c r="E1947" s="1" t="s">
        <v>325</v>
      </c>
      <c r="F1947" s="83">
        <v>3</v>
      </c>
      <c r="G1947" s="92">
        <v>300</v>
      </c>
      <c r="H1947" s="3">
        <v>24.8</v>
      </c>
      <c r="I1947" s="3">
        <v>676.8</v>
      </c>
      <c r="J1947" s="1" t="s">
        <v>87</v>
      </c>
      <c r="K1947" s="1" t="s">
        <v>99</v>
      </c>
      <c r="L1947" t="str">
        <f>VLOOKUP(D1947, Products!A:C, 3, FALSE)</f>
        <v>Electronics</v>
      </c>
      <c r="M1947" t="str">
        <f>VLOOKUP(C1947, Customers!A:E, 5, FALSE)</f>
        <v>Retail</v>
      </c>
      <c r="N1947">
        <f>VLOOKUP(C1947, Customers!A:E, 3, FALSE)</f>
        <v>52</v>
      </c>
      <c r="O1947" s="93" t="str">
        <f>VLOOKUP(E1947, Sales_Reps!A:C, 3, FALSE)</f>
        <v>South</v>
      </c>
      <c r="P1947">
        <f>VLOOKUP(D1947, Products!A:E, 4, FALSE)</f>
        <v>128</v>
      </c>
      <c r="Q1947">
        <f>IF(COUNTIF($A$2:A1947, A1947)=2, 1, 0)</f>
        <v>0</v>
      </c>
      <c r="R1947">
        <f>IF(ISNA(MATCH(C1947, Customers!$A:$A, 0)), 1, 0)</f>
        <v>0</v>
      </c>
      <c r="S1947" s="94" t="b">
        <f>VLOOKUP(D1947, Products!A:F, 6, FALSE)</f>
        <v>1</v>
      </c>
    </row>
    <row r="1948" spans="1:19">
      <c r="A1948" s="102" t="s">
        <v>2447</v>
      </c>
      <c r="B1948" s="2">
        <v>45338</v>
      </c>
      <c r="C1948" s="1" t="s">
        <v>272</v>
      </c>
      <c r="D1948" s="1" t="s">
        <v>259</v>
      </c>
      <c r="E1948" s="1" t="s">
        <v>215</v>
      </c>
      <c r="F1948" s="83">
        <v>3</v>
      </c>
      <c r="G1948" s="92">
        <v>1540</v>
      </c>
      <c r="H1948" s="3">
        <v>29.5</v>
      </c>
      <c r="I1948" s="3">
        <v>3257.1</v>
      </c>
      <c r="J1948" s="1" t="s">
        <v>87</v>
      </c>
      <c r="K1948" s="1" t="s">
        <v>94</v>
      </c>
      <c r="L1948" t="str">
        <f>VLOOKUP(D1948, Products!A:C, 3, FALSE)</f>
        <v>Beauty</v>
      </c>
      <c r="M1948" t="str">
        <f>VLOOKUP(C1948, Customers!A:E, 5, FALSE)</f>
        <v>SMB</v>
      </c>
      <c r="N1948">
        <f>VLOOKUP(C1948, Customers!A:E, 3, FALSE)</f>
        <v>55</v>
      </c>
      <c r="O1948" s="93" t="str">
        <f>VLOOKUP(E1948, Sales_Reps!A:C, 3, FALSE)</f>
        <v>North</v>
      </c>
      <c r="P1948">
        <f>VLOOKUP(D1948, Products!A:E, 4, FALSE)</f>
        <v>647</v>
      </c>
      <c r="Q1948">
        <f>IF(COUNTIF($A$2:A1948, A1948)=2, 1, 0)</f>
        <v>0</v>
      </c>
      <c r="R1948">
        <f>IF(ISNA(MATCH(C1948, Customers!$A:$A, 0)), 1, 0)</f>
        <v>0</v>
      </c>
      <c r="S1948" s="94" t="b">
        <f>VLOOKUP(D1948, Products!A:F, 6, FALSE)</f>
        <v>0</v>
      </c>
    </row>
    <row r="1949" spans="1:19">
      <c r="A1949" s="102" t="s">
        <v>2448</v>
      </c>
      <c r="B1949" s="2">
        <v>45551</v>
      </c>
      <c r="C1949" s="1" t="s">
        <v>779</v>
      </c>
      <c r="D1949" s="1" t="s">
        <v>131</v>
      </c>
      <c r="E1949" s="1" t="s">
        <v>121</v>
      </c>
      <c r="F1949" s="83">
        <v>10</v>
      </c>
      <c r="G1949" s="92">
        <v>2270</v>
      </c>
      <c r="H1949" s="3">
        <v>5.5</v>
      </c>
      <c r="I1949" s="3">
        <v>21451.5</v>
      </c>
      <c r="J1949" s="1" t="s">
        <v>140</v>
      </c>
      <c r="K1949" s="1" t="s">
        <v>117</v>
      </c>
      <c r="L1949" t="str">
        <f>VLOOKUP(D1949, Products!A:C, 3, FALSE)</f>
        <v>Grocery</v>
      </c>
      <c r="M1949" t="str">
        <f>VLOOKUP(C1949, Customers!A:E, 5, FALSE)</f>
        <v>Retail</v>
      </c>
      <c r="N1949">
        <f>VLOOKUP(C1949, Customers!A:E, 3, FALSE)</f>
        <v>27</v>
      </c>
      <c r="O1949" s="93" t="str">
        <f>VLOOKUP(E1949, Sales_Reps!A:C, 3, FALSE)</f>
        <v>East</v>
      </c>
      <c r="P1949">
        <f>VLOOKUP(D1949, Products!A:E, 4, FALSE)</f>
        <v>1203</v>
      </c>
      <c r="Q1949">
        <f>IF(COUNTIF($A$2:A1949, A1949)=2, 1, 0)</f>
        <v>0</v>
      </c>
      <c r="R1949">
        <f>IF(ISNA(MATCH(C1949, Customers!$A:$A, 0)), 1, 0)</f>
        <v>0</v>
      </c>
      <c r="S1949" s="94" t="b">
        <f>VLOOKUP(D1949, Products!A:F, 6, FALSE)</f>
        <v>1</v>
      </c>
    </row>
    <row r="1950" spans="1:19">
      <c r="A1950" s="102" t="s">
        <v>2449</v>
      </c>
      <c r="B1950" s="2">
        <v>45350</v>
      </c>
      <c r="C1950" s="1" t="s">
        <v>856</v>
      </c>
      <c r="D1950" s="1" t="s">
        <v>135</v>
      </c>
      <c r="E1950" s="1" t="s">
        <v>107</v>
      </c>
      <c r="F1950" s="83">
        <v>3</v>
      </c>
      <c r="G1950" s="92">
        <v>2640</v>
      </c>
      <c r="H1950" s="3">
        <v>28.2</v>
      </c>
      <c r="I1950" s="3">
        <v>5686.56</v>
      </c>
      <c r="J1950" s="1" t="s">
        <v>144</v>
      </c>
      <c r="K1950" s="1" t="s">
        <v>88</v>
      </c>
      <c r="L1950" t="str">
        <f>VLOOKUP(D1950, Products!A:C, 3, FALSE)</f>
        <v>Electronics</v>
      </c>
      <c r="M1950" t="str">
        <f>VLOOKUP(C1950, Customers!A:E, 5, FALSE)</f>
        <v>SMB</v>
      </c>
      <c r="N1950">
        <f>VLOOKUP(C1950, Customers!A:E, 3, FALSE)</f>
        <v>59</v>
      </c>
      <c r="O1950" s="93" t="str">
        <f>VLOOKUP(E1950, Sales_Reps!A:C, 3, FALSE)</f>
        <v>North</v>
      </c>
      <c r="P1950">
        <f>VLOOKUP(D1950, Products!A:E, 4, FALSE)</f>
        <v>1149</v>
      </c>
      <c r="Q1950">
        <f>IF(COUNTIF($A$2:A1950, A1950)=2, 1, 0)</f>
        <v>0</v>
      </c>
      <c r="R1950">
        <f>IF(ISNA(MATCH(C1950, Customers!$A:$A, 0)), 1, 0)</f>
        <v>0</v>
      </c>
      <c r="S1950" s="94" t="b">
        <f>VLOOKUP(D1950, Products!A:F, 6, FALSE)</f>
        <v>1</v>
      </c>
    </row>
    <row r="1951" spans="1:19">
      <c r="A1951" s="102" t="s">
        <v>2450</v>
      </c>
      <c r="B1951" s="2">
        <v>45507</v>
      </c>
      <c r="C1951" s="1" t="s">
        <v>1250</v>
      </c>
      <c r="D1951" s="1" t="s">
        <v>135</v>
      </c>
      <c r="E1951" s="1" t="s">
        <v>188</v>
      </c>
      <c r="F1951" s="83">
        <v>10</v>
      </c>
      <c r="G1951" s="92">
        <v>2640</v>
      </c>
      <c r="H1951" s="3">
        <v>25.9</v>
      </c>
      <c r="I1951" s="3">
        <v>19562.400000000001</v>
      </c>
      <c r="J1951" s="1" t="s">
        <v>87</v>
      </c>
      <c r="K1951" s="1" t="s">
        <v>88</v>
      </c>
      <c r="L1951" t="str">
        <f>VLOOKUP(D1951, Products!A:C, 3, FALSE)</f>
        <v>Electronics</v>
      </c>
      <c r="M1951" t="str">
        <f>VLOOKUP(C1951, Customers!A:E, 5, FALSE)</f>
        <v>Retail</v>
      </c>
      <c r="N1951">
        <f>VLOOKUP(C1951, Customers!A:E, 3, FALSE)</f>
        <v>44</v>
      </c>
      <c r="O1951" s="93" t="str">
        <f>VLOOKUP(E1951, Sales_Reps!A:C, 3, FALSE)</f>
        <v>South</v>
      </c>
      <c r="P1951">
        <f>VLOOKUP(D1951, Products!A:E, 4, FALSE)</f>
        <v>1149</v>
      </c>
      <c r="Q1951">
        <f>IF(COUNTIF($A$2:A1951, A1951)=2, 1, 0)</f>
        <v>0</v>
      </c>
      <c r="R1951">
        <f>IF(ISNA(MATCH(C1951, Customers!$A:$A, 0)), 1, 0)</f>
        <v>0</v>
      </c>
      <c r="S1951" s="94" t="b">
        <f>VLOOKUP(D1951, Products!A:F, 6, FALSE)</f>
        <v>1</v>
      </c>
    </row>
    <row r="1952" spans="1:19">
      <c r="A1952" s="102" t="s">
        <v>2451</v>
      </c>
      <c r="B1952" s="2">
        <v>45538</v>
      </c>
      <c r="C1952" s="1" t="s">
        <v>705</v>
      </c>
      <c r="D1952" s="1" t="s">
        <v>120</v>
      </c>
      <c r="E1952" s="1" t="s">
        <v>170</v>
      </c>
      <c r="F1952" s="83">
        <v>2</v>
      </c>
      <c r="G1952" s="92">
        <v>1430</v>
      </c>
      <c r="H1952" s="3">
        <v>5</v>
      </c>
      <c r="I1952" s="3">
        <v>2717</v>
      </c>
      <c r="J1952" s="1" t="s">
        <v>140</v>
      </c>
      <c r="K1952" s="1" t="s">
        <v>99</v>
      </c>
      <c r="L1952" t="str">
        <f>VLOOKUP(D1952, Products!A:C, 3, FALSE)</f>
        <v>Electronics</v>
      </c>
      <c r="M1952" t="str">
        <f>VLOOKUP(C1952, Customers!A:E, 5, FALSE)</f>
        <v>Retail</v>
      </c>
      <c r="N1952">
        <f>VLOOKUP(C1952, Customers!A:E, 3, FALSE)</f>
        <v>53</v>
      </c>
      <c r="O1952" s="93" t="str">
        <f>VLOOKUP(E1952, Sales_Reps!A:C, 3, FALSE)</f>
        <v>West</v>
      </c>
      <c r="P1952">
        <f>VLOOKUP(D1952, Products!A:E, 4, FALSE)</f>
        <v>861</v>
      </c>
      <c r="Q1952">
        <f>IF(COUNTIF($A$2:A1952, A1952)=2, 1, 0)</f>
        <v>0</v>
      </c>
      <c r="R1952">
        <f>IF(ISNA(MATCH(C1952, Customers!$A:$A, 0)), 1, 0)</f>
        <v>0</v>
      </c>
      <c r="S1952" s="94" t="b">
        <f>VLOOKUP(D1952, Products!A:F, 6, FALSE)</f>
        <v>1</v>
      </c>
    </row>
    <row r="1953" spans="1:19">
      <c r="A1953" s="102" t="s">
        <v>2452</v>
      </c>
      <c r="B1953" s="2">
        <v>45618</v>
      </c>
      <c r="C1953" s="1" t="s">
        <v>440</v>
      </c>
      <c r="D1953" s="1" t="s">
        <v>187</v>
      </c>
      <c r="E1953" s="1" t="s">
        <v>192</v>
      </c>
      <c r="F1953" s="83">
        <v>6</v>
      </c>
      <c r="G1953" s="92">
        <v>3570</v>
      </c>
      <c r="H1953" s="3">
        <v>28.5</v>
      </c>
      <c r="I1953" s="3">
        <v>15315.3</v>
      </c>
      <c r="J1953" s="1" t="s">
        <v>140</v>
      </c>
      <c r="K1953" s="1" t="s">
        <v>88</v>
      </c>
      <c r="L1953" t="str">
        <f>VLOOKUP(D1953, Products!A:C, 3, FALSE)</f>
        <v>Electronics</v>
      </c>
      <c r="M1953" t="str">
        <f>VLOOKUP(C1953, Customers!A:E, 5, FALSE)</f>
        <v>SMB</v>
      </c>
      <c r="N1953">
        <f>VLOOKUP(C1953, Customers!A:E, 3, FALSE)</f>
        <v>30</v>
      </c>
      <c r="O1953" s="93" t="str">
        <f>VLOOKUP(E1953, Sales_Reps!A:C, 3, FALSE)</f>
        <v>East</v>
      </c>
      <c r="P1953">
        <f>VLOOKUP(D1953, Products!A:E, 4, FALSE)</f>
        <v>1665</v>
      </c>
      <c r="Q1953">
        <f>IF(COUNTIF($A$2:A1953, A1953)=2, 1, 0)</f>
        <v>0</v>
      </c>
      <c r="R1953">
        <f>IF(ISNA(MATCH(C1953, Customers!$A:$A, 0)), 1, 0)</f>
        <v>0</v>
      </c>
      <c r="S1953" s="94" t="b">
        <f>VLOOKUP(D1953, Products!A:F, 6, FALSE)</f>
        <v>1</v>
      </c>
    </row>
    <row r="1954" spans="1:19">
      <c r="A1954" s="102" t="s">
        <v>2453</v>
      </c>
      <c r="B1954" s="2">
        <v>45444</v>
      </c>
      <c r="C1954" s="1" t="s">
        <v>397</v>
      </c>
      <c r="D1954" s="1" t="s">
        <v>187</v>
      </c>
      <c r="E1954" s="1" t="s">
        <v>116</v>
      </c>
      <c r="F1954" s="83">
        <v>1</v>
      </c>
      <c r="G1954" s="92">
        <v>3570</v>
      </c>
      <c r="H1954" s="3">
        <v>7.7</v>
      </c>
      <c r="I1954" s="3">
        <v>3295.11</v>
      </c>
      <c r="J1954" s="1" t="s">
        <v>87</v>
      </c>
      <c r="K1954" s="1" t="s">
        <v>99</v>
      </c>
      <c r="L1954" t="str">
        <f>VLOOKUP(D1954, Products!A:C, 3, FALSE)</f>
        <v>Electronics</v>
      </c>
      <c r="M1954" t="str">
        <f>VLOOKUP(C1954, Customers!A:E, 5, FALSE)</f>
        <v>Retail</v>
      </c>
      <c r="N1954">
        <f>VLOOKUP(C1954, Customers!A:E, 3, FALSE)</f>
        <v>30</v>
      </c>
      <c r="O1954" s="93" t="str">
        <f>VLOOKUP(E1954, Sales_Reps!A:C, 3, FALSE)</f>
        <v>West</v>
      </c>
      <c r="P1954">
        <f>VLOOKUP(D1954, Products!A:E, 4, FALSE)</f>
        <v>1665</v>
      </c>
      <c r="Q1954">
        <f>IF(COUNTIF($A$2:A1954, A1954)=2, 1, 0)</f>
        <v>0</v>
      </c>
      <c r="R1954">
        <f>IF(ISNA(MATCH(C1954, Customers!$A:$A, 0)), 1, 0)</f>
        <v>0</v>
      </c>
      <c r="S1954" s="94" t="b">
        <f>VLOOKUP(D1954, Products!A:F, 6, FALSE)</f>
        <v>1</v>
      </c>
    </row>
    <row r="1955" spans="1:19">
      <c r="A1955" s="102" t="s">
        <v>2454</v>
      </c>
      <c r="B1955" s="2">
        <v>45377</v>
      </c>
      <c r="C1955" s="1" t="s">
        <v>1294</v>
      </c>
      <c r="D1955" s="1" t="s">
        <v>248</v>
      </c>
      <c r="E1955" s="1" t="s">
        <v>170</v>
      </c>
      <c r="F1955" s="83">
        <v>9</v>
      </c>
      <c r="G1955" s="92">
        <v>3870</v>
      </c>
      <c r="H1955" s="3">
        <v>11.9</v>
      </c>
      <c r="I1955" s="3">
        <v>30685.23</v>
      </c>
      <c r="J1955" s="1" t="s">
        <v>140</v>
      </c>
      <c r="K1955" s="1" t="s">
        <v>94</v>
      </c>
      <c r="L1955" t="str">
        <f>VLOOKUP(D1955, Products!A:C, 3, FALSE)</f>
        <v>Electronics</v>
      </c>
      <c r="M1955" t="str">
        <f>VLOOKUP(C1955, Customers!A:E, 5, FALSE)</f>
        <v>SMB</v>
      </c>
      <c r="N1955">
        <f>VLOOKUP(C1955, Customers!A:E, 3, FALSE)</f>
        <v>43</v>
      </c>
      <c r="O1955" s="93" t="str">
        <f>VLOOKUP(E1955, Sales_Reps!A:C, 3, FALSE)</f>
        <v>West</v>
      </c>
      <c r="P1955">
        <f>VLOOKUP(D1955, Products!A:E, 4, FALSE)</f>
        <v>1559</v>
      </c>
      <c r="Q1955">
        <f>IF(COUNTIF($A$2:A1955, A1955)=2, 1, 0)</f>
        <v>0</v>
      </c>
      <c r="R1955">
        <f>IF(ISNA(MATCH(C1955, Customers!$A:$A, 0)), 1, 0)</f>
        <v>0</v>
      </c>
      <c r="S1955" s="94" t="b">
        <f>VLOOKUP(D1955, Products!A:F, 6, FALSE)</f>
        <v>1</v>
      </c>
    </row>
    <row r="1956" spans="1:19">
      <c r="A1956" s="102" t="s">
        <v>2455</v>
      </c>
      <c r="B1956" s="2">
        <v>45515</v>
      </c>
      <c r="C1956" s="1" t="s">
        <v>850</v>
      </c>
      <c r="D1956" s="1" t="s">
        <v>515</v>
      </c>
      <c r="E1956" s="1" t="s">
        <v>98</v>
      </c>
      <c r="F1956" s="83">
        <v>5</v>
      </c>
      <c r="G1956" s="92">
        <v>6940</v>
      </c>
      <c r="H1956" s="3">
        <v>17.399999999999999</v>
      </c>
      <c r="I1956" s="3">
        <v>28662.2</v>
      </c>
      <c r="J1956" s="1" t="s">
        <v>87</v>
      </c>
      <c r="K1956" s="1" t="s">
        <v>94</v>
      </c>
      <c r="L1956" t="str">
        <f>VLOOKUP(D1956, Products!A:C, 3, FALSE)</f>
        <v>Sports</v>
      </c>
      <c r="M1956" t="str">
        <f>VLOOKUP(C1956, Customers!A:E, 5, FALSE)</f>
        <v>SMB</v>
      </c>
      <c r="N1956">
        <f>VLOOKUP(C1956, Customers!A:E, 3, FALSE)</f>
        <v>26</v>
      </c>
      <c r="O1956" s="93" t="str">
        <f>VLOOKUP(E1956, Sales_Reps!A:C, 3, FALSE)</f>
        <v>South</v>
      </c>
      <c r="P1956">
        <f>VLOOKUP(D1956, Products!A:E, 4, FALSE)</f>
        <v>2827</v>
      </c>
      <c r="Q1956">
        <f>IF(COUNTIF($A$2:A1956, A1956)=2, 1, 0)</f>
        <v>0</v>
      </c>
      <c r="R1956">
        <f>IF(ISNA(MATCH(C1956, Customers!$A:$A, 0)), 1, 0)</f>
        <v>0</v>
      </c>
      <c r="S1956" s="94" t="b">
        <f>VLOOKUP(D1956, Products!A:F, 6, FALSE)</f>
        <v>1</v>
      </c>
    </row>
    <row r="1957" spans="1:19">
      <c r="A1957" s="102" t="s">
        <v>2456</v>
      </c>
      <c r="B1957" s="2">
        <v>45312</v>
      </c>
      <c r="C1957" s="1" t="s">
        <v>263</v>
      </c>
      <c r="D1957" s="1" t="s">
        <v>110</v>
      </c>
      <c r="E1957" s="1" t="s">
        <v>201</v>
      </c>
      <c r="F1957" s="83">
        <v>6</v>
      </c>
      <c r="G1957" s="92">
        <v>370</v>
      </c>
      <c r="H1957" s="3">
        <v>8.1</v>
      </c>
      <c r="I1957" s="3">
        <v>2040.18</v>
      </c>
      <c r="J1957" s="1" t="s">
        <v>140</v>
      </c>
      <c r="K1957" s="1" t="s">
        <v>133</v>
      </c>
      <c r="L1957" t="str">
        <f>VLOOKUP(D1957, Products!A:C, 3, FALSE)</f>
        <v>Home</v>
      </c>
      <c r="M1957" t="str">
        <f>VLOOKUP(C1957, Customers!A:E, 5, FALSE)</f>
        <v>Retail</v>
      </c>
      <c r="N1957">
        <f>VLOOKUP(C1957, Customers!A:E, 3, FALSE)</f>
        <v>53</v>
      </c>
      <c r="O1957" s="93" t="str">
        <f>VLOOKUP(E1957, Sales_Reps!A:C, 3, FALSE)</f>
        <v>West</v>
      </c>
      <c r="P1957">
        <f>VLOOKUP(D1957, Products!A:E, 4, FALSE)</f>
        <v>288</v>
      </c>
      <c r="Q1957">
        <f>IF(COUNTIF($A$2:A1957, A1957)=2, 1, 0)</f>
        <v>0</v>
      </c>
      <c r="R1957">
        <f>IF(ISNA(MATCH(C1957, Customers!$A:$A, 0)), 1, 0)</f>
        <v>0</v>
      </c>
      <c r="S1957" s="94" t="b">
        <f>VLOOKUP(D1957, Products!A:F, 6, FALSE)</f>
        <v>1</v>
      </c>
    </row>
    <row r="1958" spans="1:19">
      <c r="A1958" s="102" t="s">
        <v>2457</v>
      </c>
      <c r="B1958" s="2">
        <v>45549</v>
      </c>
      <c r="C1958" s="1" t="s">
        <v>266</v>
      </c>
      <c r="D1958" s="1" t="s">
        <v>659</v>
      </c>
      <c r="E1958" s="1" t="s">
        <v>343</v>
      </c>
      <c r="F1958" s="83">
        <v>8</v>
      </c>
      <c r="G1958" s="92">
        <v>3560</v>
      </c>
      <c r="H1958" s="3">
        <v>23.3</v>
      </c>
      <c r="I1958" s="3">
        <v>21844.16</v>
      </c>
      <c r="J1958" s="1" t="s">
        <v>87</v>
      </c>
      <c r="K1958" s="1" t="s">
        <v>99</v>
      </c>
      <c r="L1958" t="str">
        <f>VLOOKUP(D1958, Products!A:C, 3, FALSE)</f>
        <v>Apparel</v>
      </c>
      <c r="M1958" t="str">
        <f>VLOOKUP(C1958, Customers!A:E, 5, FALSE)</f>
        <v>Corporate</v>
      </c>
      <c r="N1958">
        <f>VLOOKUP(C1958, Customers!A:E, 3, FALSE)</f>
        <v>55</v>
      </c>
      <c r="O1958" s="93" t="str">
        <f>VLOOKUP(E1958, Sales_Reps!A:C, 3, FALSE)</f>
        <v>West</v>
      </c>
      <c r="P1958">
        <f>VLOOKUP(D1958, Products!A:E, 4, FALSE)</f>
        <v>2629</v>
      </c>
      <c r="Q1958">
        <f>IF(COUNTIF($A$2:A1958, A1958)=2, 1, 0)</f>
        <v>0</v>
      </c>
      <c r="R1958">
        <f>IF(ISNA(MATCH(C1958, Customers!$A:$A, 0)), 1, 0)</f>
        <v>0</v>
      </c>
      <c r="S1958" s="94" t="b">
        <f>VLOOKUP(D1958, Products!A:F, 6, FALSE)</f>
        <v>1</v>
      </c>
    </row>
    <row r="1959" spans="1:19">
      <c r="A1959" s="102" t="s">
        <v>2458</v>
      </c>
      <c r="B1959" s="2">
        <v>45633</v>
      </c>
      <c r="C1959" s="1" t="s">
        <v>613</v>
      </c>
      <c r="D1959" s="1" t="s">
        <v>267</v>
      </c>
      <c r="E1959" s="1" t="s">
        <v>128</v>
      </c>
      <c r="F1959" s="83">
        <v>4</v>
      </c>
      <c r="G1959" s="92">
        <v>1220</v>
      </c>
      <c r="H1959" s="3">
        <v>2.7</v>
      </c>
      <c r="I1959" s="3">
        <v>4748.24</v>
      </c>
      <c r="J1959" s="1" t="s">
        <v>87</v>
      </c>
      <c r="K1959" s="1" t="s">
        <v>112</v>
      </c>
      <c r="L1959" t="str">
        <f>VLOOKUP(D1959, Products!A:C, 3, FALSE)</f>
        <v>Electronics</v>
      </c>
      <c r="M1959" t="str">
        <f>VLOOKUP(C1959, Customers!A:E, 5, FALSE)</f>
        <v>Retail</v>
      </c>
      <c r="N1959">
        <f>VLOOKUP(C1959, Customers!A:E, 3, FALSE)</f>
        <v>44</v>
      </c>
      <c r="O1959" s="93" t="str">
        <f>VLOOKUP(E1959, Sales_Reps!A:C, 3, FALSE)</f>
        <v>West</v>
      </c>
      <c r="P1959">
        <f>VLOOKUP(D1959, Products!A:E, 4, FALSE)</f>
        <v>517</v>
      </c>
      <c r="Q1959">
        <f>IF(COUNTIF($A$2:A1959, A1959)=2, 1, 0)</f>
        <v>0</v>
      </c>
      <c r="R1959">
        <f>IF(ISNA(MATCH(C1959, Customers!$A:$A, 0)), 1, 0)</f>
        <v>0</v>
      </c>
      <c r="S1959" s="94" t="b">
        <f>VLOOKUP(D1959, Products!A:F, 6, FALSE)</f>
        <v>1</v>
      </c>
    </row>
    <row r="1960" spans="1:19">
      <c r="A1960" s="102" t="s">
        <v>2459</v>
      </c>
      <c r="B1960" s="2">
        <v>45598</v>
      </c>
      <c r="C1960" s="1" t="s">
        <v>717</v>
      </c>
      <c r="D1960" s="1" t="s">
        <v>264</v>
      </c>
      <c r="E1960" s="1" t="s">
        <v>192</v>
      </c>
      <c r="F1960" s="83">
        <v>10</v>
      </c>
      <c r="G1960" s="92">
        <v>4070</v>
      </c>
      <c r="H1960" s="3">
        <v>11.6</v>
      </c>
      <c r="I1960" s="3">
        <v>35978.800000000003</v>
      </c>
      <c r="J1960" s="1" t="s">
        <v>87</v>
      </c>
      <c r="K1960" s="1" t="s">
        <v>94</v>
      </c>
      <c r="L1960" t="str">
        <f>VLOOKUP(D1960, Products!A:C, 3, FALSE)</f>
        <v>Grocery</v>
      </c>
      <c r="M1960" t="str">
        <f>VLOOKUP(C1960, Customers!A:E, 5, FALSE)</f>
        <v>Retail</v>
      </c>
      <c r="N1960">
        <f>VLOOKUP(C1960, Customers!A:E, 3, FALSE)</f>
        <v>24</v>
      </c>
      <c r="O1960" s="93" t="str">
        <f>VLOOKUP(E1960, Sales_Reps!A:C, 3, FALSE)</f>
        <v>East</v>
      </c>
      <c r="P1960">
        <f>VLOOKUP(D1960, Products!A:E, 4, FALSE)</f>
        <v>2027</v>
      </c>
      <c r="Q1960">
        <f>IF(COUNTIF($A$2:A1960, A1960)=2, 1, 0)</f>
        <v>0</v>
      </c>
      <c r="R1960">
        <f>IF(ISNA(MATCH(C1960, Customers!$A:$A, 0)), 1, 0)</f>
        <v>0</v>
      </c>
      <c r="S1960" s="94" t="b">
        <f>VLOOKUP(D1960, Products!A:F, 6, FALSE)</f>
        <v>1</v>
      </c>
    </row>
    <row r="1961" spans="1:19">
      <c r="A1961" s="102" t="s">
        <v>2460</v>
      </c>
      <c r="B1961" s="2">
        <v>45336</v>
      </c>
      <c r="C1961" s="1" t="s">
        <v>797</v>
      </c>
      <c r="D1961" s="1" t="s">
        <v>102</v>
      </c>
      <c r="E1961" s="1" t="s">
        <v>121</v>
      </c>
      <c r="F1961" s="83">
        <v>10</v>
      </c>
      <c r="G1961" s="92">
        <v>3660</v>
      </c>
      <c r="H1961" s="3">
        <v>28.8</v>
      </c>
      <c r="I1961" s="3">
        <v>26059.200000000001</v>
      </c>
      <c r="J1961" s="1" t="s">
        <v>87</v>
      </c>
      <c r="K1961" s="1" t="s">
        <v>99</v>
      </c>
      <c r="L1961" t="str">
        <f>VLOOKUP(D1961, Products!A:C, 3, FALSE)</f>
        <v>Grocery</v>
      </c>
      <c r="M1961" t="str">
        <f>VLOOKUP(C1961, Customers!A:E, 5, FALSE)</f>
        <v>Retail</v>
      </c>
      <c r="N1961">
        <f>VLOOKUP(C1961, Customers!A:E, 3, FALSE)</f>
        <v>63</v>
      </c>
      <c r="O1961" s="93" t="str">
        <f>VLOOKUP(E1961, Sales_Reps!A:C, 3, FALSE)</f>
        <v>East</v>
      </c>
      <c r="P1961">
        <f>VLOOKUP(D1961, Products!A:E, 4, FALSE)</f>
        <v>2214</v>
      </c>
      <c r="Q1961">
        <f>IF(COUNTIF($A$2:A1961, A1961)=2, 1, 0)</f>
        <v>0</v>
      </c>
      <c r="R1961">
        <f>IF(ISNA(MATCH(C1961, Customers!$A:$A, 0)), 1, 0)</f>
        <v>0</v>
      </c>
      <c r="S1961" s="94" t="b">
        <f>VLOOKUP(D1961, Products!A:F, 6, FALSE)</f>
        <v>0</v>
      </c>
    </row>
    <row r="1962" spans="1:19">
      <c r="A1962" s="102" t="s">
        <v>2461</v>
      </c>
      <c r="B1962" s="2">
        <v>45449</v>
      </c>
      <c r="C1962" s="1" t="s">
        <v>615</v>
      </c>
      <c r="D1962" s="1" t="s">
        <v>443</v>
      </c>
      <c r="E1962" s="1" t="s">
        <v>303</v>
      </c>
      <c r="F1962" s="83">
        <v>5</v>
      </c>
      <c r="G1962" s="92">
        <v>5080</v>
      </c>
      <c r="H1962" s="3">
        <v>12.1</v>
      </c>
      <c r="I1962" s="3">
        <v>22326.6</v>
      </c>
      <c r="J1962" s="1" t="s">
        <v>87</v>
      </c>
      <c r="K1962" s="1" t="s">
        <v>112</v>
      </c>
      <c r="L1962" t="str">
        <f>VLOOKUP(D1962, Products!A:C, 3, FALSE)</f>
        <v>Home</v>
      </c>
      <c r="M1962" t="str">
        <f>VLOOKUP(C1962, Customers!A:E, 5, FALSE)</f>
        <v>Retail</v>
      </c>
      <c r="N1962">
        <f>VLOOKUP(C1962, Customers!A:E, 3, FALSE)</f>
        <v>53</v>
      </c>
      <c r="O1962" s="93" t="str">
        <f>VLOOKUP(E1962, Sales_Reps!A:C, 3, FALSE)</f>
        <v>East</v>
      </c>
      <c r="P1962">
        <f>VLOOKUP(D1962, Products!A:E, 4, FALSE)</f>
        <v>2459</v>
      </c>
      <c r="Q1962">
        <f>IF(COUNTIF($A$2:A1962, A1962)=2, 1, 0)</f>
        <v>0</v>
      </c>
      <c r="R1962">
        <f>IF(ISNA(MATCH(C1962, Customers!$A:$A, 0)), 1, 0)</f>
        <v>0</v>
      </c>
      <c r="S1962" s="94" t="b">
        <f>VLOOKUP(D1962, Products!A:F, 6, FALSE)</f>
        <v>1</v>
      </c>
    </row>
    <row r="1963" spans="1:19">
      <c r="A1963" s="102" t="s">
        <v>2462</v>
      </c>
      <c r="B1963" s="2">
        <v>45338</v>
      </c>
      <c r="C1963" s="1" t="s">
        <v>797</v>
      </c>
      <c r="D1963" s="1" t="s">
        <v>270</v>
      </c>
      <c r="E1963" s="1" t="s">
        <v>252</v>
      </c>
      <c r="F1963" s="83">
        <v>10</v>
      </c>
      <c r="G1963" s="92">
        <v>4610</v>
      </c>
      <c r="H1963" s="3">
        <v>22.5</v>
      </c>
      <c r="I1963" s="3">
        <v>35727.5</v>
      </c>
      <c r="J1963" s="1" t="s">
        <v>87</v>
      </c>
      <c r="K1963" s="1" t="s">
        <v>99</v>
      </c>
      <c r="L1963" t="str">
        <f>VLOOKUP(D1963, Products!A:C, 3, FALSE)</f>
        <v>Home</v>
      </c>
      <c r="M1963" t="str">
        <f>VLOOKUP(C1963, Customers!A:E, 5, FALSE)</f>
        <v>Retail</v>
      </c>
      <c r="N1963">
        <f>VLOOKUP(C1963, Customers!A:E, 3, FALSE)</f>
        <v>63</v>
      </c>
      <c r="O1963" s="93" t="str">
        <f>VLOOKUP(E1963, Sales_Reps!A:C, 3, FALSE)</f>
        <v>South</v>
      </c>
      <c r="P1963">
        <f>VLOOKUP(D1963, Products!A:E, 4, FALSE)</f>
        <v>1850</v>
      </c>
      <c r="Q1963">
        <f>IF(COUNTIF($A$2:A1963, A1963)=2, 1, 0)</f>
        <v>0</v>
      </c>
      <c r="R1963">
        <f>IF(ISNA(MATCH(C1963, Customers!$A:$A, 0)), 1, 0)</f>
        <v>0</v>
      </c>
      <c r="S1963" s="94" t="b">
        <f>VLOOKUP(D1963, Products!A:F, 6, FALSE)</f>
        <v>1</v>
      </c>
    </row>
    <row r="1964" spans="1:19">
      <c r="A1964" s="102" t="s">
        <v>2463</v>
      </c>
      <c r="B1964" s="2">
        <v>45317</v>
      </c>
      <c r="C1964" s="1" t="s">
        <v>779</v>
      </c>
      <c r="D1964" s="1" t="s">
        <v>279</v>
      </c>
      <c r="E1964" s="1" t="s">
        <v>86</v>
      </c>
      <c r="F1964" s="83">
        <v>3</v>
      </c>
      <c r="G1964" s="92">
        <v>2660</v>
      </c>
      <c r="H1964" s="3">
        <v>15</v>
      </c>
      <c r="I1964" s="3">
        <v>6783</v>
      </c>
      <c r="J1964" s="1" t="s">
        <v>87</v>
      </c>
      <c r="K1964" s="1" t="s">
        <v>117</v>
      </c>
      <c r="L1964" t="str">
        <f>VLOOKUP(D1964, Products!A:C, 3, FALSE)</f>
        <v>Electronics</v>
      </c>
      <c r="M1964" t="str">
        <f>VLOOKUP(C1964, Customers!A:E, 5, FALSE)</f>
        <v>Retail</v>
      </c>
      <c r="N1964">
        <f>VLOOKUP(C1964, Customers!A:E, 3, FALSE)</f>
        <v>27</v>
      </c>
      <c r="O1964" s="93" t="str">
        <f>VLOOKUP(E1964, Sales_Reps!A:C, 3, FALSE)</f>
        <v>North</v>
      </c>
      <c r="P1964">
        <f>VLOOKUP(D1964, Products!A:E, 4, FALSE)</f>
        <v>1259</v>
      </c>
      <c r="Q1964">
        <f>IF(COUNTIF($A$2:A1964, A1964)=2, 1, 0)</f>
        <v>0</v>
      </c>
      <c r="R1964">
        <f>IF(ISNA(MATCH(C1964, Customers!$A:$A, 0)), 1, 0)</f>
        <v>0</v>
      </c>
      <c r="S1964" s="94" t="b">
        <f>VLOOKUP(D1964, Products!A:F, 6, FALSE)</f>
        <v>0</v>
      </c>
    </row>
    <row r="1965" spans="1:19">
      <c r="A1965" s="102" t="s">
        <v>2464</v>
      </c>
      <c r="B1965" s="2">
        <v>45384</v>
      </c>
      <c r="C1965" s="1" t="s">
        <v>595</v>
      </c>
      <c r="D1965" s="1" t="s">
        <v>106</v>
      </c>
      <c r="E1965" s="1" t="s">
        <v>103</v>
      </c>
      <c r="F1965" s="83">
        <v>5</v>
      </c>
      <c r="G1965" s="92">
        <v>3160</v>
      </c>
      <c r="H1965" s="3">
        <v>1.3</v>
      </c>
      <c r="I1965" s="3">
        <v>15594.6</v>
      </c>
      <c r="J1965" s="1" t="s">
        <v>87</v>
      </c>
      <c r="K1965" s="1" t="s">
        <v>99</v>
      </c>
      <c r="L1965" t="str">
        <f>VLOOKUP(D1965, Products!A:C, 3, FALSE)</f>
        <v>Apparel</v>
      </c>
      <c r="M1965" t="str">
        <f>VLOOKUP(C1965, Customers!A:E, 5, FALSE)</f>
        <v>SMB</v>
      </c>
      <c r="N1965">
        <f>VLOOKUP(C1965, Customers!A:E, 3, FALSE)</f>
        <v>48</v>
      </c>
      <c r="O1965" s="93" t="str">
        <f>VLOOKUP(E1965, Sales_Reps!A:C, 3, FALSE)</f>
        <v>North</v>
      </c>
      <c r="P1965">
        <f>VLOOKUP(D1965, Products!A:E, 4, FALSE)</f>
        <v>1886</v>
      </c>
      <c r="Q1965">
        <f>IF(COUNTIF($A$2:A1965, A1965)=2, 1, 0)</f>
        <v>0</v>
      </c>
      <c r="R1965">
        <f>IF(ISNA(MATCH(C1965, Customers!$A:$A, 0)), 1, 0)</f>
        <v>0</v>
      </c>
      <c r="S1965" s="94" t="b">
        <f>VLOOKUP(D1965, Products!A:F, 6, FALSE)</f>
        <v>1</v>
      </c>
    </row>
    <row r="1966" spans="1:19">
      <c r="A1966" s="102" t="s">
        <v>2465</v>
      </c>
      <c r="B1966" s="2">
        <v>45325</v>
      </c>
      <c r="C1966" s="1" t="s">
        <v>684</v>
      </c>
      <c r="D1966" s="1" t="s">
        <v>110</v>
      </c>
      <c r="E1966" s="1" t="s">
        <v>139</v>
      </c>
      <c r="F1966" s="83">
        <v>10</v>
      </c>
      <c r="G1966" s="92">
        <v>370</v>
      </c>
      <c r="H1966" s="3">
        <v>29</v>
      </c>
      <c r="I1966" s="3">
        <v>2627</v>
      </c>
      <c r="J1966" s="1" t="s">
        <v>87</v>
      </c>
      <c r="K1966" s="1" t="s">
        <v>99</v>
      </c>
      <c r="L1966" t="str">
        <f>VLOOKUP(D1966, Products!A:C, 3, FALSE)</f>
        <v>Home</v>
      </c>
      <c r="M1966" t="str">
        <f>VLOOKUP(C1966, Customers!A:E, 5, FALSE)</f>
        <v>Retail</v>
      </c>
      <c r="N1966">
        <f>VLOOKUP(C1966, Customers!A:E, 3, FALSE)</f>
        <v>41</v>
      </c>
      <c r="O1966" s="93" t="str">
        <f>VLOOKUP(E1966, Sales_Reps!A:C, 3, FALSE)</f>
        <v>North</v>
      </c>
      <c r="P1966">
        <f>VLOOKUP(D1966, Products!A:E, 4, FALSE)</f>
        <v>288</v>
      </c>
      <c r="Q1966">
        <f>IF(COUNTIF($A$2:A1966, A1966)=2, 1, 0)</f>
        <v>0</v>
      </c>
      <c r="R1966">
        <f>IF(ISNA(MATCH(C1966, Customers!$A:$A, 0)), 1, 0)</f>
        <v>0</v>
      </c>
      <c r="S1966" s="94" t="b">
        <f>VLOOKUP(D1966, Products!A:F, 6, FALSE)</f>
        <v>1</v>
      </c>
    </row>
    <row r="1967" spans="1:19">
      <c r="A1967" s="102" t="s">
        <v>2466</v>
      </c>
      <c r="B1967" s="2">
        <v>45358</v>
      </c>
      <c r="C1967" s="1" t="s">
        <v>1051</v>
      </c>
      <c r="D1967" s="1" t="s">
        <v>182</v>
      </c>
      <c r="E1967" s="1" t="s">
        <v>107</v>
      </c>
      <c r="F1967" s="83">
        <v>10</v>
      </c>
      <c r="G1967" s="92">
        <v>1010</v>
      </c>
      <c r="H1967" s="3">
        <v>14.1</v>
      </c>
      <c r="I1967" s="3">
        <v>8675.9</v>
      </c>
      <c r="J1967" s="1" t="s">
        <v>144</v>
      </c>
      <c r="K1967" s="1" t="s">
        <v>112</v>
      </c>
      <c r="L1967" t="str">
        <f>VLOOKUP(D1967, Products!A:C, 3, FALSE)</f>
        <v>Sports</v>
      </c>
      <c r="M1967" t="str">
        <f>VLOOKUP(C1967, Customers!A:E, 5, FALSE)</f>
        <v>Retail</v>
      </c>
      <c r="N1967">
        <f>VLOOKUP(C1967, Customers!A:E, 3, FALSE)</f>
        <v>54</v>
      </c>
      <c r="O1967" s="93" t="str">
        <f>VLOOKUP(E1967, Sales_Reps!A:C, 3, FALSE)</f>
        <v>North</v>
      </c>
      <c r="P1967">
        <f>VLOOKUP(D1967, Products!A:E, 4, FALSE)</f>
        <v>516</v>
      </c>
      <c r="Q1967">
        <f>IF(COUNTIF($A$2:A1967, A1967)=2, 1, 0)</f>
        <v>0</v>
      </c>
      <c r="R1967">
        <f>IF(ISNA(MATCH(C1967, Customers!$A:$A, 0)), 1, 0)</f>
        <v>0</v>
      </c>
      <c r="S1967" s="94" t="b">
        <f>VLOOKUP(D1967, Products!A:F, 6, FALSE)</f>
        <v>1</v>
      </c>
    </row>
    <row r="1968" spans="1:19">
      <c r="A1968" s="102" t="s">
        <v>2467</v>
      </c>
      <c r="B1968" s="2">
        <v>45586</v>
      </c>
      <c r="C1968" s="1" t="s">
        <v>333</v>
      </c>
      <c r="D1968" s="1" t="s">
        <v>659</v>
      </c>
      <c r="E1968" s="1" t="s">
        <v>170</v>
      </c>
      <c r="F1968" s="83">
        <v>3</v>
      </c>
      <c r="G1968" s="92">
        <v>3560</v>
      </c>
      <c r="H1968" s="3">
        <v>23.6</v>
      </c>
      <c r="I1968" s="3">
        <v>8159.52</v>
      </c>
      <c r="J1968" s="1" t="s">
        <v>87</v>
      </c>
      <c r="K1968" s="1" t="s">
        <v>133</v>
      </c>
      <c r="L1968" t="str">
        <f>VLOOKUP(D1968, Products!A:C, 3, FALSE)</f>
        <v>Apparel</v>
      </c>
      <c r="M1968" t="str">
        <f>VLOOKUP(C1968, Customers!A:E, 5, FALSE)</f>
        <v>SMB</v>
      </c>
      <c r="N1968">
        <f>VLOOKUP(C1968, Customers!A:E, 3, FALSE)</f>
        <v>65</v>
      </c>
      <c r="O1968" s="93" t="str">
        <f>VLOOKUP(E1968, Sales_Reps!A:C, 3, FALSE)</f>
        <v>West</v>
      </c>
      <c r="P1968">
        <f>VLOOKUP(D1968, Products!A:E, 4, FALSE)</f>
        <v>2629</v>
      </c>
      <c r="Q1968">
        <f>IF(COUNTIF($A$2:A1968, A1968)=2, 1, 0)</f>
        <v>0</v>
      </c>
      <c r="R1968">
        <f>IF(ISNA(MATCH(C1968, Customers!$A:$A, 0)), 1, 0)</f>
        <v>0</v>
      </c>
      <c r="S1968" s="94" t="b">
        <f>VLOOKUP(D1968, Products!A:F, 6, FALSE)</f>
        <v>1</v>
      </c>
    </row>
    <row r="1969" spans="1:19">
      <c r="A1969" s="102" t="s">
        <v>2468</v>
      </c>
      <c r="B1969" s="2">
        <v>45340</v>
      </c>
      <c r="C1969" s="1" t="s">
        <v>324</v>
      </c>
      <c r="D1969" s="1" t="s">
        <v>267</v>
      </c>
      <c r="E1969" s="1" t="s">
        <v>128</v>
      </c>
      <c r="F1969" s="83">
        <v>9</v>
      </c>
      <c r="G1969" s="92">
        <v>1220</v>
      </c>
      <c r="H1969" s="3">
        <v>16.600000000000001</v>
      </c>
      <c r="I1969" s="3">
        <v>9157.32</v>
      </c>
      <c r="J1969" s="1" t="s">
        <v>87</v>
      </c>
      <c r="K1969" s="1" t="s">
        <v>133</v>
      </c>
      <c r="L1969" t="str">
        <f>VLOOKUP(D1969, Products!A:C, 3, FALSE)</f>
        <v>Electronics</v>
      </c>
      <c r="M1969" t="str">
        <f>VLOOKUP(C1969, Customers!A:E, 5, FALSE)</f>
        <v>Retail</v>
      </c>
      <c r="N1969">
        <f>VLOOKUP(C1969, Customers!A:E, 3, FALSE)</f>
        <v>28</v>
      </c>
      <c r="O1969" s="93" t="str">
        <f>VLOOKUP(E1969, Sales_Reps!A:C, 3, FALSE)</f>
        <v>West</v>
      </c>
      <c r="P1969">
        <f>VLOOKUP(D1969, Products!A:E, 4, FALSE)</f>
        <v>517</v>
      </c>
      <c r="Q1969">
        <f>IF(COUNTIF($A$2:A1969, A1969)=2, 1, 0)</f>
        <v>0</v>
      </c>
      <c r="R1969">
        <f>IF(ISNA(MATCH(C1969, Customers!$A:$A, 0)), 1, 0)</f>
        <v>0</v>
      </c>
      <c r="S1969" s="94" t="b">
        <f>VLOOKUP(D1969, Products!A:F, 6, FALSE)</f>
        <v>1</v>
      </c>
    </row>
    <row r="1970" spans="1:19">
      <c r="A1970" s="102" t="s">
        <v>2469</v>
      </c>
      <c r="B1970" s="2">
        <v>45343</v>
      </c>
      <c r="C1970" s="1" t="s">
        <v>1231</v>
      </c>
      <c r="D1970" s="1" t="s">
        <v>147</v>
      </c>
      <c r="E1970" s="1" t="s">
        <v>107</v>
      </c>
      <c r="F1970" s="83">
        <v>8</v>
      </c>
      <c r="G1970" s="92">
        <v>190</v>
      </c>
      <c r="H1970" s="3">
        <v>22.3</v>
      </c>
      <c r="I1970" s="3">
        <v>1181.04</v>
      </c>
      <c r="J1970" s="1" t="s">
        <v>87</v>
      </c>
      <c r="K1970" s="1" t="s">
        <v>88</v>
      </c>
      <c r="L1970" t="str">
        <f>VLOOKUP(D1970, Products!A:C, 3, FALSE)</f>
        <v>Sports</v>
      </c>
      <c r="M1970" t="str">
        <f>VLOOKUP(C1970, Customers!A:E, 5, FALSE)</f>
        <v>Retail</v>
      </c>
      <c r="N1970">
        <f>VLOOKUP(C1970, Customers!A:E, 3, FALSE)</f>
        <v>42</v>
      </c>
      <c r="O1970" s="93" t="str">
        <f>VLOOKUP(E1970, Sales_Reps!A:C, 3, FALSE)</f>
        <v>North</v>
      </c>
      <c r="P1970">
        <f>VLOOKUP(D1970, Products!A:E, 4, FALSE)</f>
        <v>147</v>
      </c>
      <c r="Q1970">
        <f>IF(COUNTIF($A$2:A1970, A1970)=2, 1, 0)</f>
        <v>0</v>
      </c>
      <c r="R1970">
        <f>IF(ISNA(MATCH(C1970, Customers!$A:$A, 0)), 1, 0)</f>
        <v>0</v>
      </c>
      <c r="S1970" s="94" t="b">
        <f>VLOOKUP(D1970, Products!A:F, 6, FALSE)</f>
        <v>1</v>
      </c>
    </row>
    <row r="1971" spans="1:19">
      <c r="A1971" s="102" t="s">
        <v>2470</v>
      </c>
      <c r="B1971" s="2">
        <v>45468</v>
      </c>
      <c r="C1971" s="1" t="s">
        <v>405</v>
      </c>
      <c r="D1971" s="1" t="s">
        <v>182</v>
      </c>
      <c r="E1971" s="1" t="s">
        <v>297</v>
      </c>
      <c r="F1971" s="83">
        <v>2</v>
      </c>
      <c r="G1971" s="92">
        <v>1010</v>
      </c>
      <c r="H1971" s="3">
        <v>3.8</v>
      </c>
      <c r="I1971" s="3">
        <v>1943.24</v>
      </c>
      <c r="J1971" s="1" t="s">
        <v>87</v>
      </c>
      <c r="K1971" s="1" t="s">
        <v>94</v>
      </c>
      <c r="L1971" t="str">
        <f>VLOOKUP(D1971, Products!A:C, 3, FALSE)</f>
        <v>Sports</v>
      </c>
      <c r="M1971" t="str">
        <f>VLOOKUP(C1971, Customers!A:E, 5, FALSE)</f>
        <v>Corporate</v>
      </c>
      <c r="N1971">
        <f>VLOOKUP(C1971, Customers!A:E, 3, FALSE)</f>
        <v>24</v>
      </c>
      <c r="O1971" s="93" t="str">
        <f>VLOOKUP(E1971, Sales_Reps!A:C, 3, FALSE)</f>
        <v>North</v>
      </c>
      <c r="P1971">
        <f>VLOOKUP(D1971, Products!A:E, 4, FALSE)</f>
        <v>516</v>
      </c>
      <c r="Q1971">
        <f>IF(COUNTIF($A$2:A1971, A1971)=2, 1, 0)</f>
        <v>0</v>
      </c>
      <c r="R1971">
        <f>IF(ISNA(MATCH(C1971, Customers!$A:$A, 0)), 1, 0)</f>
        <v>0</v>
      </c>
      <c r="S1971" s="94" t="b">
        <f>VLOOKUP(D1971, Products!A:F, 6, FALSE)</f>
        <v>1</v>
      </c>
    </row>
    <row r="1972" spans="1:19">
      <c r="A1972" s="102" t="s">
        <v>2471</v>
      </c>
      <c r="B1972" s="2">
        <v>45439</v>
      </c>
      <c r="C1972" s="1" t="s">
        <v>874</v>
      </c>
      <c r="D1972" s="1" t="s">
        <v>138</v>
      </c>
      <c r="E1972" s="1" t="s">
        <v>204</v>
      </c>
      <c r="F1972" s="83">
        <v>4</v>
      </c>
      <c r="G1972" s="92">
        <v>2600</v>
      </c>
      <c r="H1972" s="3">
        <v>29.1</v>
      </c>
      <c r="I1972" s="3">
        <v>7373.6</v>
      </c>
      <c r="J1972" s="1" t="s">
        <v>87</v>
      </c>
      <c r="K1972" s="1" t="s">
        <v>112</v>
      </c>
      <c r="L1972" t="str">
        <f>VLOOKUP(D1972, Products!A:C, 3, FALSE)</f>
        <v>Electronics</v>
      </c>
      <c r="M1972" t="str">
        <f>VLOOKUP(C1972, Customers!A:E, 5, FALSE)</f>
        <v>Retail</v>
      </c>
      <c r="N1972">
        <f>VLOOKUP(C1972, Customers!A:E, 3, FALSE)</f>
        <v>57</v>
      </c>
      <c r="O1972" s="93" t="str">
        <f>VLOOKUP(E1972, Sales_Reps!A:C, 3, FALSE)</f>
        <v>South</v>
      </c>
      <c r="P1972">
        <f>VLOOKUP(D1972, Products!A:E, 4, FALSE)</f>
        <v>1052</v>
      </c>
      <c r="Q1972">
        <f>IF(COUNTIF($A$2:A1972, A1972)=2, 1, 0)</f>
        <v>0</v>
      </c>
      <c r="R1972">
        <f>IF(ISNA(MATCH(C1972, Customers!$A:$A, 0)), 1, 0)</f>
        <v>0</v>
      </c>
      <c r="S1972" s="94" t="b">
        <f>VLOOKUP(D1972, Products!A:F, 6, FALSE)</f>
        <v>1</v>
      </c>
    </row>
    <row r="1973" spans="1:19">
      <c r="A1973" s="102" t="s">
        <v>2472</v>
      </c>
      <c r="B1973" s="2">
        <v>45517</v>
      </c>
      <c r="C1973" s="1" t="s">
        <v>684</v>
      </c>
      <c r="D1973" s="1" t="s">
        <v>452</v>
      </c>
      <c r="E1973" s="1" t="s">
        <v>229</v>
      </c>
      <c r="F1973" s="83">
        <v>7</v>
      </c>
      <c r="G1973" s="92">
        <v>3450</v>
      </c>
      <c r="H1973" s="3">
        <v>4</v>
      </c>
      <c r="I1973" s="3">
        <v>23184</v>
      </c>
      <c r="J1973" s="1" t="s">
        <v>87</v>
      </c>
      <c r="K1973" s="1" t="s">
        <v>99</v>
      </c>
      <c r="L1973" t="str">
        <f>VLOOKUP(D1973, Products!A:C, 3, FALSE)</f>
        <v>Apparel</v>
      </c>
      <c r="M1973" t="str">
        <f>VLOOKUP(C1973, Customers!A:E, 5, FALSE)</f>
        <v>Retail</v>
      </c>
      <c r="N1973">
        <f>VLOOKUP(C1973, Customers!A:E, 3, FALSE)</f>
        <v>41</v>
      </c>
      <c r="O1973" s="93" t="str">
        <f>VLOOKUP(E1973, Sales_Reps!A:C, 3, FALSE)</f>
        <v>West</v>
      </c>
      <c r="P1973">
        <f>VLOOKUP(D1973, Products!A:E, 4, FALSE)</f>
        <v>1748</v>
      </c>
      <c r="Q1973">
        <f>IF(COUNTIF($A$2:A1973, A1973)=2, 1, 0)</f>
        <v>0</v>
      </c>
      <c r="R1973">
        <f>IF(ISNA(MATCH(C1973, Customers!$A:$A, 0)), 1, 0)</f>
        <v>0</v>
      </c>
      <c r="S1973" s="94" t="b">
        <f>VLOOKUP(D1973, Products!A:F, 6, FALSE)</f>
        <v>1</v>
      </c>
    </row>
    <row r="1974" spans="1:19">
      <c r="A1974" s="102" t="s">
        <v>2473</v>
      </c>
      <c r="B1974" s="2">
        <v>45311</v>
      </c>
      <c r="C1974" s="1" t="s">
        <v>244</v>
      </c>
      <c r="D1974" s="1" t="s">
        <v>355</v>
      </c>
      <c r="E1974" s="1" t="s">
        <v>121</v>
      </c>
      <c r="F1974" s="83">
        <v>6</v>
      </c>
      <c r="G1974" s="92">
        <v>2510</v>
      </c>
      <c r="H1974" s="3">
        <v>12.7</v>
      </c>
      <c r="I1974" s="3">
        <v>13147.38</v>
      </c>
      <c r="J1974" s="1" t="s">
        <v>87</v>
      </c>
      <c r="K1974" s="1" t="s">
        <v>94</v>
      </c>
      <c r="L1974" t="str">
        <f>VLOOKUP(D1974, Products!A:C, 3, FALSE)</f>
        <v>Apparel</v>
      </c>
      <c r="M1974" t="str">
        <f>VLOOKUP(C1974, Customers!A:E, 5, FALSE)</f>
        <v>Corporate</v>
      </c>
      <c r="N1974">
        <f>VLOOKUP(C1974, Customers!A:E, 3, FALSE)</f>
        <v>52</v>
      </c>
      <c r="O1974" s="93" t="str">
        <f>VLOOKUP(E1974, Sales_Reps!A:C, 3, FALSE)</f>
        <v>East</v>
      </c>
      <c r="P1974">
        <f>VLOOKUP(D1974, Products!A:E, 4, FALSE)</f>
        <v>1075</v>
      </c>
      <c r="Q1974">
        <f>IF(COUNTIF($A$2:A1974, A1974)=2, 1, 0)</f>
        <v>0</v>
      </c>
      <c r="R1974">
        <f>IF(ISNA(MATCH(C1974, Customers!$A:$A, 0)), 1, 0)</f>
        <v>0</v>
      </c>
      <c r="S1974" s="94" t="b">
        <f>VLOOKUP(D1974, Products!A:F, 6, FALSE)</f>
        <v>0</v>
      </c>
    </row>
    <row r="1975" spans="1:19">
      <c r="A1975" s="102" t="s">
        <v>2474</v>
      </c>
      <c r="B1975" s="2">
        <v>45560</v>
      </c>
      <c r="C1975" s="1" t="s">
        <v>109</v>
      </c>
      <c r="D1975" s="1" t="s">
        <v>147</v>
      </c>
      <c r="E1975" s="1" t="s">
        <v>343</v>
      </c>
      <c r="F1975" s="83">
        <v>6</v>
      </c>
      <c r="G1975" s="92">
        <v>190</v>
      </c>
      <c r="H1975" s="3">
        <v>20</v>
      </c>
      <c r="I1975" s="3">
        <v>912</v>
      </c>
      <c r="J1975" s="1" t="s">
        <v>140</v>
      </c>
      <c r="K1975" s="1" t="s">
        <v>112</v>
      </c>
      <c r="L1975" t="str">
        <f>VLOOKUP(D1975, Products!A:C, 3, FALSE)</f>
        <v>Sports</v>
      </c>
      <c r="M1975" t="str">
        <f>VLOOKUP(C1975, Customers!A:E, 5, FALSE)</f>
        <v>Retail</v>
      </c>
      <c r="N1975">
        <f>VLOOKUP(C1975, Customers!A:E, 3, FALSE)</f>
        <v>36</v>
      </c>
      <c r="O1975" s="93" t="str">
        <f>VLOOKUP(E1975, Sales_Reps!A:C, 3, FALSE)</f>
        <v>West</v>
      </c>
      <c r="P1975">
        <f>VLOOKUP(D1975, Products!A:E, 4, FALSE)</f>
        <v>147</v>
      </c>
      <c r="Q1975">
        <f>IF(COUNTIF($A$2:A1975, A1975)=2, 1, 0)</f>
        <v>0</v>
      </c>
      <c r="R1975">
        <f>IF(ISNA(MATCH(C1975, Customers!$A:$A, 0)), 1, 0)</f>
        <v>0</v>
      </c>
      <c r="S1975" s="94" t="b">
        <f>VLOOKUP(D1975, Products!A:F, 6, FALSE)</f>
        <v>1</v>
      </c>
    </row>
    <row r="1976" spans="1:19">
      <c r="A1976" s="102" t="s">
        <v>2475</v>
      </c>
      <c r="B1976" s="2">
        <v>45529</v>
      </c>
      <c r="C1976" s="1" t="s">
        <v>1231</v>
      </c>
      <c r="D1976" s="1" t="s">
        <v>176</v>
      </c>
      <c r="E1976" s="1" t="s">
        <v>229</v>
      </c>
      <c r="F1976" s="83">
        <v>10</v>
      </c>
      <c r="G1976" s="92">
        <v>1650</v>
      </c>
      <c r="H1976" s="3">
        <v>21.5</v>
      </c>
      <c r="I1976" s="3">
        <v>12952.5</v>
      </c>
      <c r="J1976" s="1" t="s">
        <v>87</v>
      </c>
      <c r="K1976" s="1" t="s">
        <v>88</v>
      </c>
      <c r="L1976" t="str">
        <f>VLOOKUP(D1976, Products!A:C, 3, FALSE)</f>
        <v>Beauty</v>
      </c>
      <c r="M1976" t="str">
        <f>VLOOKUP(C1976, Customers!A:E, 5, FALSE)</f>
        <v>Retail</v>
      </c>
      <c r="N1976">
        <f>VLOOKUP(C1976, Customers!A:E, 3, FALSE)</f>
        <v>42</v>
      </c>
      <c r="O1976" s="93" t="str">
        <f>VLOOKUP(E1976, Sales_Reps!A:C, 3, FALSE)</f>
        <v>West</v>
      </c>
      <c r="P1976">
        <f>VLOOKUP(D1976, Products!A:E, 4, FALSE)</f>
        <v>1222</v>
      </c>
      <c r="Q1976">
        <f>IF(COUNTIF($A$2:A1976, A1976)=2, 1, 0)</f>
        <v>0</v>
      </c>
      <c r="R1976">
        <f>IF(ISNA(MATCH(C1976, Customers!$A:$A, 0)), 1, 0)</f>
        <v>0</v>
      </c>
      <c r="S1976" s="94" t="b">
        <f>VLOOKUP(D1976, Products!A:F, 6, FALSE)</f>
        <v>1</v>
      </c>
    </row>
    <row r="1977" spans="1:19">
      <c r="A1977" s="102" t="s">
        <v>2476</v>
      </c>
      <c r="B1977" s="2">
        <v>45344</v>
      </c>
      <c r="C1977" s="1" t="s">
        <v>119</v>
      </c>
      <c r="D1977" s="1" t="s">
        <v>195</v>
      </c>
      <c r="E1977" s="1" t="s">
        <v>204</v>
      </c>
      <c r="F1977" s="83">
        <v>4</v>
      </c>
      <c r="G1977" s="92">
        <v>2860</v>
      </c>
      <c r="H1977" s="3">
        <v>15.2</v>
      </c>
      <c r="I1977" s="3">
        <v>9701.1200000000008</v>
      </c>
      <c r="J1977" s="1" t="s">
        <v>87</v>
      </c>
      <c r="K1977" s="1" t="s">
        <v>117</v>
      </c>
      <c r="L1977" t="str">
        <f>VLOOKUP(D1977, Products!A:C, 3, FALSE)</f>
        <v>Sports</v>
      </c>
      <c r="M1977" t="str">
        <f>VLOOKUP(C1977, Customers!A:E, 5, FALSE)</f>
        <v>Corporate</v>
      </c>
      <c r="N1977">
        <f>VLOOKUP(C1977, Customers!A:E, 3, FALSE)</f>
        <v>57</v>
      </c>
      <c r="O1977" s="93" t="str">
        <f>VLOOKUP(E1977, Sales_Reps!A:C, 3, FALSE)</f>
        <v>South</v>
      </c>
      <c r="P1977">
        <f>VLOOKUP(D1977, Products!A:E, 4, FALSE)</f>
        <v>2028</v>
      </c>
      <c r="Q1977">
        <f>IF(COUNTIF($A$2:A1977, A1977)=2, 1, 0)</f>
        <v>0</v>
      </c>
      <c r="R1977">
        <f>IF(ISNA(MATCH(C1977, Customers!$A:$A, 0)), 1, 0)</f>
        <v>0</v>
      </c>
      <c r="S1977" s="94" t="b">
        <f>VLOOKUP(D1977, Products!A:F, 6, FALSE)</f>
        <v>1</v>
      </c>
    </row>
    <row r="1978" spans="1:19">
      <c r="A1978" s="102" t="s">
        <v>2477</v>
      </c>
      <c r="B1978" s="2">
        <v>45589</v>
      </c>
      <c r="C1978" s="1" t="s">
        <v>945</v>
      </c>
      <c r="D1978" s="1" t="s">
        <v>97</v>
      </c>
      <c r="E1978" s="1" t="s">
        <v>128</v>
      </c>
      <c r="F1978" s="83">
        <v>3</v>
      </c>
      <c r="G1978" s="92">
        <v>470</v>
      </c>
      <c r="H1978" s="3">
        <v>14.2</v>
      </c>
      <c r="I1978" s="3">
        <v>1209.78</v>
      </c>
      <c r="J1978" s="1" t="s">
        <v>87</v>
      </c>
      <c r="K1978" s="1" t="s">
        <v>88</v>
      </c>
      <c r="L1978" t="str">
        <f>VLOOKUP(D1978, Products!A:C, 3, FALSE)</f>
        <v>Sports</v>
      </c>
      <c r="M1978" t="str">
        <f>VLOOKUP(C1978, Customers!A:E, 5, FALSE)</f>
        <v>Retail</v>
      </c>
      <c r="N1978">
        <f>VLOOKUP(C1978, Customers!A:E, 3, FALSE)</f>
        <v>54</v>
      </c>
      <c r="O1978" s="93" t="str">
        <f>VLOOKUP(E1978, Sales_Reps!A:C, 3, FALSE)</f>
        <v>West</v>
      </c>
      <c r="P1978">
        <f>VLOOKUP(D1978, Products!A:E, 4, FALSE)</f>
        <v>302</v>
      </c>
      <c r="Q1978">
        <f>IF(COUNTIF($A$2:A1978, A1978)=2, 1, 0)</f>
        <v>0</v>
      </c>
      <c r="R1978">
        <f>IF(ISNA(MATCH(C1978, Customers!$A:$A, 0)), 1, 0)</f>
        <v>0</v>
      </c>
      <c r="S1978" s="94" t="b">
        <f>VLOOKUP(D1978, Products!A:F, 6, FALSE)</f>
        <v>0</v>
      </c>
    </row>
    <row r="1979" spans="1:19">
      <c r="A1979" s="102" t="s">
        <v>2478</v>
      </c>
      <c r="B1979" s="2">
        <v>45469</v>
      </c>
      <c r="C1979" s="1" t="s">
        <v>943</v>
      </c>
      <c r="D1979" s="1" t="s">
        <v>195</v>
      </c>
      <c r="E1979" s="1" t="s">
        <v>170</v>
      </c>
      <c r="F1979" s="83">
        <v>2</v>
      </c>
      <c r="G1979" s="92">
        <v>2860</v>
      </c>
      <c r="H1979" s="3">
        <v>17.899999999999999</v>
      </c>
      <c r="I1979" s="3">
        <v>4696.12</v>
      </c>
      <c r="J1979" s="1" t="s">
        <v>87</v>
      </c>
      <c r="K1979" s="1" t="s">
        <v>133</v>
      </c>
      <c r="L1979" t="str">
        <f>VLOOKUP(D1979, Products!A:C, 3, FALSE)</f>
        <v>Sports</v>
      </c>
      <c r="M1979" t="str">
        <f>VLOOKUP(C1979, Customers!A:E, 5, FALSE)</f>
        <v>Corporate</v>
      </c>
      <c r="N1979">
        <f>VLOOKUP(C1979, Customers!A:E, 3, FALSE)</f>
        <v>54</v>
      </c>
      <c r="O1979" s="93" t="str">
        <f>VLOOKUP(E1979, Sales_Reps!A:C, 3, FALSE)</f>
        <v>West</v>
      </c>
      <c r="P1979">
        <f>VLOOKUP(D1979, Products!A:E, 4, FALSE)</f>
        <v>2028</v>
      </c>
      <c r="Q1979">
        <f>IF(COUNTIF($A$2:A1979, A1979)=2, 1, 0)</f>
        <v>0</v>
      </c>
      <c r="R1979">
        <f>IF(ISNA(MATCH(C1979, Customers!$A:$A, 0)), 1, 0)</f>
        <v>0</v>
      </c>
      <c r="S1979" s="94" t="b">
        <f>VLOOKUP(D1979, Products!A:F, 6, FALSE)</f>
        <v>1</v>
      </c>
    </row>
    <row r="1980" spans="1:19">
      <c r="A1980" s="102" t="s">
        <v>2479</v>
      </c>
      <c r="B1980" s="2">
        <v>45407</v>
      </c>
      <c r="C1980" s="1" t="s">
        <v>1350</v>
      </c>
      <c r="D1980" s="1" t="s">
        <v>167</v>
      </c>
      <c r="E1980" s="1" t="s">
        <v>303</v>
      </c>
      <c r="F1980" s="83">
        <v>2</v>
      </c>
      <c r="G1980" s="92">
        <v>2480</v>
      </c>
      <c r="H1980" s="3">
        <v>11.5</v>
      </c>
      <c r="I1980" s="3">
        <v>4389.6000000000004</v>
      </c>
      <c r="J1980" s="1" t="s">
        <v>140</v>
      </c>
      <c r="K1980" s="1" t="s">
        <v>112</v>
      </c>
      <c r="L1980" t="str">
        <f>VLOOKUP(D1980, Products!A:C, 3, FALSE)</f>
        <v>Apparel</v>
      </c>
      <c r="M1980" t="str">
        <f>VLOOKUP(C1980, Customers!A:E, 5, FALSE)</f>
        <v>Retail</v>
      </c>
      <c r="N1980">
        <f>VLOOKUP(C1980, Customers!A:E, 3, FALSE)</f>
        <v>38</v>
      </c>
      <c r="O1980" s="93" t="str">
        <f>VLOOKUP(E1980, Sales_Reps!A:C, 3, FALSE)</f>
        <v>East</v>
      </c>
      <c r="P1980">
        <f>VLOOKUP(D1980, Products!A:E, 4, FALSE)</f>
        <v>1173</v>
      </c>
      <c r="Q1980">
        <f>IF(COUNTIF($A$2:A1980, A1980)=2, 1, 0)</f>
        <v>0</v>
      </c>
      <c r="R1980">
        <f>IF(ISNA(MATCH(C1980, Customers!$A:$A, 0)), 1, 0)</f>
        <v>0</v>
      </c>
      <c r="S1980" s="94" t="b">
        <f>VLOOKUP(D1980, Products!A:F, 6, FALSE)</f>
        <v>1</v>
      </c>
    </row>
    <row r="1981" spans="1:19">
      <c r="A1981" s="102" t="s">
        <v>2480</v>
      </c>
      <c r="B1981" s="2">
        <v>45635</v>
      </c>
      <c r="C1981" s="1" t="s">
        <v>1006</v>
      </c>
      <c r="D1981" s="1" t="s">
        <v>295</v>
      </c>
      <c r="E1981" s="1" t="s">
        <v>103</v>
      </c>
      <c r="F1981" s="83">
        <v>10</v>
      </c>
      <c r="G1981" s="92">
        <v>2030</v>
      </c>
      <c r="H1981" s="3">
        <v>29.2</v>
      </c>
      <c r="I1981" s="3">
        <v>14372.4</v>
      </c>
      <c r="J1981" s="1" t="s">
        <v>87</v>
      </c>
      <c r="K1981" s="1" t="s">
        <v>117</v>
      </c>
      <c r="L1981" t="str">
        <f>VLOOKUP(D1981, Products!A:C, 3, FALSE)</f>
        <v>Home</v>
      </c>
      <c r="M1981" t="str">
        <f>VLOOKUP(C1981, Customers!A:E, 5, FALSE)</f>
        <v>SMB</v>
      </c>
      <c r="N1981">
        <f>VLOOKUP(C1981, Customers!A:E, 3, FALSE)</f>
        <v>44</v>
      </c>
      <c r="O1981" s="93" t="str">
        <f>VLOOKUP(E1981, Sales_Reps!A:C, 3, FALSE)</f>
        <v>North</v>
      </c>
      <c r="P1981">
        <f>VLOOKUP(D1981, Products!A:E, 4, FALSE)</f>
        <v>1143</v>
      </c>
      <c r="Q1981">
        <f>IF(COUNTIF($A$2:A1981, A1981)=2, 1, 0)</f>
        <v>0</v>
      </c>
      <c r="R1981">
        <f>IF(ISNA(MATCH(C1981, Customers!$A:$A, 0)), 1, 0)</f>
        <v>0</v>
      </c>
      <c r="S1981" s="94" t="b">
        <f>VLOOKUP(D1981, Products!A:F, 6, FALSE)</f>
        <v>1</v>
      </c>
    </row>
    <row r="1982" spans="1:19">
      <c r="A1982" s="102" t="s">
        <v>2481</v>
      </c>
      <c r="B1982" s="2">
        <v>45489</v>
      </c>
      <c r="C1982" s="1" t="s">
        <v>194</v>
      </c>
      <c r="D1982" s="1" t="s">
        <v>157</v>
      </c>
      <c r="E1982" s="1" t="s">
        <v>325</v>
      </c>
      <c r="F1982" s="83">
        <v>6</v>
      </c>
      <c r="G1982" s="92">
        <v>3450</v>
      </c>
      <c r="H1982" s="3">
        <v>3.5</v>
      </c>
      <c r="I1982" s="3">
        <v>19975.5</v>
      </c>
      <c r="J1982" s="1" t="s">
        <v>144</v>
      </c>
      <c r="K1982" s="1" t="s">
        <v>88</v>
      </c>
      <c r="L1982" t="str">
        <f>VLOOKUP(D1982, Products!A:C, 3, FALSE)</f>
        <v>Beauty</v>
      </c>
      <c r="M1982" t="str">
        <f>VLOOKUP(C1982, Customers!A:E, 5, FALSE)</f>
        <v>SMB</v>
      </c>
      <c r="N1982">
        <f>VLOOKUP(C1982, Customers!A:E, 3, FALSE)</f>
        <v>44</v>
      </c>
      <c r="O1982" s="93" t="str">
        <f>VLOOKUP(E1982, Sales_Reps!A:C, 3, FALSE)</f>
        <v>South</v>
      </c>
      <c r="P1982">
        <f>VLOOKUP(D1982, Products!A:E, 4, FALSE)</f>
        <v>2420</v>
      </c>
      <c r="Q1982">
        <f>IF(COUNTIF($A$2:A1982, A1982)=2, 1, 0)</f>
        <v>0</v>
      </c>
      <c r="R1982">
        <f>IF(ISNA(MATCH(C1982, Customers!$A:$A, 0)), 1, 0)</f>
        <v>0</v>
      </c>
      <c r="S1982" s="94" t="b">
        <f>VLOOKUP(D1982, Products!A:F, 6, FALSE)</f>
        <v>1</v>
      </c>
    </row>
    <row r="1983" spans="1:19">
      <c r="A1983" s="102" t="s">
        <v>2482</v>
      </c>
      <c r="B1983" s="2">
        <v>45356</v>
      </c>
      <c r="C1983" s="1" t="s">
        <v>602</v>
      </c>
      <c r="D1983" s="1" t="s">
        <v>120</v>
      </c>
      <c r="E1983" s="1" t="s">
        <v>273</v>
      </c>
      <c r="F1983" s="83">
        <v>10</v>
      </c>
      <c r="G1983" s="92">
        <v>1430</v>
      </c>
      <c r="H1983" s="3">
        <v>3.5</v>
      </c>
      <c r="I1983" s="3">
        <v>13799.5</v>
      </c>
      <c r="J1983" s="1" t="s">
        <v>87</v>
      </c>
      <c r="K1983" s="1" t="s">
        <v>94</v>
      </c>
      <c r="L1983" t="str">
        <f>VLOOKUP(D1983, Products!A:C, 3, FALSE)</f>
        <v>Electronics</v>
      </c>
      <c r="M1983" t="str">
        <f>VLOOKUP(C1983, Customers!A:E, 5, FALSE)</f>
        <v>Retail</v>
      </c>
      <c r="N1983">
        <f>VLOOKUP(C1983, Customers!A:E, 3, FALSE)</f>
        <v>61</v>
      </c>
      <c r="O1983" s="93" t="str">
        <f>VLOOKUP(E1983, Sales_Reps!A:C, 3, FALSE)</f>
        <v>South</v>
      </c>
      <c r="P1983">
        <f>VLOOKUP(D1983, Products!A:E, 4, FALSE)</f>
        <v>861</v>
      </c>
      <c r="Q1983">
        <f>IF(COUNTIF($A$2:A1983, A1983)=2, 1, 0)</f>
        <v>0</v>
      </c>
      <c r="R1983">
        <f>IF(ISNA(MATCH(C1983, Customers!$A:$A, 0)), 1, 0)</f>
        <v>0</v>
      </c>
      <c r="S1983" s="94" t="b">
        <f>VLOOKUP(D1983, Products!A:F, 6, FALSE)</f>
        <v>1</v>
      </c>
    </row>
    <row r="1984" spans="1:19">
      <c r="A1984" s="102" t="s">
        <v>2483</v>
      </c>
      <c r="B1984" s="2">
        <v>45422</v>
      </c>
      <c r="C1984" s="1" t="s">
        <v>585</v>
      </c>
      <c r="D1984" s="1" t="s">
        <v>91</v>
      </c>
      <c r="E1984" s="1" t="s">
        <v>238</v>
      </c>
      <c r="F1984" s="83">
        <v>1</v>
      </c>
      <c r="G1984" s="92">
        <v>820</v>
      </c>
      <c r="H1984" s="3">
        <v>14.5</v>
      </c>
      <c r="I1984" s="3">
        <v>701.1</v>
      </c>
      <c r="J1984" s="1" t="s">
        <v>140</v>
      </c>
      <c r="K1984" s="1" t="s">
        <v>94</v>
      </c>
      <c r="L1984" t="str">
        <f>VLOOKUP(D1984, Products!A:C, 3, FALSE)</f>
        <v>Apparel</v>
      </c>
      <c r="M1984" t="str">
        <f>VLOOKUP(C1984, Customers!A:E, 5, FALSE)</f>
        <v>Retail</v>
      </c>
      <c r="N1984">
        <f>VLOOKUP(C1984, Customers!A:E, 3, FALSE)</f>
        <v>26</v>
      </c>
      <c r="O1984" s="93" t="str">
        <f>VLOOKUP(E1984, Sales_Reps!A:C, 3, FALSE)</f>
        <v>East</v>
      </c>
      <c r="P1984">
        <f>VLOOKUP(D1984, Products!A:E, 4, FALSE)</f>
        <v>391</v>
      </c>
      <c r="Q1984">
        <f>IF(COUNTIF($A$2:A1984, A1984)=2, 1, 0)</f>
        <v>0</v>
      </c>
      <c r="R1984">
        <f>IF(ISNA(MATCH(C1984, Customers!$A:$A, 0)), 1, 0)</f>
        <v>0</v>
      </c>
      <c r="S1984" s="94" t="b">
        <f>VLOOKUP(D1984, Products!A:F, 6, FALSE)</f>
        <v>1</v>
      </c>
    </row>
    <row r="1985" spans="1:19">
      <c r="A1985" s="102" t="s">
        <v>2484</v>
      </c>
      <c r="B1985" s="2">
        <v>45333</v>
      </c>
      <c r="C1985" s="1" t="s">
        <v>1038</v>
      </c>
      <c r="D1985" s="1" t="s">
        <v>184</v>
      </c>
      <c r="E1985" s="1" t="s">
        <v>154</v>
      </c>
      <c r="F1985" s="83">
        <v>5</v>
      </c>
      <c r="G1985" s="92">
        <v>4880</v>
      </c>
      <c r="H1985" s="3">
        <v>1.8</v>
      </c>
      <c r="I1985" s="3">
        <v>23960.799999999999</v>
      </c>
      <c r="J1985" s="37" t="s">
        <v>87</v>
      </c>
      <c r="K1985" s="1" t="s">
        <v>117</v>
      </c>
      <c r="L1985" t="str">
        <f>VLOOKUP(D1985, Products!A:C, 3, FALSE)</f>
        <v>Beauty</v>
      </c>
      <c r="M1985" t="str">
        <f>VLOOKUP(C1985, Customers!A:E, 5, FALSE)</f>
        <v>Corporate</v>
      </c>
      <c r="N1985">
        <f>VLOOKUP(C1985, Customers!A:E, 3, FALSE)</f>
        <v>55</v>
      </c>
      <c r="O1985" s="93" t="str">
        <f>VLOOKUP(E1985, Sales_Reps!A:C, 3, FALSE)</f>
        <v>East</v>
      </c>
      <c r="P1985">
        <f>VLOOKUP(D1985, Products!A:E, 4, FALSE)</f>
        <v>2768</v>
      </c>
      <c r="Q1985">
        <f>IF(COUNTIF($A$2:A1985, A1985)=2, 1, 0)</f>
        <v>0</v>
      </c>
      <c r="R1985">
        <f>IF(ISNA(MATCH(C1985, Customers!$A:$A, 0)), 1, 0)</f>
        <v>0</v>
      </c>
      <c r="S1985" s="94" t="b">
        <f>VLOOKUP(D1985, Products!A:F, 6, FALSE)</f>
        <v>1</v>
      </c>
    </row>
    <row r="1986" spans="1:19">
      <c r="A1986" s="102" t="s">
        <v>2485</v>
      </c>
      <c r="B1986" s="2">
        <v>45385</v>
      </c>
      <c r="C1986" s="1" t="s">
        <v>109</v>
      </c>
      <c r="D1986" s="1" t="s">
        <v>179</v>
      </c>
      <c r="E1986" s="1" t="s">
        <v>346</v>
      </c>
      <c r="F1986" s="83">
        <v>8</v>
      </c>
      <c r="G1986" s="92">
        <v>3350</v>
      </c>
      <c r="H1986" s="3">
        <v>26.3</v>
      </c>
      <c r="I1986" s="3">
        <v>19751.599999999999</v>
      </c>
      <c r="J1986" s="1" t="s">
        <v>140</v>
      </c>
      <c r="K1986" s="1" t="s">
        <v>112</v>
      </c>
      <c r="L1986" t="str">
        <f>VLOOKUP(D1986, Products!A:C, 3, FALSE)</f>
        <v>Beauty</v>
      </c>
      <c r="M1986" t="str">
        <f>VLOOKUP(C1986, Customers!A:E, 5, FALSE)</f>
        <v>Retail</v>
      </c>
      <c r="N1986">
        <f>VLOOKUP(C1986, Customers!A:E, 3, FALSE)</f>
        <v>36</v>
      </c>
      <c r="O1986" s="93" t="str">
        <f>VLOOKUP(E1986, Sales_Reps!A:C, 3, FALSE)</f>
        <v>South</v>
      </c>
      <c r="P1986">
        <f>VLOOKUP(D1986, Products!A:E, 4, FALSE)</f>
        <v>1728</v>
      </c>
      <c r="Q1986">
        <f>IF(COUNTIF($A$2:A1986, A1986)=2, 1, 0)</f>
        <v>0</v>
      </c>
      <c r="R1986">
        <f>IF(ISNA(MATCH(C1986, Customers!$A:$A, 0)), 1, 0)</f>
        <v>0</v>
      </c>
      <c r="S1986" s="94" t="b">
        <f>VLOOKUP(D1986, Products!A:F, 6, FALSE)</f>
        <v>1</v>
      </c>
    </row>
    <row r="1987" spans="1:19">
      <c r="A1987" s="102" t="s">
        <v>2486</v>
      </c>
      <c r="B1987" s="2">
        <v>45298</v>
      </c>
      <c r="C1987" s="1" t="s">
        <v>166</v>
      </c>
      <c r="D1987" s="1" t="s">
        <v>167</v>
      </c>
      <c r="E1987" s="1" t="s">
        <v>285</v>
      </c>
      <c r="F1987" s="83">
        <v>9</v>
      </c>
      <c r="G1987" s="92">
        <v>2480</v>
      </c>
      <c r="H1987" s="3">
        <v>24.3</v>
      </c>
      <c r="I1987" s="3">
        <v>16896.240000000002</v>
      </c>
      <c r="J1987" s="1" t="s">
        <v>87</v>
      </c>
      <c r="K1987" s="1" t="s">
        <v>133</v>
      </c>
      <c r="L1987" t="str">
        <f>VLOOKUP(D1987, Products!A:C, 3, FALSE)</f>
        <v>Apparel</v>
      </c>
      <c r="M1987" t="str">
        <f>VLOOKUP(C1987, Customers!A:E, 5, FALSE)</f>
        <v>Retail</v>
      </c>
      <c r="N1987">
        <f>VLOOKUP(C1987, Customers!A:E, 3, FALSE)</f>
        <v>32</v>
      </c>
      <c r="O1987" s="93" t="str">
        <f>VLOOKUP(E1987, Sales_Reps!A:C, 3, FALSE)</f>
        <v>East</v>
      </c>
      <c r="P1987">
        <f>VLOOKUP(D1987, Products!A:E, 4, FALSE)</f>
        <v>1173</v>
      </c>
      <c r="Q1987">
        <f>IF(COUNTIF($A$2:A1987, A1987)=2, 1, 0)</f>
        <v>0</v>
      </c>
      <c r="R1987">
        <f>IF(ISNA(MATCH(C1987, Customers!$A:$A, 0)), 1, 0)</f>
        <v>0</v>
      </c>
      <c r="S1987" s="94" t="b">
        <f>VLOOKUP(D1987, Products!A:F, 6, FALSE)</f>
        <v>1</v>
      </c>
    </row>
    <row r="1988" spans="1:19">
      <c r="A1988" s="102" t="s">
        <v>2487</v>
      </c>
      <c r="B1988" s="2">
        <v>45500</v>
      </c>
      <c r="C1988" s="1" t="s">
        <v>231</v>
      </c>
      <c r="D1988" s="1" t="s">
        <v>270</v>
      </c>
      <c r="E1988" s="1" t="s">
        <v>116</v>
      </c>
      <c r="F1988" s="83">
        <v>9</v>
      </c>
      <c r="G1988" s="92">
        <v>4610</v>
      </c>
      <c r="H1988" s="3">
        <v>10</v>
      </c>
      <c r="I1988" s="3">
        <v>37341</v>
      </c>
      <c r="J1988" s="1" t="s">
        <v>87</v>
      </c>
      <c r="K1988" s="1" t="s">
        <v>117</v>
      </c>
      <c r="L1988" t="str">
        <f>VLOOKUP(D1988, Products!A:C, 3, FALSE)</f>
        <v>Home</v>
      </c>
      <c r="M1988" t="str">
        <f>VLOOKUP(C1988, Customers!A:E, 5, FALSE)</f>
        <v>SMB</v>
      </c>
      <c r="N1988">
        <f>VLOOKUP(C1988, Customers!A:E, 3, FALSE)</f>
        <v>64</v>
      </c>
      <c r="O1988" s="93" t="str">
        <f>VLOOKUP(E1988, Sales_Reps!A:C, 3, FALSE)</f>
        <v>West</v>
      </c>
      <c r="P1988">
        <f>VLOOKUP(D1988, Products!A:E, 4, FALSE)</f>
        <v>1850</v>
      </c>
      <c r="Q1988">
        <f>IF(COUNTIF($A$2:A1988, A1988)=2, 1, 0)</f>
        <v>0</v>
      </c>
      <c r="R1988">
        <f>IF(ISNA(MATCH(C1988, Customers!$A:$A, 0)), 1, 0)</f>
        <v>0</v>
      </c>
      <c r="S1988" s="94" t="b">
        <f>VLOOKUP(D1988, Products!A:F, 6, FALSE)</f>
        <v>1</v>
      </c>
    </row>
    <row r="1989" spans="1:19">
      <c r="A1989" s="102" t="s">
        <v>2488</v>
      </c>
      <c r="B1989" s="2">
        <v>45409</v>
      </c>
      <c r="C1989" s="1" t="s">
        <v>1051</v>
      </c>
      <c r="D1989" s="1" t="s">
        <v>234</v>
      </c>
      <c r="E1989" s="1" t="s">
        <v>139</v>
      </c>
      <c r="F1989" s="83">
        <v>1</v>
      </c>
      <c r="G1989" s="92">
        <v>3780</v>
      </c>
      <c r="H1989" s="3">
        <v>2.2000000000000002</v>
      </c>
      <c r="I1989" s="3">
        <v>3696.84</v>
      </c>
      <c r="J1989" s="1" t="s">
        <v>87</v>
      </c>
      <c r="K1989" s="1" t="s">
        <v>112</v>
      </c>
      <c r="L1989" t="str">
        <f>VLOOKUP(D1989, Products!A:C, 3, FALSE)</f>
        <v>Grocery</v>
      </c>
      <c r="M1989" t="str">
        <f>VLOOKUP(C1989, Customers!A:E, 5, FALSE)</f>
        <v>Retail</v>
      </c>
      <c r="N1989">
        <f>VLOOKUP(C1989, Customers!A:E, 3, FALSE)</f>
        <v>54</v>
      </c>
      <c r="O1989" s="93" t="str">
        <f>VLOOKUP(E1989, Sales_Reps!A:C, 3, FALSE)</f>
        <v>North</v>
      </c>
      <c r="P1989">
        <f>VLOOKUP(D1989, Products!A:E, 4, FALSE)</f>
        <v>2436</v>
      </c>
      <c r="Q1989">
        <f>IF(COUNTIF($A$2:A1989, A1989)=2, 1, 0)</f>
        <v>0</v>
      </c>
      <c r="R1989">
        <f>IF(ISNA(MATCH(C1989, Customers!$A:$A, 0)), 1, 0)</f>
        <v>0</v>
      </c>
      <c r="S1989" s="94" t="b">
        <f>VLOOKUP(D1989, Products!A:F, 6, FALSE)</f>
        <v>1</v>
      </c>
    </row>
    <row r="1990" spans="1:19">
      <c r="A1990" s="102" t="s">
        <v>2489</v>
      </c>
      <c r="B1990" s="2">
        <v>45401</v>
      </c>
      <c r="C1990" s="1" t="s">
        <v>705</v>
      </c>
      <c r="D1990" s="1" t="s">
        <v>276</v>
      </c>
      <c r="E1990" s="1" t="s">
        <v>201</v>
      </c>
      <c r="F1990" s="83">
        <v>3</v>
      </c>
      <c r="G1990" s="92">
        <v>3020</v>
      </c>
      <c r="H1990" s="3">
        <v>21.4</v>
      </c>
      <c r="I1990" s="3">
        <v>7121.16</v>
      </c>
      <c r="J1990" s="1" t="s">
        <v>140</v>
      </c>
      <c r="K1990" s="1" t="s">
        <v>99</v>
      </c>
      <c r="L1990" t="str">
        <f>VLOOKUP(D1990, Products!A:C, 3, FALSE)</f>
        <v>Beauty</v>
      </c>
      <c r="M1990" t="str">
        <f>VLOOKUP(C1990, Customers!A:E, 5, FALSE)</f>
        <v>Retail</v>
      </c>
      <c r="N1990">
        <f>VLOOKUP(C1990, Customers!A:E, 3, FALSE)</f>
        <v>53</v>
      </c>
      <c r="O1990" s="93" t="str">
        <f>VLOOKUP(E1990, Sales_Reps!A:C, 3, FALSE)</f>
        <v>West</v>
      </c>
      <c r="P1990">
        <f>VLOOKUP(D1990, Products!A:E, 4, FALSE)</f>
        <v>1626</v>
      </c>
      <c r="Q1990">
        <f>IF(COUNTIF($A$2:A1990, A1990)=2, 1, 0)</f>
        <v>0</v>
      </c>
      <c r="R1990">
        <f>IF(ISNA(MATCH(C1990, Customers!$A:$A, 0)), 1, 0)</f>
        <v>0</v>
      </c>
      <c r="S1990" s="94" t="b">
        <f>VLOOKUP(D1990, Products!A:F, 6, FALSE)</f>
        <v>1</v>
      </c>
    </row>
    <row r="1991" spans="1:19">
      <c r="A1991" s="102" t="s">
        <v>2490</v>
      </c>
      <c r="B1991" s="2">
        <v>45645</v>
      </c>
      <c r="C1991" s="1" t="s">
        <v>166</v>
      </c>
      <c r="D1991" s="1" t="s">
        <v>502</v>
      </c>
      <c r="E1991" s="1" t="s">
        <v>103</v>
      </c>
      <c r="F1991" s="83">
        <v>10</v>
      </c>
      <c r="G1991" s="92">
        <v>1090</v>
      </c>
      <c r="H1991" s="3">
        <v>29.2</v>
      </c>
      <c r="I1991" s="3">
        <v>7717.2</v>
      </c>
      <c r="J1991" s="1" t="s">
        <v>140</v>
      </c>
      <c r="K1991" s="1" t="s">
        <v>133</v>
      </c>
      <c r="L1991" t="str">
        <f>VLOOKUP(D1991, Products!A:C, 3, FALSE)</f>
        <v>Home</v>
      </c>
      <c r="M1991" t="str">
        <f>VLOOKUP(C1991, Customers!A:E, 5, FALSE)</f>
        <v>Retail</v>
      </c>
      <c r="N1991">
        <f>VLOOKUP(C1991, Customers!A:E, 3, FALSE)</f>
        <v>32</v>
      </c>
      <c r="O1991" s="93" t="str">
        <f>VLOOKUP(E1991, Sales_Reps!A:C, 3, FALSE)</f>
        <v>North</v>
      </c>
      <c r="P1991">
        <f>VLOOKUP(D1991, Products!A:E, 4, FALSE)</f>
        <v>464</v>
      </c>
      <c r="Q1991">
        <f>IF(COUNTIF($A$2:A1991, A1991)=2, 1, 0)</f>
        <v>0</v>
      </c>
      <c r="R1991">
        <f>IF(ISNA(MATCH(C1991, Customers!$A:$A, 0)), 1, 0)</f>
        <v>0</v>
      </c>
      <c r="S1991" s="94" t="b">
        <f>VLOOKUP(D1991, Products!A:F, 6, FALSE)</f>
        <v>1</v>
      </c>
    </row>
    <row r="1992" spans="1:19">
      <c r="A1992" s="102" t="s">
        <v>2491</v>
      </c>
      <c r="B1992" s="2">
        <v>45616</v>
      </c>
      <c r="C1992" s="1" t="s">
        <v>1104</v>
      </c>
      <c r="D1992" s="1" t="s">
        <v>191</v>
      </c>
      <c r="E1992" s="1" t="s">
        <v>252</v>
      </c>
      <c r="F1992" s="83">
        <v>5</v>
      </c>
      <c r="G1992" s="92">
        <v>5100</v>
      </c>
      <c r="H1992" s="3">
        <v>28.4</v>
      </c>
      <c r="I1992" s="3">
        <v>18258</v>
      </c>
      <c r="J1992" s="1" t="s">
        <v>87</v>
      </c>
      <c r="K1992" s="1" t="s">
        <v>117</v>
      </c>
      <c r="L1992" t="str">
        <f>VLOOKUP(D1992, Products!A:C, 3, FALSE)</f>
        <v>Beauty</v>
      </c>
      <c r="M1992" t="str">
        <f>VLOOKUP(C1992, Customers!A:E, 5, FALSE)</f>
        <v>Corporate</v>
      </c>
      <c r="N1992">
        <f>VLOOKUP(C1992, Customers!A:E, 3, FALSE)</f>
        <v>31</v>
      </c>
      <c r="O1992" s="93" t="str">
        <f>VLOOKUP(E1992, Sales_Reps!A:C, 3, FALSE)</f>
        <v>South</v>
      </c>
      <c r="P1992">
        <f>VLOOKUP(D1992, Products!A:E, 4, FALSE)</f>
        <v>2237</v>
      </c>
      <c r="Q1992">
        <f>IF(COUNTIF($A$2:A1992, A1992)=2, 1, 0)</f>
        <v>0</v>
      </c>
      <c r="R1992">
        <f>IF(ISNA(MATCH(C1992, Customers!$A:$A, 0)), 1, 0)</f>
        <v>0</v>
      </c>
      <c r="S1992" s="94" t="b">
        <f>VLOOKUP(D1992, Products!A:F, 6, FALSE)</f>
        <v>1</v>
      </c>
    </row>
    <row r="1993" spans="1:19">
      <c r="A1993" s="102" t="s">
        <v>2492</v>
      </c>
      <c r="B1993" s="2">
        <v>45352</v>
      </c>
      <c r="C1993" s="1" t="s">
        <v>582</v>
      </c>
      <c r="D1993" s="1" t="s">
        <v>184</v>
      </c>
      <c r="E1993" s="1" t="s">
        <v>107</v>
      </c>
      <c r="F1993" s="83">
        <v>6</v>
      </c>
      <c r="G1993" s="92">
        <v>4880</v>
      </c>
      <c r="H1993" s="3">
        <v>16.8</v>
      </c>
      <c r="I1993" s="3">
        <v>24360.959999999999</v>
      </c>
      <c r="J1993" s="1" t="s">
        <v>87</v>
      </c>
      <c r="K1993" s="1" t="s">
        <v>94</v>
      </c>
      <c r="L1993" t="str">
        <f>VLOOKUP(D1993, Products!A:C, 3, FALSE)</f>
        <v>Beauty</v>
      </c>
      <c r="M1993" t="str">
        <f>VLOOKUP(C1993, Customers!A:E, 5, FALSE)</f>
        <v>SMB</v>
      </c>
      <c r="N1993">
        <f>VLOOKUP(C1993, Customers!A:E, 3, FALSE)</f>
        <v>59</v>
      </c>
      <c r="O1993" s="93" t="str">
        <f>VLOOKUP(E1993, Sales_Reps!A:C, 3, FALSE)</f>
        <v>North</v>
      </c>
      <c r="P1993">
        <f>VLOOKUP(D1993, Products!A:E, 4, FALSE)</f>
        <v>2768</v>
      </c>
      <c r="Q1993">
        <f>IF(COUNTIF($A$2:A1993, A1993)=2, 1, 0)</f>
        <v>0</v>
      </c>
      <c r="R1993">
        <f>IF(ISNA(MATCH(C1993, Customers!$A:$A, 0)), 1, 0)</f>
        <v>0</v>
      </c>
      <c r="S1993" s="94" t="b">
        <f>VLOOKUP(D1993, Products!A:F, 6, FALSE)</f>
        <v>1</v>
      </c>
    </row>
    <row r="1994" spans="1:19">
      <c r="A1994" s="102" t="s">
        <v>2493</v>
      </c>
      <c r="B1994" s="2">
        <v>45451</v>
      </c>
      <c r="C1994" s="1" t="s">
        <v>697</v>
      </c>
      <c r="D1994" s="1" t="s">
        <v>364</v>
      </c>
      <c r="E1994" s="1" t="s">
        <v>343</v>
      </c>
      <c r="F1994" s="83">
        <v>1</v>
      </c>
      <c r="G1994" s="92">
        <v>5330</v>
      </c>
      <c r="H1994" s="3">
        <v>27.5</v>
      </c>
      <c r="I1994" s="3">
        <v>3864.25</v>
      </c>
      <c r="J1994" s="1" t="s">
        <v>87</v>
      </c>
      <c r="K1994" s="1" t="s">
        <v>133</v>
      </c>
      <c r="L1994" t="str">
        <f>VLOOKUP(D1994, Products!A:C, 3, FALSE)</f>
        <v>Electronics</v>
      </c>
      <c r="M1994" t="str">
        <f>VLOOKUP(C1994, Customers!A:E, 5, FALSE)</f>
        <v>Retail</v>
      </c>
      <c r="N1994">
        <f>VLOOKUP(C1994, Customers!A:E, 3, FALSE)</f>
        <v>65</v>
      </c>
      <c r="O1994" s="93" t="str">
        <f>VLOOKUP(E1994, Sales_Reps!A:C, 3, FALSE)</f>
        <v>West</v>
      </c>
      <c r="P1994">
        <f>VLOOKUP(D1994, Products!A:E, 4, FALSE)</f>
        <v>2405</v>
      </c>
      <c r="Q1994">
        <f>IF(COUNTIF($A$2:A1994, A1994)=2, 1, 0)</f>
        <v>0</v>
      </c>
      <c r="R1994">
        <f>IF(ISNA(MATCH(C1994, Customers!$A:$A, 0)), 1, 0)</f>
        <v>0</v>
      </c>
      <c r="S1994" s="94" t="b">
        <f>VLOOKUP(D1994, Products!A:F, 6, FALSE)</f>
        <v>1</v>
      </c>
    </row>
    <row r="1995" spans="1:19">
      <c r="A1995" s="102" t="s">
        <v>2494</v>
      </c>
      <c r="B1995" s="2">
        <v>45477</v>
      </c>
      <c r="C1995" s="1" t="s">
        <v>142</v>
      </c>
      <c r="D1995" s="1" t="s">
        <v>295</v>
      </c>
      <c r="E1995" s="1" t="s">
        <v>229</v>
      </c>
      <c r="F1995" s="83">
        <v>7</v>
      </c>
      <c r="G1995" s="92">
        <v>2030</v>
      </c>
      <c r="H1995" s="3">
        <v>5.3</v>
      </c>
      <c r="I1995" s="3">
        <v>13456.87</v>
      </c>
      <c r="J1995" s="1" t="s">
        <v>140</v>
      </c>
      <c r="K1995" s="1" t="s">
        <v>88</v>
      </c>
      <c r="L1995" t="str">
        <f>VLOOKUP(D1995, Products!A:C, 3, FALSE)</f>
        <v>Home</v>
      </c>
      <c r="M1995" t="str">
        <f>VLOOKUP(C1995, Customers!A:E, 5, FALSE)</f>
        <v>SMB</v>
      </c>
      <c r="N1995">
        <f>VLOOKUP(C1995, Customers!A:E, 3, FALSE)</f>
        <v>39</v>
      </c>
      <c r="O1995" s="93" t="str">
        <f>VLOOKUP(E1995, Sales_Reps!A:C, 3, FALSE)</f>
        <v>West</v>
      </c>
      <c r="P1995">
        <f>VLOOKUP(D1995, Products!A:E, 4, FALSE)</f>
        <v>1143</v>
      </c>
      <c r="Q1995">
        <f>IF(COUNTIF($A$2:A1995, A1995)=2, 1, 0)</f>
        <v>0</v>
      </c>
      <c r="R1995">
        <f>IF(ISNA(MATCH(C1995, Customers!$A:$A, 0)), 1, 0)</f>
        <v>0</v>
      </c>
      <c r="S1995" s="94" t="b">
        <f>VLOOKUP(D1995, Products!A:F, 6, FALSE)</f>
        <v>1</v>
      </c>
    </row>
    <row r="1996" spans="1:19">
      <c r="A1996" s="102" t="s">
        <v>2495</v>
      </c>
      <c r="B1996" s="2">
        <v>45360</v>
      </c>
      <c r="C1996" s="1" t="s">
        <v>123</v>
      </c>
      <c r="D1996" s="1" t="s">
        <v>179</v>
      </c>
      <c r="E1996" s="1" t="s">
        <v>116</v>
      </c>
      <c r="F1996" s="83">
        <v>7</v>
      </c>
      <c r="G1996" s="92">
        <v>3350</v>
      </c>
      <c r="H1996" s="3">
        <v>0.4</v>
      </c>
      <c r="I1996" s="3">
        <v>23356.2</v>
      </c>
      <c r="J1996" s="1" t="s">
        <v>87</v>
      </c>
      <c r="K1996" s="1" t="s">
        <v>117</v>
      </c>
      <c r="L1996" t="str">
        <f>VLOOKUP(D1996, Products!A:C, 3, FALSE)</f>
        <v>Beauty</v>
      </c>
      <c r="M1996" t="str">
        <f>VLOOKUP(C1996, Customers!A:E, 5, FALSE)</f>
        <v>Retail</v>
      </c>
      <c r="N1996">
        <f>VLOOKUP(C1996, Customers!A:E, 3, FALSE)</f>
        <v>42</v>
      </c>
      <c r="O1996" s="93" t="str">
        <f>VLOOKUP(E1996, Sales_Reps!A:C, 3, FALSE)</f>
        <v>West</v>
      </c>
      <c r="P1996">
        <f>VLOOKUP(D1996, Products!A:E, 4, FALSE)</f>
        <v>1728</v>
      </c>
      <c r="Q1996">
        <f>IF(COUNTIF($A$2:A1996, A1996)=2, 1, 0)</f>
        <v>0</v>
      </c>
      <c r="R1996">
        <f>IF(ISNA(MATCH(C1996, Customers!$A:$A, 0)), 1, 0)</f>
        <v>0</v>
      </c>
      <c r="S1996" s="94" t="b">
        <f>VLOOKUP(D1996, Products!A:F, 6, FALSE)</f>
        <v>1</v>
      </c>
    </row>
    <row r="1997" spans="1:19">
      <c r="A1997" s="102" t="s">
        <v>2496</v>
      </c>
      <c r="B1997" s="2">
        <v>45292</v>
      </c>
      <c r="C1997" s="1" t="s">
        <v>163</v>
      </c>
      <c r="D1997" s="1" t="s">
        <v>226</v>
      </c>
      <c r="E1997" s="1" t="s">
        <v>188</v>
      </c>
      <c r="F1997" s="83">
        <v>6</v>
      </c>
      <c r="G1997" s="92">
        <v>3730</v>
      </c>
      <c r="H1997" s="3">
        <v>13.8</v>
      </c>
      <c r="I1997" s="3">
        <v>19291.560000000001</v>
      </c>
      <c r="J1997" s="1" t="s">
        <v>87</v>
      </c>
      <c r="K1997" s="1" t="s">
        <v>94</v>
      </c>
      <c r="L1997" t="str">
        <f>VLOOKUP(D1997, Products!A:C, 3, FALSE)</f>
        <v>Home</v>
      </c>
      <c r="M1997" t="str">
        <f>VLOOKUP(C1997, Customers!A:E, 5, FALSE)</f>
        <v>Retail</v>
      </c>
      <c r="N1997">
        <f>VLOOKUP(C1997, Customers!A:E, 3, FALSE)</f>
        <v>49</v>
      </c>
      <c r="O1997" s="93" t="str">
        <f>VLOOKUP(E1997, Sales_Reps!A:C, 3, FALSE)</f>
        <v>South</v>
      </c>
      <c r="P1997">
        <f>VLOOKUP(D1997, Products!A:E, 4, FALSE)</f>
        <v>2135</v>
      </c>
      <c r="Q1997">
        <f>IF(COUNTIF($A$2:A1997, A1997)=2, 1, 0)</f>
        <v>0</v>
      </c>
      <c r="R1997">
        <f>IF(ISNA(MATCH(C1997, Customers!$A:$A, 0)), 1, 0)</f>
        <v>0</v>
      </c>
      <c r="S1997" s="94" t="b">
        <f>VLOOKUP(D1997, Products!A:F, 6, FALSE)</f>
        <v>1</v>
      </c>
    </row>
    <row r="1998" spans="1:19">
      <c r="A1998" s="102" t="s">
        <v>2497</v>
      </c>
      <c r="B1998" s="2">
        <v>45585</v>
      </c>
      <c r="C1998" s="1" t="s">
        <v>563</v>
      </c>
      <c r="D1998" s="1" t="s">
        <v>408</v>
      </c>
      <c r="E1998" s="1" t="s">
        <v>238</v>
      </c>
      <c r="F1998" s="83">
        <v>6</v>
      </c>
      <c r="G1998" s="92">
        <v>3970</v>
      </c>
      <c r="H1998" s="3">
        <v>5.8</v>
      </c>
      <c r="I1998" s="3">
        <v>22438.44</v>
      </c>
      <c r="J1998" s="1" t="s">
        <v>93</v>
      </c>
      <c r="K1998" s="1" t="s">
        <v>88</v>
      </c>
      <c r="L1998" t="str">
        <f>VLOOKUP(D1998, Products!A:C, 3, FALSE)</f>
        <v>Electronics</v>
      </c>
      <c r="M1998" t="str">
        <f>VLOOKUP(C1998, Customers!A:E, 5, FALSE)</f>
        <v>SMB</v>
      </c>
      <c r="N1998">
        <f>VLOOKUP(C1998, Customers!A:E, 3, FALSE)</f>
        <v>24</v>
      </c>
      <c r="O1998" s="93" t="str">
        <f>VLOOKUP(E1998, Sales_Reps!A:C, 3, FALSE)</f>
        <v>East</v>
      </c>
      <c r="P1998">
        <f>VLOOKUP(D1998, Products!A:E, 4, FALSE)</f>
        <v>2865</v>
      </c>
      <c r="Q1998">
        <f>IF(COUNTIF($A$2:A1998, A1998)=2, 1, 0)</f>
        <v>0</v>
      </c>
      <c r="R1998">
        <f>IF(ISNA(MATCH(C1998, Customers!$A:$A, 0)), 1, 0)</f>
        <v>0</v>
      </c>
      <c r="S1998" s="94" t="b">
        <f>VLOOKUP(D1998, Products!A:F, 6, FALSE)</f>
        <v>1</v>
      </c>
    </row>
    <row r="1999" spans="1:19">
      <c r="A1999" s="102" t="s">
        <v>2498</v>
      </c>
      <c r="B1999" s="2">
        <v>45592</v>
      </c>
      <c r="C1999" s="1" t="s">
        <v>757</v>
      </c>
      <c r="D1999" s="1" t="s">
        <v>338</v>
      </c>
      <c r="E1999" s="1" t="s">
        <v>273</v>
      </c>
      <c r="F1999" s="83">
        <v>4</v>
      </c>
      <c r="G1999" s="92">
        <v>2210</v>
      </c>
      <c r="H1999" s="3">
        <v>18.2</v>
      </c>
      <c r="I1999" s="3">
        <v>7231.12</v>
      </c>
      <c r="J1999" s="1" t="s">
        <v>93</v>
      </c>
      <c r="K1999" s="1" t="s">
        <v>117</v>
      </c>
      <c r="L1999" t="str">
        <f>VLOOKUP(D1999, Products!A:C, 3, FALSE)</f>
        <v>Grocery</v>
      </c>
      <c r="M1999" t="str">
        <f>VLOOKUP(C1999, Customers!A:E, 5, FALSE)</f>
        <v>Corporate</v>
      </c>
      <c r="N1999">
        <f>VLOOKUP(C1999, Customers!A:E, 3, FALSE)</f>
        <v>43</v>
      </c>
      <c r="O1999" s="93" t="str">
        <f>VLOOKUP(E1999, Sales_Reps!A:C, 3, FALSE)</f>
        <v>South</v>
      </c>
      <c r="P1999">
        <f>VLOOKUP(D1999, Products!A:E, 4, FALSE)</f>
        <v>1010</v>
      </c>
      <c r="Q1999">
        <f>IF(COUNTIF($A$2:A1999, A1999)=2, 1, 0)</f>
        <v>0</v>
      </c>
      <c r="R1999">
        <f>IF(ISNA(MATCH(C1999, Customers!$A:$A, 0)), 1, 0)</f>
        <v>0</v>
      </c>
      <c r="S1999" s="94" t="b">
        <f>VLOOKUP(D1999, Products!A:F, 6, FALSE)</f>
        <v>1</v>
      </c>
    </row>
    <row r="2000" spans="1:19">
      <c r="A2000" s="102" t="s">
        <v>2499</v>
      </c>
      <c r="B2000" s="2">
        <v>45370</v>
      </c>
      <c r="C2000" s="1" t="s">
        <v>638</v>
      </c>
      <c r="D2000" s="1" t="s">
        <v>360</v>
      </c>
      <c r="E2000" s="1" t="s">
        <v>107</v>
      </c>
      <c r="F2000" s="83">
        <v>6</v>
      </c>
      <c r="G2000" s="92">
        <v>5410</v>
      </c>
      <c r="H2000" s="3">
        <v>15.5</v>
      </c>
      <c r="I2000" s="3">
        <v>27428.7</v>
      </c>
      <c r="J2000" s="1" t="s">
        <v>87</v>
      </c>
      <c r="K2000" s="1" t="s">
        <v>99</v>
      </c>
      <c r="L2000" t="str">
        <f>VLOOKUP(D2000, Products!A:C, 3, FALSE)</f>
        <v>Sports</v>
      </c>
      <c r="M2000" t="str">
        <f>VLOOKUP(C2000, Customers!A:E, 5, FALSE)</f>
        <v>Retail</v>
      </c>
      <c r="N2000">
        <f>VLOOKUP(C2000, Customers!A:E, 3, FALSE)</f>
        <v>43</v>
      </c>
      <c r="O2000" s="93" t="str">
        <f>VLOOKUP(E2000, Sales_Reps!A:C, 3, FALSE)</f>
        <v>North</v>
      </c>
      <c r="P2000">
        <f>VLOOKUP(D2000, Products!A:E, 4, FALSE)</f>
        <v>2265</v>
      </c>
      <c r="Q2000">
        <f>IF(COUNTIF($A$2:A2000, A2000)=2, 1, 0)</f>
        <v>0</v>
      </c>
      <c r="R2000">
        <f>IF(ISNA(MATCH(C2000, Customers!$A:$A, 0)), 1, 0)</f>
        <v>0</v>
      </c>
      <c r="S2000" s="94" t="b">
        <f>VLOOKUP(D2000, Products!A:F, 6, FALSE)</f>
        <v>1</v>
      </c>
    </row>
    <row r="2001" spans="1:19" ht="15" thickBot="1">
      <c r="A2001" s="103" t="s">
        <v>2500</v>
      </c>
      <c r="B2001" s="104">
        <v>45325</v>
      </c>
      <c r="C2001" s="97" t="s">
        <v>635</v>
      </c>
      <c r="D2001" s="97" t="s">
        <v>443</v>
      </c>
      <c r="E2001" s="97" t="s">
        <v>154</v>
      </c>
      <c r="F2001" s="142">
        <v>6</v>
      </c>
      <c r="G2001" s="95">
        <v>5080</v>
      </c>
      <c r="H2001" s="96">
        <v>28.1</v>
      </c>
      <c r="I2001" s="96">
        <v>21915.119999999999</v>
      </c>
      <c r="J2001" s="97" t="s">
        <v>87</v>
      </c>
      <c r="K2001" s="97" t="s">
        <v>99</v>
      </c>
      <c r="L2001" s="98" t="str">
        <f>VLOOKUP(D2001, Products!A:C, 3, FALSE)</f>
        <v>Home</v>
      </c>
      <c r="M2001" s="98" t="str">
        <f>VLOOKUP(C2001, Customers!A:E, 5, FALSE)</f>
        <v>Retail</v>
      </c>
      <c r="N2001" s="98">
        <f>VLOOKUP(C2001, Customers!A:E, 3, FALSE)</f>
        <v>49</v>
      </c>
      <c r="O2001" s="99" t="str">
        <f>VLOOKUP(E2001, Sales_Reps!A:C, 3, FALSE)</f>
        <v>East</v>
      </c>
      <c r="P2001" s="98">
        <f>VLOOKUP(D2001, Products!A:E, 4, FALSE)</f>
        <v>2459</v>
      </c>
      <c r="Q2001" s="98">
        <f>IF(COUNTIF($A$2:A2001, A2001)=2, 1, 0)</f>
        <v>0</v>
      </c>
      <c r="R2001" s="98">
        <f>IF(ISNA(MATCH(C2001, Customers!$A:$A, 0)), 1, 0)</f>
        <v>0</v>
      </c>
      <c r="S2001" s="100" t="b">
        <f>VLOOKUP(D2001, Products!A:F, 6, FALSE)</f>
        <v>1</v>
      </c>
    </row>
    <row r="2004" spans="1:19" ht="17.399999999999999">
      <c r="A2004" s="54">
        <v>5.2</v>
      </c>
      <c r="B2004" s="54">
        <f>SUMIFS(I1:I2001, B1:B2001, "&lt;="&amp;DATE(2024,8,31))</f>
        <v>18050689.600000005</v>
      </c>
    </row>
    <row r="2005" spans="1:19" ht="18">
      <c r="A2005" s="54">
        <v>5.5</v>
      </c>
      <c r="B2005" s="53">
        <f>_xlfn.MAXIFS(I1:I2001, K1:K2001, "Bengaluru",L1:L2001, "Grocery")</f>
        <v>22134</v>
      </c>
    </row>
  </sheetData>
  <autoFilter ref="A1:S2001" xr:uid="{00000000-0001-0000-0100-000000000000}"/>
  <pageMargins left="0.75" right="0.75" top="1" bottom="1" header="0.5" footer="0.5"/>
  <pageSetup paperSize="9" scale="9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G301"/>
  <sheetViews>
    <sheetView zoomScale="156" workbookViewId="0">
      <pane ySplit="1" topLeftCell="A2" activePane="bottomLeft" state="frozen"/>
      <selection pane="bottomLeft" activeCell="H11" sqref="H11"/>
    </sheetView>
  </sheetViews>
  <sheetFormatPr defaultRowHeight="14.4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  <col min="7" max="7" width="15.77734375" customWidth="1"/>
  </cols>
  <sheetData>
    <row r="1" spans="1:7" ht="17.399999999999999">
      <c r="A1" s="84" t="s">
        <v>74</v>
      </c>
      <c r="B1" s="85" t="s">
        <v>2501</v>
      </c>
      <c r="C1" s="85" t="s">
        <v>2502</v>
      </c>
      <c r="D1" s="85" t="s">
        <v>2503</v>
      </c>
      <c r="E1" s="85" t="s">
        <v>2504</v>
      </c>
      <c r="F1" s="85" t="s">
        <v>2505</v>
      </c>
      <c r="G1" s="101" t="s">
        <v>3044</v>
      </c>
    </row>
    <row r="2" spans="1:7">
      <c r="A2" s="102" t="s">
        <v>738</v>
      </c>
      <c r="B2" s="1" t="s">
        <v>2506</v>
      </c>
      <c r="C2" s="3">
        <v>36</v>
      </c>
      <c r="D2" s="1" t="s">
        <v>88</v>
      </c>
      <c r="E2" s="1" t="s">
        <v>2507</v>
      </c>
      <c r="F2" s="2">
        <v>44819</v>
      </c>
      <c r="G2" s="94" t="str">
        <f>PROPER(D2)</f>
        <v>Pune</v>
      </c>
    </row>
    <row r="3" spans="1:7">
      <c r="A3" s="102" t="s">
        <v>768</v>
      </c>
      <c r="B3" s="1" t="s">
        <v>2508</v>
      </c>
      <c r="C3" s="3">
        <v>42</v>
      </c>
      <c r="D3" s="1" t="s">
        <v>88</v>
      </c>
      <c r="E3" s="1" t="s">
        <v>2509</v>
      </c>
      <c r="F3" s="2">
        <v>44984</v>
      </c>
      <c r="G3" s="94" t="str">
        <f t="shared" ref="G3:G66" si="0">PROPER(D3)</f>
        <v>Pune</v>
      </c>
    </row>
    <row r="4" spans="1:7">
      <c r="A4" s="102" t="s">
        <v>707</v>
      </c>
      <c r="B4" s="1" t="s">
        <v>2510</v>
      </c>
      <c r="C4" s="3">
        <v>33</v>
      </c>
      <c r="D4" s="1" t="s">
        <v>112</v>
      </c>
      <c r="E4" s="1" t="s">
        <v>2507</v>
      </c>
      <c r="F4" s="2">
        <v>44059</v>
      </c>
      <c r="G4" s="94" t="str">
        <f t="shared" si="0"/>
        <v>Mumbai</v>
      </c>
    </row>
    <row r="5" spans="1:7">
      <c r="A5" s="102" t="s">
        <v>705</v>
      </c>
      <c r="B5" s="1" t="s">
        <v>2511</v>
      </c>
      <c r="C5" s="3">
        <v>53</v>
      </c>
      <c r="D5" s="1" t="s">
        <v>2512</v>
      </c>
      <c r="E5" s="1" t="s">
        <v>2507</v>
      </c>
      <c r="F5" s="2">
        <v>44054</v>
      </c>
      <c r="G5" s="94" t="str">
        <f t="shared" si="0"/>
        <v>Delhi</v>
      </c>
    </row>
    <row r="6" spans="1:7">
      <c r="A6" s="102" t="s">
        <v>986</v>
      </c>
      <c r="B6" s="1" t="s">
        <v>2513</v>
      </c>
      <c r="C6" s="3">
        <v>52</v>
      </c>
      <c r="D6" s="1" t="s">
        <v>94</v>
      </c>
      <c r="E6" s="1" t="s">
        <v>2509</v>
      </c>
      <c r="F6" s="2">
        <v>45037</v>
      </c>
      <c r="G6" s="94" t="str">
        <f t="shared" si="0"/>
        <v>Chennai</v>
      </c>
    </row>
    <row r="7" spans="1:7">
      <c r="A7" s="102" t="s">
        <v>194</v>
      </c>
      <c r="B7" s="1" t="s">
        <v>2514</v>
      </c>
      <c r="C7" s="3">
        <v>44</v>
      </c>
      <c r="D7" s="1" t="s">
        <v>88</v>
      </c>
      <c r="E7" s="1" t="s">
        <v>2515</v>
      </c>
      <c r="F7" s="2">
        <v>44302</v>
      </c>
      <c r="G7" s="94" t="str">
        <f t="shared" si="0"/>
        <v>Pune</v>
      </c>
    </row>
    <row r="8" spans="1:7">
      <c r="A8" s="102" t="s">
        <v>870</v>
      </c>
      <c r="B8" s="1" t="s">
        <v>2516</v>
      </c>
      <c r="C8" s="3">
        <v>47</v>
      </c>
      <c r="D8" s="1" t="s">
        <v>117</v>
      </c>
      <c r="E8" s="1" t="s">
        <v>2507</v>
      </c>
      <c r="F8" s="2">
        <v>44498</v>
      </c>
      <c r="G8" s="94" t="str">
        <f t="shared" si="0"/>
        <v>Bengaluru</v>
      </c>
    </row>
    <row r="9" spans="1:7">
      <c r="A9" s="102" t="s">
        <v>142</v>
      </c>
      <c r="B9" s="1" t="s">
        <v>2517</v>
      </c>
      <c r="C9" s="3">
        <v>39</v>
      </c>
      <c r="D9" s="1" t="s">
        <v>88</v>
      </c>
      <c r="E9" s="1" t="s">
        <v>2515</v>
      </c>
      <c r="F9" s="2">
        <v>45162</v>
      </c>
      <c r="G9" s="94" t="str">
        <f t="shared" si="0"/>
        <v>Pune</v>
      </c>
    </row>
    <row r="10" spans="1:7">
      <c r="A10" s="102" t="s">
        <v>465</v>
      </c>
      <c r="B10" s="1" t="s">
        <v>2518</v>
      </c>
      <c r="C10" s="3">
        <v>61</v>
      </c>
      <c r="D10" s="1" t="s">
        <v>112</v>
      </c>
      <c r="E10" s="1" t="s">
        <v>2507</v>
      </c>
      <c r="F10" s="2">
        <v>44343</v>
      </c>
      <c r="G10" s="94" t="str">
        <f t="shared" si="0"/>
        <v>Mumbai</v>
      </c>
    </row>
    <row r="11" spans="1:7">
      <c r="A11" s="102" t="s">
        <v>565</v>
      </c>
      <c r="B11" s="1" t="s">
        <v>2519</v>
      </c>
      <c r="C11" s="3">
        <v>61</v>
      </c>
      <c r="D11" s="1" t="s">
        <v>112</v>
      </c>
      <c r="E11" s="1" t="s">
        <v>2515</v>
      </c>
      <c r="F11" s="2">
        <v>44975</v>
      </c>
      <c r="G11" s="94" t="str">
        <f t="shared" si="0"/>
        <v>Mumbai</v>
      </c>
    </row>
    <row r="12" spans="1:7">
      <c r="A12" s="102" t="s">
        <v>662</v>
      </c>
      <c r="B12" s="1" t="s">
        <v>2520</v>
      </c>
      <c r="C12" s="3">
        <v>41</v>
      </c>
      <c r="D12" s="1" t="s">
        <v>94</v>
      </c>
      <c r="E12" s="1" t="s">
        <v>2509</v>
      </c>
      <c r="F12" s="2">
        <v>44821</v>
      </c>
      <c r="G12" s="94" t="str">
        <f t="shared" si="0"/>
        <v>Chennai</v>
      </c>
    </row>
    <row r="13" spans="1:7">
      <c r="A13" s="102" t="s">
        <v>373</v>
      </c>
      <c r="B13" s="1" t="s">
        <v>2521</v>
      </c>
      <c r="C13" s="3">
        <v>43</v>
      </c>
      <c r="D13" s="1" t="s">
        <v>88</v>
      </c>
      <c r="E13" s="1" t="s">
        <v>2507</v>
      </c>
      <c r="F13" s="2">
        <v>44718</v>
      </c>
      <c r="G13" s="94" t="str">
        <f t="shared" si="0"/>
        <v>Pune</v>
      </c>
    </row>
    <row r="14" spans="1:7">
      <c r="A14" s="102" t="s">
        <v>210</v>
      </c>
      <c r="B14" s="1" t="s">
        <v>2522</v>
      </c>
      <c r="C14" s="3">
        <v>41</v>
      </c>
      <c r="D14" s="1" t="s">
        <v>99</v>
      </c>
      <c r="E14" s="1" t="s">
        <v>2507</v>
      </c>
      <c r="F14" s="2">
        <v>45018</v>
      </c>
      <c r="G14" s="94" t="str">
        <f t="shared" si="0"/>
        <v>Delhi</v>
      </c>
    </row>
    <row r="15" spans="1:7">
      <c r="A15" s="102" t="s">
        <v>1664</v>
      </c>
      <c r="B15" s="1" t="s">
        <v>2523</v>
      </c>
      <c r="C15" s="3">
        <v>48</v>
      </c>
      <c r="D15" s="1" t="s">
        <v>117</v>
      </c>
      <c r="E15" s="1" t="s">
        <v>2507</v>
      </c>
      <c r="F15" s="2">
        <v>45225</v>
      </c>
      <c r="G15" s="94" t="str">
        <f t="shared" si="0"/>
        <v>Bengaluru</v>
      </c>
    </row>
    <row r="16" spans="1:7">
      <c r="A16" s="102" t="s">
        <v>1529</v>
      </c>
      <c r="B16" s="1" t="s">
        <v>2524</v>
      </c>
      <c r="C16" s="3">
        <v>31</v>
      </c>
      <c r="D16" s="1" t="s">
        <v>94</v>
      </c>
      <c r="E16" s="1" t="s">
        <v>2507</v>
      </c>
      <c r="F16" s="2">
        <v>44654</v>
      </c>
      <c r="G16" s="94" t="str">
        <f t="shared" si="0"/>
        <v>Chennai</v>
      </c>
    </row>
    <row r="17" spans="1:7">
      <c r="A17" s="102" t="s">
        <v>725</v>
      </c>
      <c r="B17" s="1" t="s">
        <v>2525</v>
      </c>
      <c r="C17" s="3">
        <v>26</v>
      </c>
      <c r="D17" s="1" t="s">
        <v>99</v>
      </c>
      <c r="E17" s="1" t="s">
        <v>2515</v>
      </c>
      <c r="F17" s="2">
        <v>45196</v>
      </c>
      <c r="G17" s="94" t="str">
        <f t="shared" si="0"/>
        <v>Delhi</v>
      </c>
    </row>
    <row r="18" spans="1:7">
      <c r="A18" s="102" t="s">
        <v>868</v>
      </c>
      <c r="B18" s="1" t="s">
        <v>2526</v>
      </c>
      <c r="C18" s="3">
        <v>38</v>
      </c>
      <c r="D18" s="1" t="s">
        <v>99</v>
      </c>
      <c r="E18" s="1" t="s">
        <v>2515</v>
      </c>
      <c r="F18" s="2">
        <v>44752</v>
      </c>
      <c r="G18" s="94" t="str">
        <f t="shared" si="0"/>
        <v>Delhi</v>
      </c>
    </row>
    <row r="19" spans="1:7">
      <c r="A19" s="102" t="s">
        <v>390</v>
      </c>
      <c r="B19" s="1" t="s">
        <v>2527</v>
      </c>
      <c r="C19" s="3">
        <v>54</v>
      </c>
      <c r="D19" s="1" t="s">
        <v>88</v>
      </c>
      <c r="E19" s="1" t="s">
        <v>2515</v>
      </c>
      <c r="F19" s="2">
        <v>43968</v>
      </c>
      <c r="G19" s="94" t="str">
        <f t="shared" si="0"/>
        <v>Pune</v>
      </c>
    </row>
    <row r="20" spans="1:7">
      <c r="A20" s="102" t="s">
        <v>795</v>
      </c>
      <c r="B20" s="1" t="s">
        <v>2528</v>
      </c>
      <c r="C20" s="3">
        <v>22</v>
      </c>
      <c r="D20" s="1" t="s">
        <v>94</v>
      </c>
      <c r="E20" s="1" t="s">
        <v>2507</v>
      </c>
      <c r="F20" s="2">
        <v>44375</v>
      </c>
      <c r="G20" s="94" t="str">
        <f t="shared" si="0"/>
        <v>Chennai</v>
      </c>
    </row>
    <row r="21" spans="1:7">
      <c r="A21" s="102" t="s">
        <v>312</v>
      </c>
      <c r="B21" s="1" t="s">
        <v>2529</v>
      </c>
      <c r="C21" s="3">
        <v>46</v>
      </c>
      <c r="D21" s="1" t="s">
        <v>133</v>
      </c>
      <c r="E21" s="1" t="s">
        <v>2507</v>
      </c>
      <c r="F21" s="2">
        <v>43835</v>
      </c>
      <c r="G21" s="94" t="str">
        <f t="shared" si="0"/>
        <v>Hyderabad</v>
      </c>
    </row>
    <row r="22" spans="1:7">
      <c r="A22" s="102" t="s">
        <v>1250</v>
      </c>
      <c r="B22" s="1" t="s">
        <v>2513</v>
      </c>
      <c r="C22" s="3">
        <v>44</v>
      </c>
      <c r="D22" s="1" t="s">
        <v>88</v>
      </c>
      <c r="E22" s="1" t="s">
        <v>2507</v>
      </c>
      <c r="F22" s="2">
        <v>44130</v>
      </c>
      <c r="G22" s="94" t="str">
        <f t="shared" si="0"/>
        <v>Pune</v>
      </c>
    </row>
    <row r="23" spans="1:7">
      <c r="A23" s="102" t="s">
        <v>1038</v>
      </c>
      <c r="B23" s="1" t="s">
        <v>2530</v>
      </c>
      <c r="C23" s="3">
        <v>55</v>
      </c>
      <c r="D23" s="1" t="s">
        <v>117</v>
      </c>
      <c r="E23" s="1" t="s">
        <v>2509</v>
      </c>
      <c r="F23" s="2">
        <v>44787</v>
      </c>
      <c r="G23" s="94" t="str">
        <f t="shared" si="0"/>
        <v>Bengaluru</v>
      </c>
    </row>
    <row r="24" spans="1:7">
      <c r="A24" s="102" t="s">
        <v>1294</v>
      </c>
      <c r="B24" s="1" t="s">
        <v>2531</v>
      </c>
      <c r="C24" s="3">
        <v>43</v>
      </c>
      <c r="D24" s="1" t="s">
        <v>94</v>
      </c>
      <c r="E24" s="1" t="s">
        <v>2515</v>
      </c>
      <c r="F24" s="2">
        <v>44403</v>
      </c>
      <c r="G24" s="94" t="str">
        <f t="shared" si="0"/>
        <v>Chennai</v>
      </c>
    </row>
    <row r="25" spans="1:7">
      <c r="A25" s="102" t="s">
        <v>425</v>
      </c>
      <c r="B25" s="1" t="s">
        <v>2532</v>
      </c>
      <c r="C25" s="3">
        <v>64</v>
      </c>
      <c r="D25" s="1" t="s">
        <v>2092</v>
      </c>
      <c r="E25" s="1" t="s">
        <v>2515</v>
      </c>
      <c r="F25" s="2">
        <v>44495</v>
      </c>
      <c r="G25" s="94" t="str">
        <f t="shared" si="0"/>
        <v>Chennai</v>
      </c>
    </row>
    <row r="26" spans="1:7">
      <c r="A26" s="102" t="s">
        <v>385</v>
      </c>
      <c r="B26" s="1" t="s">
        <v>2533</v>
      </c>
      <c r="C26" s="3">
        <v>23</v>
      </c>
      <c r="D26" s="1" t="s">
        <v>117</v>
      </c>
      <c r="E26" s="1" t="s">
        <v>2507</v>
      </c>
      <c r="F26" s="2">
        <v>44536</v>
      </c>
      <c r="G26" s="94" t="str">
        <f t="shared" si="0"/>
        <v>Bengaluru</v>
      </c>
    </row>
    <row r="27" spans="1:7">
      <c r="A27" s="102" t="s">
        <v>559</v>
      </c>
      <c r="B27" s="1" t="s">
        <v>2534</v>
      </c>
      <c r="C27" s="3">
        <v>62</v>
      </c>
      <c r="D27" s="1" t="s">
        <v>88</v>
      </c>
      <c r="E27" s="1" t="s">
        <v>2507</v>
      </c>
      <c r="F27" s="2">
        <v>43898</v>
      </c>
      <c r="G27" s="94" t="str">
        <f t="shared" si="0"/>
        <v>Pune</v>
      </c>
    </row>
    <row r="28" spans="1:7">
      <c r="A28" s="102" t="s">
        <v>482</v>
      </c>
      <c r="B28" s="1" t="s">
        <v>2535</v>
      </c>
      <c r="C28" s="3">
        <v>52</v>
      </c>
      <c r="D28" s="1" t="s">
        <v>133</v>
      </c>
      <c r="E28" s="1" t="s">
        <v>2509</v>
      </c>
      <c r="F28" s="2">
        <v>45201</v>
      </c>
      <c r="G28" s="94" t="str">
        <f t="shared" si="0"/>
        <v>Hyderabad</v>
      </c>
    </row>
    <row r="29" spans="1:7">
      <c r="A29" s="102" t="s">
        <v>403</v>
      </c>
      <c r="B29" s="1" t="s">
        <v>2536</v>
      </c>
      <c r="C29" s="3">
        <v>59</v>
      </c>
      <c r="D29" s="1" t="s">
        <v>117</v>
      </c>
      <c r="E29" s="1" t="s">
        <v>2507</v>
      </c>
      <c r="F29" s="2">
        <v>44686</v>
      </c>
      <c r="G29" s="94" t="str">
        <f t="shared" si="0"/>
        <v>Bengaluru</v>
      </c>
    </row>
    <row r="30" spans="1:7">
      <c r="A30" s="102" t="s">
        <v>1875</v>
      </c>
      <c r="B30" s="1" t="s">
        <v>2537</v>
      </c>
      <c r="C30" s="3">
        <v>54</v>
      </c>
      <c r="D30" s="1" t="s">
        <v>94</v>
      </c>
      <c r="E30" s="1" t="s">
        <v>2509</v>
      </c>
      <c r="F30" s="2">
        <v>44930</v>
      </c>
      <c r="G30" s="94" t="str">
        <f t="shared" si="0"/>
        <v>Chennai</v>
      </c>
    </row>
    <row r="31" spans="1:7">
      <c r="A31" s="102" t="s">
        <v>757</v>
      </c>
      <c r="B31" s="1" t="s">
        <v>2538</v>
      </c>
      <c r="C31" s="3">
        <v>43</v>
      </c>
      <c r="D31" s="1" t="s">
        <v>117</v>
      </c>
      <c r="E31" s="1" t="s">
        <v>2509</v>
      </c>
      <c r="F31" s="2">
        <v>44151</v>
      </c>
      <c r="G31" s="94" t="str">
        <f t="shared" si="0"/>
        <v>Bengaluru</v>
      </c>
    </row>
    <row r="32" spans="1:7">
      <c r="A32" s="102" t="s">
        <v>263</v>
      </c>
      <c r="B32" s="1" t="s">
        <v>2539</v>
      </c>
      <c r="C32" s="3">
        <v>53</v>
      </c>
      <c r="D32" s="1" t="s">
        <v>133</v>
      </c>
      <c r="E32" s="1" t="s">
        <v>2507</v>
      </c>
      <c r="F32" s="2">
        <v>44599</v>
      </c>
      <c r="G32" s="94" t="str">
        <f t="shared" si="0"/>
        <v>Hyderabad</v>
      </c>
    </row>
    <row r="33" spans="1:7">
      <c r="A33" s="102" t="s">
        <v>324</v>
      </c>
      <c r="B33" s="1" t="s">
        <v>2540</v>
      </c>
      <c r="C33" s="3">
        <v>28</v>
      </c>
      <c r="D33" s="1" t="s">
        <v>133</v>
      </c>
      <c r="E33" s="1" t="s">
        <v>2507</v>
      </c>
      <c r="F33" s="2">
        <v>43908</v>
      </c>
      <c r="G33" s="94" t="str">
        <f t="shared" si="0"/>
        <v>Hyderabad</v>
      </c>
    </row>
    <row r="34" spans="1:7">
      <c r="A34" s="102" t="s">
        <v>291</v>
      </c>
      <c r="B34" s="1" t="s">
        <v>2541</v>
      </c>
      <c r="C34" s="3">
        <v>35</v>
      </c>
      <c r="D34" s="1" t="s">
        <v>99</v>
      </c>
      <c r="E34" s="1" t="s">
        <v>2507</v>
      </c>
      <c r="F34" s="2">
        <v>44830</v>
      </c>
      <c r="G34" s="94" t="str">
        <f t="shared" si="0"/>
        <v>Delhi</v>
      </c>
    </row>
    <row r="35" spans="1:7">
      <c r="A35" s="102" t="s">
        <v>968</v>
      </c>
      <c r="B35" s="1" t="s">
        <v>2542</v>
      </c>
      <c r="C35" s="3">
        <v>47</v>
      </c>
      <c r="D35" s="1" t="s">
        <v>99</v>
      </c>
      <c r="E35" s="1" t="s">
        <v>2507</v>
      </c>
      <c r="F35" s="2">
        <v>44182</v>
      </c>
      <c r="G35" s="94" t="str">
        <f t="shared" si="0"/>
        <v>Delhi</v>
      </c>
    </row>
    <row r="36" spans="1:7">
      <c r="A36" s="102" t="s">
        <v>199</v>
      </c>
      <c r="B36" s="1" t="s">
        <v>2543</v>
      </c>
      <c r="C36" s="3">
        <v>53</v>
      </c>
      <c r="D36" s="1" t="s">
        <v>133</v>
      </c>
      <c r="E36" s="1" t="s">
        <v>2507</v>
      </c>
      <c r="F36" s="2">
        <v>44532</v>
      </c>
      <c r="G36" s="94" t="str">
        <f t="shared" si="0"/>
        <v>Hyderabad</v>
      </c>
    </row>
    <row r="37" spans="1:7">
      <c r="A37" s="102" t="s">
        <v>673</v>
      </c>
      <c r="B37" s="1" t="s">
        <v>2544</v>
      </c>
      <c r="C37" s="3">
        <v>35</v>
      </c>
      <c r="D37" s="1" t="s">
        <v>112</v>
      </c>
      <c r="E37" s="1" t="s">
        <v>2507</v>
      </c>
      <c r="F37" s="2">
        <v>44617</v>
      </c>
      <c r="G37" s="94" t="str">
        <f t="shared" si="0"/>
        <v>Mumbai</v>
      </c>
    </row>
    <row r="38" spans="1:7">
      <c r="A38" s="102" t="s">
        <v>835</v>
      </c>
      <c r="B38" s="1" t="s">
        <v>2545</v>
      </c>
      <c r="C38" s="3">
        <v>52</v>
      </c>
      <c r="D38" s="1" t="s">
        <v>117</v>
      </c>
      <c r="E38" s="1" t="s">
        <v>2507</v>
      </c>
      <c r="F38" s="2">
        <v>44468</v>
      </c>
      <c r="G38" s="94" t="str">
        <f t="shared" si="0"/>
        <v>Bengaluru</v>
      </c>
    </row>
    <row r="39" spans="1:7">
      <c r="A39" s="102" t="s">
        <v>874</v>
      </c>
      <c r="B39" s="1" t="s">
        <v>2546</v>
      </c>
      <c r="C39" s="3">
        <v>57</v>
      </c>
      <c r="D39" s="1" t="s">
        <v>112</v>
      </c>
      <c r="E39" s="1" t="s">
        <v>2507</v>
      </c>
      <c r="F39" s="2">
        <v>43843</v>
      </c>
      <c r="G39" s="94" t="str">
        <f t="shared" si="0"/>
        <v>Mumbai</v>
      </c>
    </row>
    <row r="40" spans="1:7">
      <c r="A40" s="102" t="s">
        <v>837</v>
      </c>
      <c r="B40" s="1" t="s">
        <v>2547</v>
      </c>
      <c r="C40" s="3">
        <v>37</v>
      </c>
      <c r="D40" s="1" t="s">
        <v>117</v>
      </c>
      <c r="E40" s="1" t="s">
        <v>2507</v>
      </c>
      <c r="F40" s="2">
        <v>43989</v>
      </c>
      <c r="G40" s="94" t="str">
        <f t="shared" si="0"/>
        <v>Bengaluru</v>
      </c>
    </row>
    <row r="41" spans="1:7">
      <c r="A41" s="102" t="s">
        <v>284</v>
      </c>
      <c r="B41" s="1" t="s">
        <v>2548</v>
      </c>
      <c r="C41" s="3">
        <v>28</v>
      </c>
      <c r="D41" s="1" t="s">
        <v>94</v>
      </c>
      <c r="E41" s="1" t="s">
        <v>2507</v>
      </c>
      <c r="F41" s="2">
        <v>44625</v>
      </c>
      <c r="G41" s="94" t="str">
        <f t="shared" si="0"/>
        <v>Chennai</v>
      </c>
    </row>
    <row r="42" spans="1:7">
      <c r="A42" s="102" t="s">
        <v>510</v>
      </c>
      <c r="B42" s="1" t="s">
        <v>2549</v>
      </c>
      <c r="C42" s="3">
        <v>26</v>
      </c>
      <c r="D42" s="1" t="s">
        <v>117</v>
      </c>
      <c r="E42" s="1" t="s">
        <v>2515</v>
      </c>
      <c r="F42" s="2">
        <v>43895</v>
      </c>
      <c r="G42" s="94" t="str">
        <f t="shared" si="0"/>
        <v>Bengaluru</v>
      </c>
    </row>
    <row r="43" spans="1:7">
      <c r="A43" s="102" t="s">
        <v>340</v>
      </c>
      <c r="B43" s="1" t="s">
        <v>2550</v>
      </c>
      <c r="C43" s="3">
        <v>25</v>
      </c>
      <c r="D43" s="1" t="s">
        <v>88</v>
      </c>
      <c r="E43" s="1" t="s">
        <v>2507</v>
      </c>
      <c r="F43" s="2">
        <v>43843</v>
      </c>
      <c r="G43" s="94" t="str">
        <f t="shared" si="0"/>
        <v>Pune</v>
      </c>
    </row>
    <row r="44" spans="1:7">
      <c r="A44" s="102" t="s">
        <v>512</v>
      </c>
      <c r="B44" s="1" t="s">
        <v>2551</v>
      </c>
      <c r="C44" s="3">
        <v>61</v>
      </c>
      <c r="D44" s="1" t="s">
        <v>133</v>
      </c>
      <c r="E44" s="1" t="s">
        <v>2507</v>
      </c>
      <c r="F44" s="2">
        <v>44553</v>
      </c>
      <c r="G44" s="94" t="str">
        <f t="shared" si="0"/>
        <v>Hyderabad</v>
      </c>
    </row>
    <row r="45" spans="1:7">
      <c r="A45" s="102" t="s">
        <v>741</v>
      </c>
      <c r="B45" s="1" t="s">
        <v>2552</v>
      </c>
      <c r="C45" s="3">
        <v>29</v>
      </c>
      <c r="D45" s="1" t="s">
        <v>133</v>
      </c>
      <c r="E45" s="1" t="s">
        <v>2515</v>
      </c>
      <c r="F45" s="2">
        <v>45084</v>
      </c>
      <c r="G45" s="94" t="str">
        <f t="shared" si="0"/>
        <v>Hyderabad</v>
      </c>
    </row>
    <row r="46" spans="1:7">
      <c r="A46" s="102" t="s">
        <v>802</v>
      </c>
      <c r="B46" s="1" t="s">
        <v>2553</v>
      </c>
      <c r="C46" s="3">
        <v>39</v>
      </c>
      <c r="D46" s="1" t="s">
        <v>94</v>
      </c>
      <c r="E46" s="1" t="s">
        <v>2515</v>
      </c>
      <c r="F46" s="2">
        <v>45156</v>
      </c>
      <c r="G46" s="94" t="str">
        <f t="shared" si="0"/>
        <v>Chennai</v>
      </c>
    </row>
    <row r="47" spans="1:7">
      <c r="A47" s="102" t="s">
        <v>1003</v>
      </c>
      <c r="B47" s="1" t="s">
        <v>2554</v>
      </c>
      <c r="C47" s="3">
        <v>45</v>
      </c>
      <c r="D47" s="1" t="s">
        <v>99</v>
      </c>
      <c r="E47" s="1" t="s">
        <v>2515</v>
      </c>
      <c r="F47" s="2">
        <v>45144</v>
      </c>
      <c r="G47" s="94" t="str">
        <f t="shared" si="0"/>
        <v>Delhi</v>
      </c>
    </row>
    <row r="48" spans="1:7">
      <c r="A48" s="102" t="s">
        <v>518</v>
      </c>
      <c r="B48" s="1" t="s">
        <v>2555</v>
      </c>
      <c r="C48" s="3">
        <v>49</v>
      </c>
      <c r="D48" s="1" t="s">
        <v>88</v>
      </c>
      <c r="E48" s="1" t="s">
        <v>2507</v>
      </c>
      <c r="F48" s="2">
        <v>44066</v>
      </c>
      <c r="G48" s="94" t="str">
        <f t="shared" si="0"/>
        <v>Pune</v>
      </c>
    </row>
    <row r="49" spans="1:7">
      <c r="A49" s="102" t="s">
        <v>490</v>
      </c>
      <c r="B49" s="1" t="s">
        <v>2556</v>
      </c>
      <c r="C49" s="3">
        <v>59</v>
      </c>
      <c r="D49" s="1" t="s">
        <v>99</v>
      </c>
      <c r="E49" s="1" t="s">
        <v>2507</v>
      </c>
      <c r="F49" s="2">
        <v>44479</v>
      </c>
      <c r="G49" s="94" t="str">
        <f t="shared" si="0"/>
        <v>Delhi</v>
      </c>
    </row>
    <row r="50" spans="1:7">
      <c r="A50" s="102" t="s">
        <v>1358</v>
      </c>
      <c r="B50" s="1" t="s">
        <v>2557</v>
      </c>
      <c r="C50" s="3">
        <v>42</v>
      </c>
      <c r="D50" s="1" t="s">
        <v>112</v>
      </c>
      <c r="E50" s="1" t="s">
        <v>2509</v>
      </c>
      <c r="F50" s="2">
        <v>45116</v>
      </c>
      <c r="G50" s="94" t="str">
        <f t="shared" si="0"/>
        <v>Mumbai</v>
      </c>
    </row>
    <row r="51" spans="1:7">
      <c r="A51" s="102" t="s">
        <v>555</v>
      </c>
      <c r="B51" s="1" t="s">
        <v>2558</v>
      </c>
      <c r="C51" s="3">
        <v>37</v>
      </c>
      <c r="D51" s="1" t="s">
        <v>112</v>
      </c>
      <c r="E51" s="1" t="s">
        <v>2507</v>
      </c>
      <c r="F51" s="2">
        <v>43967</v>
      </c>
      <c r="G51" s="94" t="str">
        <f t="shared" si="0"/>
        <v>Mumbai</v>
      </c>
    </row>
    <row r="52" spans="1:7">
      <c r="A52" s="102" t="s">
        <v>308</v>
      </c>
      <c r="B52" s="1" t="s">
        <v>2559</v>
      </c>
      <c r="C52" s="3">
        <v>54</v>
      </c>
      <c r="D52" s="1" t="s">
        <v>88</v>
      </c>
      <c r="E52" s="1" t="s">
        <v>2515</v>
      </c>
      <c r="F52" s="2">
        <v>44613</v>
      </c>
      <c r="G52" s="94" t="str">
        <f t="shared" si="0"/>
        <v>Pune</v>
      </c>
    </row>
    <row r="53" spans="1:7">
      <c r="A53" s="102" t="s">
        <v>146</v>
      </c>
      <c r="B53" s="1" t="s">
        <v>2560</v>
      </c>
      <c r="C53" s="3">
        <v>38</v>
      </c>
      <c r="D53" s="1" t="s">
        <v>88</v>
      </c>
      <c r="E53" s="1" t="s">
        <v>2507</v>
      </c>
      <c r="F53" s="2">
        <v>44209</v>
      </c>
      <c r="G53" s="94" t="str">
        <f t="shared" si="0"/>
        <v>Pune</v>
      </c>
    </row>
    <row r="54" spans="1:7">
      <c r="A54" s="102" t="s">
        <v>223</v>
      </c>
      <c r="B54" s="1" t="s">
        <v>2561</v>
      </c>
      <c r="C54" s="3">
        <v>53</v>
      </c>
      <c r="D54" s="1" t="s">
        <v>99</v>
      </c>
      <c r="E54" s="1" t="s">
        <v>2507</v>
      </c>
      <c r="F54" s="2">
        <v>44288</v>
      </c>
      <c r="G54" s="94" t="str">
        <f t="shared" si="0"/>
        <v>Delhi</v>
      </c>
    </row>
    <row r="55" spans="1:7">
      <c r="A55" s="102" t="s">
        <v>872</v>
      </c>
      <c r="B55" s="1" t="s">
        <v>2562</v>
      </c>
      <c r="C55" s="3">
        <v>62</v>
      </c>
      <c r="D55" s="1" t="s">
        <v>112</v>
      </c>
      <c r="E55" s="1" t="s">
        <v>2509</v>
      </c>
      <c r="F55" s="2">
        <v>44482</v>
      </c>
      <c r="G55" s="94" t="str">
        <f t="shared" si="0"/>
        <v>Mumbai</v>
      </c>
    </row>
    <row r="56" spans="1:7">
      <c r="A56" s="102" t="s">
        <v>604</v>
      </c>
      <c r="B56" s="1" t="s">
        <v>2563</v>
      </c>
      <c r="C56" s="3">
        <v>34</v>
      </c>
      <c r="D56" s="1" t="s">
        <v>117</v>
      </c>
      <c r="E56" s="1" t="s">
        <v>2507</v>
      </c>
      <c r="F56" s="2">
        <v>44753</v>
      </c>
      <c r="G56" s="94" t="str">
        <f t="shared" si="0"/>
        <v>Bengaluru</v>
      </c>
    </row>
    <row r="57" spans="1:7">
      <c r="A57" s="102" t="s">
        <v>153</v>
      </c>
      <c r="B57" s="1" t="s">
        <v>2506</v>
      </c>
      <c r="C57" s="3">
        <v>46</v>
      </c>
      <c r="D57" s="1" t="s">
        <v>117</v>
      </c>
      <c r="E57" s="1" t="s">
        <v>2515</v>
      </c>
      <c r="F57" s="2">
        <v>45202</v>
      </c>
      <c r="G57" s="94" t="str">
        <f t="shared" si="0"/>
        <v>Bengaluru</v>
      </c>
    </row>
    <row r="58" spans="1:7">
      <c r="A58" s="102" t="s">
        <v>770</v>
      </c>
      <c r="B58" s="1" t="s">
        <v>2564</v>
      </c>
      <c r="C58" s="3">
        <v>35</v>
      </c>
      <c r="D58" s="1" t="s">
        <v>88</v>
      </c>
      <c r="E58" s="1" t="s">
        <v>2507</v>
      </c>
      <c r="F58" s="2">
        <v>43917</v>
      </c>
      <c r="G58" s="94" t="str">
        <f t="shared" si="0"/>
        <v>Pune</v>
      </c>
    </row>
    <row r="59" spans="1:7">
      <c r="A59" s="102" t="s">
        <v>1016</v>
      </c>
      <c r="B59" s="1" t="s">
        <v>2565</v>
      </c>
      <c r="C59" s="3">
        <v>49</v>
      </c>
      <c r="D59" s="1" t="s">
        <v>117</v>
      </c>
      <c r="E59" s="1" t="s">
        <v>2515</v>
      </c>
      <c r="F59" s="2">
        <v>44471</v>
      </c>
      <c r="G59" s="94" t="str">
        <f t="shared" si="0"/>
        <v>Bengaluru</v>
      </c>
    </row>
    <row r="60" spans="1:7">
      <c r="A60" s="102" t="s">
        <v>487</v>
      </c>
      <c r="B60" s="1" t="s">
        <v>2566</v>
      </c>
      <c r="C60" s="3">
        <v>29</v>
      </c>
      <c r="D60" s="1" t="s">
        <v>88</v>
      </c>
      <c r="E60" s="1" t="s">
        <v>2509</v>
      </c>
      <c r="F60" s="2">
        <v>44796</v>
      </c>
      <c r="G60" s="94" t="str">
        <f t="shared" si="0"/>
        <v>Pune</v>
      </c>
    </row>
    <row r="61" spans="1:7">
      <c r="A61" s="102" t="s">
        <v>1172</v>
      </c>
      <c r="B61" s="1" t="s">
        <v>2567</v>
      </c>
      <c r="C61" s="3">
        <v>39</v>
      </c>
      <c r="D61" s="1" t="s">
        <v>88</v>
      </c>
      <c r="E61" s="1" t="s">
        <v>2507</v>
      </c>
      <c r="F61" s="2">
        <v>43897</v>
      </c>
      <c r="G61" s="94" t="str">
        <f t="shared" si="0"/>
        <v>Pune</v>
      </c>
    </row>
    <row r="62" spans="1:7">
      <c r="A62" s="102" t="s">
        <v>744</v>
      </c>
      <c r="B62" s="1" t="s">
        <v>2568</v>
      </c>
      <c r="C62" s="3">
        <v>64</v>
      </c>
      <c r="D62" s="1" t="s">
        <v>133</v>
      </c>
      <c r="E62" s="1" t="s">
        <v>2507</v>
      </c>
      <c r="F62" s="2">
        <v>43971</v>
      </c>
      <c r="G62" s="94" t="str">
        <f t="shared" si="0"/>
        <v>Hyderabad</v>
      </c>
    </row>
    <row r="63" spans="1:7">
      <c r="A63" s="102" t="s">
        <v>735</v>
      </c>
      <c r="B63" s="1" t="s">
        <v>2569</v>
      </c>
      <c r="C63" s="3">
        <v>54</v>
      </c>
      <c r="D63" s="1" t="s">
        <v>88</v>
      </c>
      <c r="E63" s="1" t="s">
        <v>2507</v>
      </c>
      <c r="F63" s="2">
        <v>45016</v>
      </c>
      <c r="G63" s="94" t="str">
        <f t="shared" si="0"/>
        <v>Pune</v>
      </c>
    </row>
    <row r="64" spans="1:7">
      <c r="A64" s="102" t="s">
        <v>1072</v>
      </c>
      <c r="B64" s="1" t="s">
        <v>2570</v>
      </c>
      <c r="C64" s="3">
        <v>53</v>
      </c>
      <c r="D64" s="1" t="s">
        <v>112</v>
      </c>
      <c r="E64" s="1" t="s">
        <v>2515</v>
      </c>
      <c r="F64" s="2">
        <v>44008</v>
      </c>
      <c r="G64" s="94" t="str">
        <f t="shared" si="0"/>
        <v>Mumbai</v>
      </c>
    </row>
    <row r="65" spans="1:7">
      <c r="A65" s="102" t="s">
        <v>206</v>
      </c>
      <c r="B65" s="1" t="s">
        <v>2571</v>
      </c>
      <c r="C65" s="3">
        <v>40</v>
      </c>
      <c r="D65" s="1" t="s">
        <v>133</v>
      </c>
      <c r="E65" s="1" t="s">
        <v>2515</v>
      </c>
      <c r="F65" s="2">
        <v>45070</v>
      </c>
      <c r="G65" s="94" t="str">
        <f t="shared" si="0"/>
        <v>Hyderabad</v>
      </c>
    </row>
    <row r="66" spans="1:7">
      <c r="A66" s="102" t="s">
        <v>1180</v>
      </c>
      <c r="B66" s="1" t="s">
        <v>2572</v>
      </c>
      <c r="C66" s="3">
        <v>49</v>
      </c>
      <c r="D66" s="1" t="s">
        <v>94</v>
      </c>
      <c r="E66" s="1" t="s">
        <v>2509</v>
      </c>
      <c r="F66" s="2">
        <v>44543</v>
      </c>
      <c r="G66" s="94" t="str">
        <f t="shared" si="0"/>
        <v>Chennai</v>
      </c>
    </row>
    <row r="67" spans="1:7">
      <c r="A67" s="102" t="s">
        <v>714</v>
      </c>
      <c r="B67" s="1" t="s">
        <v>2573</v>
      </c>
      <c r="C67" s="3">
        <v>24</v>
      </c>
      <c r="D67" s="1" t="s">
        <v>99</v>
      </c>
      <c r="E67" s="1" t="s">
        <v>2507</v>
      </c>
      <c r="F67" s="2">
        <v>44851</v>
      </c>
      <c r="G67" s="94" t="str">
        <f t="shared" ref="G67:G130" si="1">PROPER(D67)</f>
        <v>Delhi</v>
      </c>
    </row>
    <row r="68" spans="1:7">
      <c r="A68" s="102" t="s">
        <v>474</v>
      </c>
      <c r="B68" s="1" t="s">
        <v>2574</v>
      </c>
      <c r="C68" s="3">
        <v>59</v>
      </c>
      <c r="D68" s="1" t="s">
        <v>99</v>
      </c>
      <c r="E68" s="1" t="s">
        <v>2515</v>
      </c>
      <c r="F68" s="2">
        <v>44020</v>
      </c>
      <c r="G68" s="94" t="str">
        <f t="shared" si="1"/>
        <v>Delhi</v>
      </c>
    </row>
    <row r="69" spans="1:7">
      <c r="A69" s="102" t="s">
        <v>533</v>
      </c>
      <c r="B69" s="1" t="s">
        <v>2575</v>
      </c>
      <c r="C69" s="3">
        <v>48</v>
      </c>
      <c r="D69" s="1" t="s">
        <v>99</v>
      </c>
      <c r="E69" s="1" t="s">
        <v>2515</v>
      </c>
      <c r="F69" s="2">
        <v>44553</v>
      </c>
      <c r="G69" s="94" t="str">
        <f t="shared" si="1"/>
        <v>Delhi</v>
      </c>
    </row>
    <row r="70" spans="1:7">
      <c r="A70" s="102" t="s">
        <v>217</v>
      </c>
      <c r="B70" s="1" t="s">
        <v>2576</v>
      </c>
      <c r="C70" s="3">
        <v>51</v>
      </c>
      <c r="D70" s="1" t="s">
        <v>94</v>
      </c>
      <c r="E70" s="1" t="s">
        <v>2507</v>
      </c>
      <c r="F70" s="2">
        <v>43906</v>
      </c>
      <c r="G70" s="94" t="str">
        <f t="shared" si="1"/>
        <v>Chennai</v>
      </c>
    </row>
    <row r="71" spans="1:7">
      <c r="A71" s="102" t="s">
        <v>371</v>
      </c>
      <c r="B71" s="1" t="s">
        <v>2577</v>
      </c>
      <c r="C71" s="3">
        <v>42</v>
      </c>
      <c r="D71" s="1" t="s">
        <v>112</v>
      </c>
      <c r="E71" s="1" t="s">
        <v>2507</v>
      </c>
      <c r="F71" s="2">
        <v>44568</v>
      </c>
      <c r="G71" s="94" t="str">
        <f t="shared" si="1"/>
        <v>Mumbai</v>
      </c>
    </row>
    <row r="72" spans="1:7">
      <c r="A72" s="102" t="s">
        <v>101</v>
      </c>
      <c r="B72" s="1" t="s">
        <v>2578</v>
      </c>
      <c r="C72" s="3">
        <v>46</v>
      </c>
      <c r="D72" s="1" t="s">
        <v>99</v>
      </c>
      <c r="E72" s="1" t="s">
        <v>2509</v>
      </c>
      <c r="F72" s="2">
        <v>44574</v>
      </c>
      <c r="G72" s="94" t="str">
        <f t="shared" si="1"/>
        <v>Delhi</v>
      </c>
    </row>
    <row r="73" spans="1:7">
      <c r="A73" s="102" t="s">
        <v>878</v>
      </c>
      <c r="B73" s="1" t="s">
        <v>2579</v>
      </c>
      <c r="C73" s="3">
        <v>62</v>
      </c>
      <c r="D73" s="1" t="s">
        <v>112</v>
      </c>
      <c r="E73" s="1" t="s">
        <v>2509</v>
      </c>
      <c r="F73" s="2">
        <v>44301</v>
      </c>
      <c r="G73" s="94" t="str">
        <f t="shared" si="1"/>
        <v>Mumbai</v>
      </c>
    </row>
    <row r="74" spans="1:7">
      <c r="A74" s="102" t="s">
        <v>580</v>
      </c>
      <c r="B74" s="1" t="s">
        <v>2580</v>
      </c>
      <c r="C74" s="3">
        <v>40</v>
      </c>
      <c r="D74" s="1" t="s">
        <v>88</v>
      </c>
      <c r="E74" s="1" t="s">
        <v>2509</v>
      </c>
      <c r="F74" s="2">
        <v>45190</v>
      </c>
      <c r="G74" s="94" t="str">
        <f t="shared" si="1"/>
        <v>Pune</v>
      </c>
    </row>
    <row r="75" spans="1:7">
      <c r="A75" s="102" t="s">
        <v>779</v>
      </c>
      <c r="B75" s="1" t="s">
        <v>2581</v>
      </c>
      <c r="C75" s="3">
        <v>27</v>
      </c>
      <c r="D75" s="1" t="s">
        <v>117</v>
      </c>
      <c r="E75" s="1" t="s">
        <v>2507</v>
      </c>
      <c r="F75" s="2">
        <v>45100</v>
      </c>
      <c r="G75" s="94" t="str">
        <f t="shared" si="1"/>
        <v>Bengaluru</v>
      </c>
    </row>
    <row r="76" spans="1:7">
      <c r="A76" s="102" t="s">
        <v>524</v>
      </c>
      <c r="B76" s="1" t="s">
        <v>2582</v>
      </c>
      <c r="C76" s="3">
        <v>55</v>
      </c>
      <c r="D76" s="1" t="s">
        <v>112</v>
      </c>
      <c r="E76" s="1" t="s">
        <v>2509</v>
      </c>
      <c r="F76" s="2">
        <v>43973</v>
      </c>
      <c r="G76" s="94" t="str">
        <f t="shared" si="1"/>
        <v>Mumbai</v>
      </c>
    </row>
    <row r="77" spans="1:7">
      <c r="A77" s="102" t="s">
        <v>1350</v>
      </c>
      <c r="B77" s="1" t="s">
        <v>2583</v>
      </c>
      <c r="C77" s="3">
        <v>38</v>
      </c>
      <c r="D77" s="1" t="s">
        <v>112</v>
      </c>
      <c r="E77" s="1" t="s">
        <v>2507</v>
      </c>
      <c r="F77" s="2">
        <v>43964</v>
      </c>
      <c r="G77" s="94" t="str">
        <f t="shared" si="1"/>
        <v>Mumbai</v>
      </c>
    </row>
    <row r="78" spans="1:7">
      <c r="A78" s="102" t="s">
        <v>537</v>
      </c>
      <c r="B78" s="1" t="s">
        <v>2584</v>
      </c>
      <c r="C78" s="3">
        <v>48</v>
      </c>
      <c r="D78" s="1" t="s">
        <v>133</v>
      </c>
      <c r="E78" s="1" t="s">
        <v>2515</v>
      </c>
      <c r="F78" s="2">
        <v>44443</v>
      </c>
      <c r="G78" s="94" t="str">
        <f t="shared" si="1"/>
        <v>Hyderabad</v>
      </c>
    </row>
    <row r="79" spans="1:7">
      <c r="A79" s="102" t="s">
        <v>322</v>
      </c>
      <c r="B79" s="1" t="s">
        <v>2585</v>
      </c>
      <c r="C79" s="3">
        <v>31</v>
      </c>
      <c r="D79" s="1" t="s">
        <v>99</v>
      </c>
      <c r="E79" s="1" t="s">
        <v>2507</v>
      </c>
      <c r="F79" s="2">
        <v>45133</v>
      </c>
      <c r="G79" s="94" t="str">
        <f t="shared" si="1"/>
        <v>Delhi</v>
      </c>
    </row>
    <row r="80" spans="1:7">
      <c r="A80" s="102" t="s">
        <v>551</v>
      </c>
      <c r="B80" s="1" t="s">
        <v>2586</v>
      </c>
      <c r="C80" s="3">
        <v>60</v>
      </c>
      <c r="D80" s="1" t="s">
        <v>112</v>
      </c>
      <c r="E80" s="1" t="s">
        <v>2509</v>
      </c>
      <c r="F80" s="2">
        <v>44271</v>
      </c>
      <c r="G80" s="94" t="str">
        <f t="shared" si="1"/>
        <v>Mumbai</v>
      </c>
    </row>
    <row r="81" spans="1:7">
      <c r="A81" s="102" t="s">
        <v>440</v>
      </c>
      <c r="B81" s="1" t="s">
        <v>2587</v>
      </c>
      <c r="C81" s="3">
        <v>30</v>
      </c>
      <c r="D81" s="1" t="s">
        <v>88</v>
      </c>
      <c r="E81" s="1" t="s">
        <v>2515</v>
      </c>
      <c r="F81" s="2">
        <v>43901</v>
      </c>
      <c r="G81" s="94" t="str">
        <f t="shared" si="1"/>
        <v>Pune</v>
      </c>
    </row>
    <row r="82" spans="1:7">
      <c r="A82" s="102" t="s">
        <v>366</v>
      </c>
      <c r="B82" s="1" t="s">
        <v>2588</v>
      </c>
      <c r="C82" s="3">
        <v>25</v>
      </c>
      <c r="D82" s="1" t="s">
        <v>112</v>
      </c>
      <c r="E82" s="1" t="s">
        <v>2507</v>
      </c>
      <c r="F82" s="2">
        <v>44331</v>
      </c>
      <c r="G82" s="94" t="str">
        <f t="shared" si="1"/>
        <v>Mumbai</v>
      </c>
    </row>
    <row r="83" spans="1:7">
      <c r="A83" s="102" t="s">
        <v>320</v>
      </c>
      <c r="B83" s="1" t="s">
        <v>2589</v>
      </c>
      <c r="C83" s="3">
        <v>36</v>
      </c>
      <c r="D83" s="1" t="s">
        <v>133</v>
      </c>
      <c r="E83" s="1" t="s">
        <v>2515</v>
      </c>
      <c r="F83" s="2">
        <v>44152</v>
      </c>
      <c r="G83" s="94" t="str">
        <f t="shared" si="1"/>
        <v>Hyderabad</v>
      </c>
    </row>
    <row r="84" spans="1:7">
      <c r="A84" s="102" t="s">
        <v>1104</v>
      </c>
      <c r="B84" s="1" t="s">
        <v>2590</v>
      </c>
      <c r="C84" s="3">
        <v>31</v>
      </c>
      <c r="D84" s="1" t="s">
        <v>117</v>
      </c>
      <c r="E84" s="1" t="s">
        <v>2509</v>
      </c>
      <c r="F84" s="2">
        <v>44248</v>
      </c>
      <c r="G84" s="94" t="str">
        <f t="shared" si="1"/>
        <v>Bengaluru</v>
      </c>
    </row>
    <row r="85" spans="1:7">
      <c r="A85" s="102" t="s">
        <v>328</v>
      </c>
      <c r="B85" s="1" t="s">
        <v>2591</v>
      </c>
      <c r="C85" s="3">
        <v>28</v>
      </c>
      <c r="D85" s="1" t="s">
        <v>94</v>
      </c>
      <c r="E85" s="1" t="s">
        <v>2507</v>
      </c>
      <c r="F85" s="2">
        <v>44116</v>
      </c>
      <c r="G85" s="94" t="str">
        <f t="shared" si="1"/>
        <v>Chennai</v>
      </c>
    </row>
    <row r="86" spans="1:7">
      <c r="A86" s="102" t="s">
        <v>585</v>
      </c>
      <c r="B86" s="1" t="s">
        <v>2592</v>
      </c>
      <c r="C86" s="3">
        <v>26</v>
      </c>
      <c r="D86" s="1" t="s">
        <v>94</v>
      </c>
      <c r="E86" s="1" t="s">
        <v>2507</v>
      </c>
      <c r="F86" s="2">
        <v>45149</v>
      </c>
      <c r="G86" s="94" t="str">
        <f t="shared" si="1"/>
        <v>Chennai</v>
      </c>
    </row>
    <row r="87" spans="1:7">
      <c r="A87" s="102" t="s">
        <v>190</v>
      </c>
      <c r="B87" s="1" t="s">
        <v>2593</v>
      </c>
      <c r="C87" s="3">
        <v>56</v>
      </c>
      <c r="D87" s="1" t="s">
        <v>133</v>
      </c>
      <c r="E87" s="1" t="s">
        <v>2509</v>
      </c>
      <c r="F87" s="2">
        <v>45039</v>
      </c>
      <c r="G87" s="94" t="str">
        <f t="shared" si="1"/>
        <v>Hyderabad</v>
      </c>
    </row>
    <row r="88" spans="1:7">
      <c r="A88" s="102" t="s">
        <v>479</v>
      </c>
      <c r="B88" s="1" t="s">
        <v>2594</v>
      </c>
      <c r="C88" s="3">
        <v>49</v>
      </c>
      <c r="D88" s="1" t="s">
        <v>88</v>
      </c>
      <c r="E88" s="1" t="s">
        <v>2515</v>
      </c>
      <c r="F88" s="2">
        <v>44621</v>
      </c>
      <c r="G88" s="94" t="str">
        <f t="shared" si="1"/>
        <v>Pune</v>
      </c>
    </row>
    <row r="89" spans="1:7">
      <c r="A89" s="102" t="s">
        <v>254</v>
      </c>
      <c r="B89" s="1" t="s">
        <v>2595</v>
      </c>
      <c r="C89" s="3">
        <v>24</v>
      </c>
      <c r="D89" s="1" t="s">
        <v>94</v>
      </c>
      <c r="E89" s="1" t="s">
        <v>2507</v>
      </c>
      <c r="F89" s="2">
        <v>44693</v>
      </c>
      <c r="G89" s="94" t="str">
        <f t="shared" si="1"/>
        <v>Chennai</v>
      </c>
    </row>
    <row r="90" spans="1:7">
      <c r="A90" s="102" t="s">
        <v>905</v>
      </c>
      <c r="B90" s="1" t="s">
        <v>2596</v>
      </c>
      <c r="C90" s="3">
        <v>43</v>
      </c>
      <c r="D90" s="1" t="s">
        <v>112</v>
      </c>
      <c r="E90" s="1" t="s">
        <v>2515</v>
      </c>
      <c r="F90" s="2">
        <v>44513</v>
      </c>
      <c r="G90" s="94" t="str">
        <f t="shared" si="1"/>
        <v>Mumbai</v>
      </c>
    </row>
    <row r="91" spans="1:7">
      <c r="A91" s="102" t="s">
        <v>599</v>
      </c>
      <c r="B91" s="1" t="s">
        <v>2597</v>
      </c>
      <c r="C91" s="3">
        <v>26</v>
      </c>
      <c r="D91" s="1" t="s">
        <v>117</v>
      </c>
      <c r="E91" s="1" t="s">
        <v>2509</v>
      </c>
      <c r="F91" s="2">
        <v>44137</v>
      </c>
      <c r="G91" s="94" t="str">
        <f t="shared" si="1"/>
        <v>Bengaluru</v>
      </c>
    </row>
    <row r="92" spans="1:7">
      <c r="A92" s="102" t="s">
        <v>910</v>
      </c>
      <c r="B92" s="1" t="s">
        <v>2598</v>
      </c>
      <c r="C92" s="3">
        <v>55</v>
      </c>
      <c r="D92" s="1" t="s">
        <v>99</v>
      </c>
      <c r="E92" s="1" t="s">
        <v>2507</v>
      </c>
      <c r="F92" s="2">
        <v>45178</v>
      </c>
      <c r="G92" s="94" t="str">
        <f t="shared" si="1"/>
        <v>Delhi</v>
      </c>
    </row>
    <row r="93" spans="1:7">
      <c r="A93" s="102" t="s">
        <v>394</v>
      </c>
      <c r="B93" s="1" t="s">
        <v>2599</v>
      </c>
      <c r="C93" s="3">
        <v>28</v>
      </c>
      <c r="D93" s="1" t="s">
        <v>117</v>
      </c>
      <c r="E93" s="1" t="s">
        <v>2515</v>
      </c>
      <c r="F93" s="2">
        <v>44731</v>
      </c>
      <c r="G93" s="94" t="str">
        <f t="shared" si="1"/>
        <v>Bengaluru</v>
      </c>
    </row>
    <row r="94" spans="1:7">
      <c r="A94" s="102" t="s">
        <v>816</v>
      </c>
      <c r="B94" s="1" t="s">
        <v>2600</v>
      </c>
      <c r="C94" s="3">
        <v>36</v>
      </c>
      <c r="D94" s="1" t="s">
        <v>88</v>
      </c>
      <c r="E94" s="1" t="s">
        <v>2507</v>
      </c>
      <c r="F94" s="2">
        <v>44743</v>
      </c>
      <c r="G94" s="94" t="str">
        <f t="shared" si="1"/>
        <v>Pune</v>
      </c>
    </row>
    <row r="95" spans="1:7">
      <c r="A95" s="102" t="s">
        <v>316</v>
      </c>
      <c r="B95" s="1" t="s">
        <v>2601</v>
      </c>
      <c r="C95" s="3">
        <v>60</v>
      </c>
      <c r="D95" s="1" t="s">
        <v>88</v>
      </c>
      <c r="E95" s="1" t="s">
        <v>2515</v>
      </c>
      <c r="F95" s="2">
        <v>44915</v>
      </c>
      <c r="G95" s="94" t="str">
        <f t="shared" si="1"/>
        <v>Pune</v>
      </c>
    </row>
    <row r="96" spans="1:7">
      <c r="A96" s="102" t="s">
        <v>228</v>
      </c>
      <c r="B96" s="1" t="s">
        <v>2602</v>
      </c>
      <c r="C96" s="3">
        <v>54</v>
      </c>
      <c r="D96" s="1" t="s">
        <v>112</v>
      </c>
      <c r="E96" s="1" t="s">
        <v>2515</v>
      </c>
      <c r="F96" s="2">
        <v>44622</v>
      </c>
      <c r="G96" s="94" t="str">
        <f t="shared" si="1"/>
        <v>Mumbai</v>
      </c>
    </row>
    <row r="97" spans="1:7">
      <c r="A97" s="102" t="s">
        <v>382</v>
      </c>
      <c r="B97" s="1" t="s">
        <v>2603</v>
      </c>
      <c r="C97" s="3">
        <v>27</v>
      </c>
      <c r="D97" s="1" t="s">
        <v>99</v>
      </c>
      <c r="E97" s="1" t="s">
        <v>2509</v>
      </c>
      <c r="F97" s="2">
        <v>44445</v>
      </c>
      <c r="G97" s="94" t="str">
        <f t="shared" si="1"/>
        <v>Delhi</v>
      </c>
    </row>
    <row r="98" spans="1:7">
      <c r="A98" s="102" t="s">
        <v>557</v>
      </c>
      <c r="B98" s="1" t="s">
        <v>2604</v>
      </c>
      <c r="C98" s="3">
        <v>65</v>
      </c>
      <c r="D98" s="1" t="s">
        <v>112</v>
      </c>
      <c r="E98" s="1" t="s">
        <v>2507</v>
      </c>
      <c r="F98" s="2">
        <v>43899</v>
      </c>
      <c r="G98" s="94" t="str">
        <f t="shared" si="1"/>
        <v>Mumbai</v>
      </c>
    </row>
    <row r="99" spans="1:7">
      <c r="A99" s="102" t="s">
        <v>96</v>
      </c>
      <c r="B99" s="1" t="s">
        <v>2605</v>
      </c>
      <c r="C99" s="3">
        <v>52</v>
      </c>
      <c r="D99" s="1" t="s">
        <v>99</v>
      </c>
      <c r="E99" s="1" t="s">
        <v>2507</v>
      </c>
      <c r="F99" s="2">
        <v>44406</v>
      </c>
      <c r="G99" s="94" t="str">
        <f t="shared" si="1"/>
        <v>Delhi</v>
      </c>
    </row>
    <row r="100" spans="1:7">
      <c r="A100" s="102" t="s">
        <v>1724</v>
      </c>
      <c r="B100" s="1" t="s">
        <v>2606</v>
      </c>
      <c r="C100" s="3">
        <v>54</v>
      </c>
      <c r="D100" s="1" t="s">
        <v>117</v>
      </c>
      <c r="E100" s="1" t="s">
        <v>2515</v>
      </c>
      <c r="F100" s="2">
        <v>44938</v>
      </c>
      <c r="G100" s="94" t="str">
        <f t="shared" si="1"/>
        <v>Bengaluru</v>
      </c>
    </row>
    <row r="101" spans="1:7">
      <c r="A101" s="102" t="s">
        <v>1575</v>
      </c>
      <c r="B101" s="1" t="s">
        <v>2607</v>
      </c>
      <c r="C101" s="3">
        <v>60</v>
      </c>
      <c r="D101" s="1" t="s">
        <v>133</v>
      </c>
      <c r="E101" s="1" t="s">
        <v>2509</v>
      </c>
      <c r="F101" s="2">
        <v>45072</v>
      </c>
      <c r="G101" s="94" t="str">
        <f t="shared" si="1"/>
        <v>Hyderabad</v>
      </c>
    </row>
    <row r="102" spans="1:7">
      <c r="A102" s="102" t="s">
        <v>175</v>
      </c>
      <c r="B102" s="1" t="s">
        <v>2608</v>
      </c>
      <c r="C102" s="3">
        <v>40</v>
      </c>
      <c r="D102" s="1" t="s">
        <v>133</v>
      </c>
      <c r="E102" s="1" t="s">
        <v>2515</v>
      </c>
      <c r="F102" s="2">
        <v>44021</v>
      </c>
      <c r="G102" s="94" t="str">
        <f t="shared" si="1"/>
        <v>Hyderabad</v>
      </c>
    </row>
    <row r="103" spans="1:7">
      <c r="A103" s="102" t="s">
        <v>369</v>
      </c>
      <c r="B103" s="1" t="s">
        <v>2609</v>
      </c>
      <c r="C103" s="3">
        <v>62</v>
      </c>
      <c r="D103" s="1" t="s">
        <v>94</v>
      </c>
      <c r="E103" s="1" t="s">
        <v>2515</v>
      </c>
      <c r="F103" s="2">
        <v>45092</v>
      </c>
      <c r="G103" s="94" t="str">
        <f t="shared" si="1"/>
        <v>Chennai</v>
      </c>
    </row>
    <row r="104" spans="1:7">
      <c r="A104" s="102" t="s">
        <v>943</v>
      </c>
      <c r="B104" s="1" t="s">
        <v>2610</v>
      </c>
      <c r="C104" s="3">
        <v>54</v>
      </c>
      <c r="D104" s="1" t="s">
        <v>133</v>
      </c>
      <c r="E104" s="1" t="s">
        <v>2509</v>
      </c>
      <c r="F104" s="2">
        <v>45080</v>
      </c>
      <c r="G104" s="94" t="str">
        <f t="shared" si="1"/>
        <v>Hyderabad</v>
      </c>
    </row>
    <row r="105" spans="1:7">
      <c r="A105" s="102" t="s">
        <v>454</v>
      </c>
      <c r="B105" s="1" t="s">
        <v>2611</v>
      </c>
      <c r="C105" s="3">
        <v>43</v>
      </c>
      <c r="D105" s="1" t="s">
        <v>133</v>
      </c>
      <c r="E105" s="1" t="s">
        <v>2509</v>
      </c>
      <c r="F105" s="2">
        <v>44018</v>
      </c>
      <c r="G105" s="94" t="str">
        <f t="shared" si="1"/>
        <v>Hyderabad</v>
      </c>
    </row>
    <row r="106" spans="1:7">
      <c r="A106" s="102" t="s">
        <v>1308</v>
      </c>
      <c r="B106" s="1" t="s">
        <v>2612</v>
      </c>
      <c r="C106" s="3">
        <v>51</v>
      </c>
      <c r="D106" s="1" t="s">
        <v>94</v>
      </c>
      <c r="E106" s="1" t="s">
        <v>2515</v>
      </c>
      <c r="F106" s="2">
        <v>44060</v>
      </c>
      <c r="G106" s="94" t="str">
        <f t="shared" si="1"/>
        <v>Chennai</v>
      </c>
    </row>
    <row r="107" spans="1:7">
      <c r="A107" s="102" t="s">
        <v>413</v>
      </c>
      <c r="B107" s="1" t="s">
        <v>2613</v>
      </c>
      <c r="C107" s="3">
        <v>22</v>
      </c>
      <c r="D107" s="1" t="s">
        <v>88</v>
      </c>
      <c r="E107" s="1" t="s">
        <v>2507</v>
      </c>
      <c r="F107" s="2">
        <v>45192</v>
      </c>
      <c r="G107" s="94" t="str">
        <f t="shared" si="1"/>
        <v>Pune</v>
      </c>
    </row>
    <row r="108" spans="1:7">
      <c r="A108" s="102" t="s">
        <v>172</v>
      </c>
      <c r="B108" s="1" t="s">
        <v>2614</v>
      </c>
      <c r="C108" s="3">
        <v>50</v>
      </c>
      <c r="D108" s="1" t="s">
        <v>88</v>
      </c>
      <c r="E108" s="1" t="s">
        <v>2507</v>
      </c>
      <c r="F108" s="2">
        <v>44007</v>
      </c>
      <c r="G108" s="94" t="str">
        <f t="shared" si="1"/>
        <v>Pune</v>
      </c>
    </row>
    <row r="109" spans="1:7">
      <c r="A109" s="102" t="s">
        <v>331</v>
      </c>
      <c r="B109" s="1" t="s">
        <v>2615</v>
      </c>
      <c r="C109" s="3">
        <v>59</v>
      </c>
      <c r="D109" s="1" t="s">
        <v>117</v>
      </c>
      <c r="E109" s="1" t="s">
        <v>2509</v>
      </c>
      <c r="F109" s="2">
        <v>44382</v>
      </c>
      <c r="G109" s="94" t="str">
        <f t="shared" si="1"/>
        <v>Bengaluru</v>
      </c>
    </row>
    <row r="110" spans="1:7">
      <c r="A110" s="102" t="s">
        <v>1231</v>
      </c>
      <c r="B110" s="1" t="s">
        <v>2616</v>
      </c>
      <c r="C110" s="3">
        <v>42</v>
      </c>
      <c r="D110" s="1" t="s">
        <v>88</v>
      </c>
      <c r="E110" s="1" t="s">
        <v>2507</v>
      </c>
      <c r="F110" s="2">
        <v>44698</v>
      </c>
      <c r="G110" s="94" t="str">
        <f t="shared" si="1"/>
        <v>Pune</v>
      </c>
    </row>
    <row r="111" spans="1:7">
      <c r="A111" s="102" t="s">
        <v>624</v>
      </c>
      <c r="B111" s="1" t="s">
        <v>2537</v>
      </c>
      <c r="C111" s="3">
        <v>31</v>
      </c>
      <c r="D111" s="1" t="s">
        <v>88</v>
      </c>
      <c r="E111" s="1" t="s">
        <v>2509</v>
      </c>
      <c r="F111" s="2">
        <v>44346</v>
      </c>
      <c r="G111" s="94" t="str">
        <f t="shared" si="1"/>
        <v>Pune</v>
      </c>
    </row>
    <row r="112" spans="1:7">
      <c r="A112" s="102" t="s">
        <v>422</v>
      </c>
      <c r="B112" s="1" t="s">
        <v>2617</v>
      </c>
      <c r="C112" s="3">
        <v>64</v>
      </c>
      <c r="D112" s="1" t="s">
        <v>94</v>
      </c>
      <c r="E112" s="1" t="s">
        <v>2515</v>
      </c>
      <c r="F112" s="2">
        <v>44309</v>
      </c>
      <c r="G112" s="94" t="str">
        <f t="shared" si="1"/>
        <v>Chennai</v>
      </c>
    </row>
    <row r="113" spans="1:7">
      <c r="A113" s="102" t="s">
        <v>236</v>
      </c>
      <c r="B113" s="1" t="s">
        <v>2618</v>
      </c>
      <c r="C113" s="3">
        <v>64</v>
      </c>
      <c r="D113" s="1" t="s">
        <v>133</v>
      </c>
      <c r="E113" s="1" t="s">
        <v>2507</v>
      </c>
      <c r="F113" s="2">
        <v>44015</v>
      </c>
      <c r="G113" s="94" t="str">
        <f t="shared" si="1"/>
        <v>Hyderabad</v>
      </c>
    </row>
    <row r="114" spans="1:7">
      <c r="A114" s="102" t="s">
        <v>397</v>
      </c>
      <c r="B114" s="1" t="s">
        <v>2619</v>
      </c>
      <c r="C114" s="3">
        <v>30</v>
      </c>
      <c r="D114" s="1" t="s">
        <v>99</v>
      </c>
      <c r="E114" s="1" t="s">
        <v>2507</v>
      </c>
      <c r="F114" s="2">
        <v>44490</v>
      </c>
      <c r="G114" s="94" t="str">
        <f t="shared" si="1"/>
        <v>Delhi</v>
      </c>
    </row>
    <row r="115" spans="1:7">
      <c r="A115" s="102" t="s">
        <v>416</v>
      </c>
      <c r="B115" s="1" t="s">
        <v>2620</v>
      </c>
      <c r="C115" s="3">
        <v>42</v>
      </c>
      <c r="D115" s="1" t="s">
        <v>117</v>
      </c>
      <c r="E115" s="1" t="s">
        <v>2509</v>
      </c>
      <c r="F115" s="2">
        <v>44907</v>
      </c>
      <c r="G115" s="94" t="str">
        <f t="shared" si="1"/>
        <v>Bengaluru</v>
      </c>
    </row>
    <row r="116" spans="1:7">
      <c r="A116" s="102" t="s">
        <v>617</v>
      </c>
      <c r="B116" s="1" t="s">
        <v>2543</v>
      </c>
      <c r="C116" s="3">
        <v>65</v>
      </c>
      <c r="D116" s="1" t="s">
        <v>112</v>
      </c>
      <c r="E116" s="1" t="s">
        <v>2515</v>
      </c>
      <c r="F116" s="2">
        <v>44381</v>
      </c>
      <c r="G116" s="94" t="str">
        <f t="shared" si="1"/>
        <v>Mumbai</v>
      </c>
    </row>
    <row r="117" spans="1:7">
      <c r="A117" s="102" t="s">
        <v>1623</v>
      </c>
      <c r="B117" s="1" t="s">
        <v>2621</v>
      </c>
      <c r="C117" s="3">
        <v>53</v>
      </c>
      <c r="D117" s="1" t="s">
        <v>2622</v>
      </c>
      <c r="E117" s="1" t="s">
        <v>2507</v>
      </c>
      <c r="F117" s="2">
        <v>44050</v>
      </c>
      <c r="G117" s="94" t="str">
        <f t="shared" si="1"/>
        <v>Bengaluru</v>
      </c>
    </row>
    <row r="118" spans="1:7">
      <c r="A118" s="102" t="s">
        <v>451</v>
      </c>
      <c r="B118" s="1" t="s">
        <v>2623</v>
      </c>
      <c r="C118" s="3">
        <v>34</v>
      </c>
      <c r="D118" s="1" t="s">
        <v>99</v>
      </c>
      <c r="E118" s="1" t="s">
        <v>2515</v>
      </c>
      <c r="F118" s="2">
        <v>44581</v>
      </c>
      <c r="G118" s="94" t="str">
        <f t="shared" si="1"/>
        <v>Delhi</v>
      </c>
    </row>
    <row r="119" spans="1:7">
      <c r="A119" s="102" t="s">
        <v>208</v>
      </c>
      <c r="B119" s="1" t="s">
        <v>2624</v>
      </c>
      <c r="C119" s="3">
        <v>26</v>
      </c>
      <c r="D119" s="1" t="s">
        <v>133</v>
      </c>
      <c r="E119" s="1" t="s">
        <v>2507</v>
      </c>
      <c r="F119" s="2">
        <v>44916</v>
      </c>
      <c r="G119" s="94" t="str">
        <f t="shared" si="1"/>
        <v>Hyderabad</v>
      </c>
    </row>
    <row r="120" spans="1:7">
      <c r="A120" s="102" t="s">
        <v>469</v>
      </c>
      <c r="B120" s="1" t="s">
        <v>2625</v>
      </c>
      <c r="C120" s="3">
        <v>43</v>
      </c>
      <c r="D120" s="1" t="s">
        <v>117</v>
      </c>
      <c r="E120" s="1" t="s">
        <v>2515</v>
      </c>
      <c r="F120" s="2">
        <v>44360</v>
      </c>
      <c r="G120" s="94" t="str">
        <f t="shared" si="1"/>
        <v>Bengaluru</v>
      </c>
    </row>
    <row r="121" spans="1:7">
      <c r="A121" s="102" t="s">
        <v>1234</v>
      </c>
      <c r="B121" s="1" t="s">
        <v>2626</v>
      </c>
      <c r="C121" s="3">
        <v>29</v>
      </c>
      <c r="D121" s="1" t="s">
        <v>112</v>
      </c>
      <c r="E121" s="1" t="s">
        <v>2507</v>
      </c>
      <c r="F121" s="2">
        <v>44871</v>
      </c>
      <c r="G121" s="94" t="str">
        <f t="shared" si="1"/>
        <v>Mumbai</v>
      </c>
    </row>
    <row r="122" spans="1:7">
      <c r="A122" s="102" t="s">
        <v>522</v>
      </c>
      <c r="B122" s="1" t="s">
        <v>2627</v>
      </c>
      <c r="C122" s="3">
        <v>55</v>
      </c>
      <c r="D122" s="1" t="s">
        <v>99</v>
      </c>
      <c r="E122" s="1" t="s">
        <v>2515</v>
      </c>
      <c r="F122" s="2">
        <v>45119</v>
      </c>
      <c r="G122" s="94" t="str">
        <f t="shared" si="1"/>
        <v>Delhi</v>
      </c>
    </row>
    <row r="123" spans="1:7">
      <c r="A123" s="102" t="s">
        <v>1217</v>
      </c>
      <c r="B123" s="1" t="s">
        <v>2628</v>
      </c>
      <c r="C123" s="3">
        <v>44</v>
      </c>
      <c r="D123" s="1" t="s">
        <v>112</v>
      </c>
      <c r="E123" s="1" t="s">
        <v>2507</v>
      </c>
      <c r="F123" s="2">
        <v>44686</v>
      </c>
      <c r="G123" s="94" t="str">
        <f t="shared" si="1"/>
        <v>Mumbai</v>
      </c>
    </row>
    <row r="124" spans="1:7">
      <c r="A124" s="102" t="s">
        <v>886</v>
      </c>
      <c r="B124" s="1" t="s">
        <v>2629</v>
      </c>
      <c r="C124" s="3">
        <v>44</v>
      </c>
      <c r="D124" s="1" t="s">
        <v>94</v>
      </c>
      <c r="E124" s="1" t="s">
        <v>2509</v>
      </c>
      <c r="F124" s="2">
        <v>44589</v>
      </c>
      <c r="G124" s="94" t="str">
        <f t="shared" si="1"/>
        <v>Chennai</v>
      </c>
    </row>
    <row r="125" spans="1:7">
      <c r="A125" s="102" t="s">
        <v>493</v>
      </c>
      <c r="B125" s="1" t="s">
        <v>2630</v>
      </c>
      <c r="C125" s="3">
        <v>57</v>
      </c>
      <c r="D125" s="1" t="s">
        <v>88</v>
      </c>
      <c r="E125" s="1" t="s">
        <v>2507</v>
      </c>
      <c r="F125" s="2">
        <v>44818</v>
      </c>
      <c r="G125" s="94" t="str">
        <f t="shared" si="1"/>
        <v>Pune</v>
      </c>
    </row>
    <row r="126" spans="1:7">
      <c r="A126" s="102" t="s">
        <v>530</v>
      </c>
      <c r="B126" s="1" t="s">
        <v>2631</v>
      </c>
      <c r="C126" s="3">
        <v>45</v>
      </c>
      <c r="D126" s="1" t="s">
        <v>99</v>
      </c>
      <c r="E126" s="1" t="s">
        <v>2507</v>
      </c>
      <c r="F126" s="2">
        <v>44263</v>
      </c>
      <c r="G126" s="94" t="str">
        <f t="shared" si="1"/>
        <v>Delhi</v>
      </c>
    </row>
    <row r="127" spans="1:7">
      <c r="A127" s="102" t="s">
        <v>902</v>
      </c>
      <c r="B127" s="1" t="s">
        <v>2632</v>
      </c>
      <c r="C127" s="3">
        <v>37</v>
      </c>
      <c r="D127" s="1" t="s">
        <v>112</v>
      </c>
      <c r="E127" s="1" t="s">
        <v>2507</v>
      </c>
      <c r="F127" s="2">
        <v>44561</v>
      </c>
      <c r="G127" s="94" t="str">
        <f t="shared" si="1"/>
        <v>Mumbai</v>
      </c>
    </row>
    <row r="128" spans="1:7">
      <c r="A128" s="102" t="s">
        <v>983</v>
      </c>
      <c r="B128" s="1" t="s">
        <v>2538</v>
      </c>
      <c r="C128" s="3">
        <v>36</v>
      </c>
      <c r="D128" s="1" t="s">
        <v>117</v>
      </c>
      <c r="E128" s="1" t="s">
        <v>2515</v>
      </c>
      <c r="F128" s="2">
        <v>45036</v>
      </c>
      <c r="G128" s="94" t="str">
        <f t="shared" si="1"/>
        <v>Bengaluru</v>
      </c>
    </row>
    <row r="129" spans="1:7">
      <c r="A129" s="102" t="s">
        <v>952</v>
      </c>
      <c r="B129" s="1" t="s">
        <v>2633</v>
      </c>
      <c r="C129" s="3">
        <v>35</v>
      </c>
      <c r="D129" s="1" t="s">
        <v>133</v>
      </c>
      <c r="E129" s="1" t="s">
        <v>2507</v>
      </c>
      <c r="F129" s="2">
        <v>44602</v>
      </c>
      <c r="G129" s="94" t="str">
        <f t="shared" si="1"/>
        <v>Hyderabad</v>
      </c>
    </row>
    <row r="130" spans="1:7">
      <c r="A130" s="102" t="s">
        <v>299</v>
      </c>
      <c r="B130" s="1" t="s">
        <v>2634</v>
      </c>
      <c r="C130" s="3">
        <v>29</v>
      </c>
      <c r="D130" s="1" t="s">
        <v>2635</v>
      </c>
      <c r="E130" s="1" t="s">
        <v>2507</v>
      </c>
      <c r="F130" s="2">
        <v>44930</v>
      </c>
      <c r="G130" s="94" t="str">
        <f t="shared" si="1"/>
        <v>Hyderabad</v>
      </c>
    </row>
    <row r="131" spans="1:7">
      <c r="A131" s="102" t="s">
        <v>841</v>
      </c>
      <c r="B131" s="1" t="s">
        <v>2636</v>
      </c>
      <c r="C131" s="3">
        <v>41</v>
      </c>
      <c r="D131" s="1" t="s">
        <v>117</v>
      </c>
      <c r="E131" s="1" t="s">
        <v>2509</v>
      </c>
      <c r="F131" s="2">
        <v>44897</v>
      </c>
      <c r="G131" s="94" t="str">
        <f t="shared" ref="G131:G194" si="2">PROPER(D131)</f>
        <v>Bengaluru</v>
      </c>
    </row>
    <row r="132" spans="1:7">
      <c r="A132" s="102" t="s">
        <v>359</v>
      </c>
      <c r="B132" s="1" t="s">
        <v>2637</v>
      </c>
      <c r="C132" s="3">
        <v>28</v>
      </c>
      <c r="D132" s="1" t="s">
        <v>2512</v>
      </c>
      <c r="E132" s="1" t="s">
        <v>2515</v>
      </c>
      <c r="F132" s="2">
        <v>44158</v>
      </c>
      <c r="G132" s="94" t="str">
        <f t="shared" si="2"/>
        <v>Delhi</v>
      </c>
    </row>
    <row r="133" spans="1:7">
      <c r="A133" s="102" t="s">
        <v>684</v>
      </c>
      <c r="B133" s="1" t="s">
        <v>2638</v>
      </c>
      <c r="C133" s="3">
        <v>41</v>
      </c>
      <c r="D133" s="1" t="s">
        <v>99</v>
      </c>
      <c r="E133" s="1" t="s">
        <v>2507</v>
      </c>
      <c r="F133" s="2">
        <v>44754</v>
      </c>
      <c r="G133" s="94" t="str">
        <f t="shared" si="2"/>
        <v>Delhi</v>
      </c>
    </row>
    <row r="134" spans="1:7">
      <c r="A134" s="102" t="s">
        <v>342</v>
      </c>
      <c r="B134" s="1" t="s">
        <v>2639</v>
      </c>
      <c r="C134" s="3">
        <v>26</v>
      </c>
      <c r="D134" s="1" t="s">
        <v>94</v>
      </c>
      <c r="E134" s="1" t="s">
        <v>2507</v>
      </c>
      <c r="F134" s="2">
        <v>43837</v>
      </c>
      <c r="G134" s="94" t="str">
        <f t="shared" si="2"/>
        <v>Chennai</v>
      </c>
    </row>
    <row r="135" spans="1:7">
      <c r="A135" s="102" t="s">
        <v>626</v>
      </c>
      <c r="B135" s="1" t="s">
        <v>2640</v>
      </c>
      <c r="C135" s="3">
        <v>40</v>
      </c>
      <c r="D135" s="1" t="s">
        <v>99</v>
      </c>
      <c r="E135" s="1" t="s">
        <v>2507</v>
      </c>
      <c r="F135" s="2">
        <v>45111</v>
      </c>
      <c r="G135" s="94" t="str">
        <f t="shared" si="2"/>
        <v>Delhi</v>
      </c>
    </row>
    <row r="136" spans="1:7">
      <c r="A136" s="102" t="s">
        <v>563</v>
      </c>
      <c r="B136" s="1" t="s">
        <v>2641</v>
      </c>
      <c r="C136" s="3">
        <v>24</v>
      </c>
      <c r="D136" s="1" t="s">
        <v>88</v>
      </c>
      <c r="E136" s="1" t="s">
        <v>2515</v>
      </c>
      <c r="F136" s="2">
        <v>44673</v>
      </c>
      <c r="G136" s="94" t="str">
        <f t="shared" si="2"/>
        <v>Pune</v>
      </c>
    </row>
    <row r="137" spans="1:7">
      <c r="A137" s="102" t="s">
        <v>850</v>
      </c>
      <c r="B137" s="1" t="s">
        <v>2642</v>
      </c>
      <c r="C137" s="3">
        <v>26</v>
      </c>
      <c r="D137" s="1" t="s">
        <v>94</v>
      </c>
      <c r="E137" s="1" t="s">
        <v>2515</v>
      </c>
      <c r="F137" s="2">
        <v>44122</v>
      </c>
      <c r="G137" s="94" t="str">
        <f t="shared" si="2"/>
        <v>Chennai</v>
      </c>
    </row>
    <row r="138" spans="1:7">
      <c r="A138" s="102" t="s">
        <v>447</v>
      </c>
      <c r="B138" s="1" t="s">
        <v>2601</v>
      </c>
      <c r="C138" s="3">
        <v>41</v>
      </c>
      <c r="D138" s="1" t="s">
        <v>112</v>
      </c>
      <c r="E138" s="1" t="s">
        <v>2507</v>
      </c>
      <c r="F138" s="2">
        <v>44946</v>
      </c>
      <c r="G138" s="94" t="str">
        <f t="shared" si="2"/>
        <v>Mumbai</v>
      </c>
    </row>
    <row r="139" spans="1:7">
      <c r="A139" s="102" t="s">
        <v>717</v>
      </c>
      <c r="B139" s="1" t="s">
        <v>2643</v>
      </c>
      <c r="C139" s="3">
        <v>24</v>
      </c>
      <c r="D139" s="1" t="s">
        <v>94</v>
      </c>
      <c r="E139" s="1" t="s">
        <v>2507</v>
      </c>
      <c r="F139" s="2">
        <v>43955</v>
      </c>
      <c r="G139" s="94" t="str">
        <f t="shared" si="2"/>
        <v>Chennai</v>
      </c>
    </row>
    <row r="140" spans="1:7">
      <c r="A140" s="102" t="s">
        <v>333</v>
      </c>
      <c r="B140" s="1" t="s">
        <v>2644</v>
      </c>
      <c r="C140" s="3">
        <v>65</v>
      </c>
      <c r="D140" s="1" t="s">
        <v>133</v>
      </c>
      <c r="E140" s="1" t="s">
        <v>2515</v>
      </c>
      <c r="F140" s="2">
        <v>43997</v>
      </c>
      <c r="G140" s="94" t="str">
        <f t="shared" si="2"/>
        <v>Hyderabad</v>
      </c>
    </row>
    <row r="141" spans="1:7">
      <c r="A141" s="102" t="s">
        <v>2053</v>
      </c>
      <c r="B141" s="1" t="s">
        <v>2645</v>
      </c>
      <c r="C141" s="3">
        <v>39</v>
      </c>
      <c r="D141" s="1" t="s">
        <v>133</v>
      </c>
      <c r="E141" s="1" t="s">
        <v>2515</v>
      </c>
      <c r="F141" s="2">
        <v>43854</v>
      </c>
      <c r="G141" s="94" t="str">
        <f t="shared" si="2"/>
        <v>Hyderabad</v>
      </c>
    </row>
    <row r="142" spans="1:7">
      <c r="A142" s="102" t="s">
        <v>628</v>
      </c>
      <c r="B142" s="1" t="s">
        <v>2646</v>
      </c>
      <c r="C142" s="3">
        <v>22</v>
      </c>
      <c r="D142" s="1" t="s">
        <v>133</v>
      </c>
      <c r="E142" s="1" t="s">
        <v>2509</v>
      </c>
      <c r="F142" s="2">
        <v>45069</v>
      </c>
      <c r="G142" s="94" t="str">
        <f t="shared" si="2"/>
        <v>Hyderabad</v>
      </c>
    </row>
    <row r="143" spans="1:7">
      <c r="A143" s="102" t="s">
        <v>178</v>
      </c>
      <c r="B143" s="1" t="s">
        <v>2589</v>
      </c>
      <c r="C143" s="3">
        <v>55</v>
      </c>
      <c r="D143" s="1" t="s">
        <v>2647</v>
      </c>
      <c r="E143" s="1" t="s">
        <v>2509</v>
      </c>
      <c r="F143" s="2">
        <v>44597</v>
      </c>
      <c r="G143" s="94" t="str">
        <f t="shared" si="2"/>
        <v>Chennai</v>
      </c>
    </row>
    <row r="144" spans="1:7">
      <c r="A144" s="102" t="s">
        <v>186</v>
      </c>
      <c r="B144" s="1" t="s">
        <v>2648</v>
      </c>
      <c r="C144" s="3">
        <v>52</v>
      </c>
      <c r="D144" s="1" t="s">
        <v>94</v>
      </c>
      <c r="E144" s="1" t="s">
        <v>2515</v>
      </c>
      <c r="F144" s="2">
        <v>44194</v>
      </c>
      <c r="G144" s="94" t="str">
        <f t="shared" si="2"/>
        <v>Chennai</v>
      </c>
    </row>
    <row r="145" spans="1:7">
      <c r="A145" s="102" t="s">
        <v>1065</v>
      </c>
      <c r="B145" s="1" t="s">
        <v>2649</v>
      </c>
      <c r="C145" s="3">
        <v>49</v>
      </c>
      <c r="D145" s="1" t="s">
        <v>94</v>
      </c>
      <c r="E145" s="1" t="s">
        <v>2507</v>
      </c>
      <c r="F145" s="2">
        <v>44931</v>
      </c>
      <c r="G145" s="94" t="str">
        <f t="shared" si="2"/>
        <v>Chennai</v>
      </c>
    </row>
    <row r="146" spans="1:7">
      <c r="A146" s="102" t="s">
        <v>376</v>
      </c>
      <c r="B146" s="1" t="s">
        <v>2650</v>
      </c>
      <c r="C146" s="3">
        <v>44</v>
      </c>
      <c r="D146" s="1" t="s">
        <v>117</v>
      </c>
      <c r="E146" s="1" t="s">
        <v>2515</v>
      </c>
      <c r="F146" s="2">
        <v>44009</v>
      </c>
      <c r="G146" s="94" t="str">
        <f t="shared" si="2"/>
        <v>Bengaluru</v>
      </c>
    </row>
    <row r="147" spans="1:7">
      <c r="A147" s="102" t="s">
        <v>418</v>
      </c>
      <c r="B147" s="1" t="s">
        <v>2651</v>
      </c>
      <c r="C147" s="3">
        <v>22</v>
      </c>
      <c r="D147" s="1" t="s">
        <v>133</v>
      </c>
      <c r="E147" s="1" t="s">
        <v>2507</v>
      </c>
      <c r="F147" s="2">
        <v>44681</v>
      </c>
      <c r="G147" s="94" t="str">
        <f t="shared" si="2"/>
        <v>Hyderabad</v>
      </c>
    </row>
    <row r="148" spans="1:7">
      <c r="A148" s="102" t="s">
        <v>126</v>
      </c>
      <c r="B148" s="1" t="s">
        <v>2652</v>
      </c>
      <c r="C148" s="3">
        <v>56</v>
      </c>
      <c r="D148" s="1" t="s">
        <v>88</v>
      </c>
      <c r="E148" s="1" t="s">
        <v>2507</v>
      </c>
      <c r="F148" s="2">
        <v>44644</v>
      </c>
      <c r="G148" s="94" t="str">
        <f t="shared" si="2"/>
        <v>Pune</v>
      </c>
    </row>
    <row r="149" spans="1:7">
      <c r="A149" s="102" t="s">
        <v>823</v>
      </c>
      <c r="B149" s="1" t="s">
        <v>2653</v>
      </c>
      <c r="C149" s="3">
        <v>32</v>
      </c>
      <c r="D149" s="1" t="s">
        <v>94</v>
      </c>
      <c r="E149" s="1" t="s">
        <v>2507</v>
      </c>
      <c r="F149" s="2">
        <v>44014</v>
      </c>
      <c r="G149" s="94" t="str">
        <f t="shared" si="2"/>
        <v>Chennai</v>
      </c>
    </row>
    <row r="150" spans="1:7">
      <c r="A150" s="102" t="s">
        <v>388</v>
      </c>
      <c r="B150" s="1" t="s">
        <v>2654</v>
      </c>
      <c r="C150" s="3">
        <v>44</v>
      </c>
      <c r="D150" s="1" t="s">
        <v>1821</v>
      </c>
      <c r="E150" s="1" t="s">
        <v>2507</v>
      </c>
      <c r="F150" s="2">
        <v>44390</v>
      </c>
      <c r="G150" s="94" t="str">
        <f t="shared" si="2"/>
        <v>Hyderabad</v>
      </c>
    </row>
    <row r="151" spans="1:7">
      <c r="A151" s="102" t="s">
        <v>407</v>
      </c>
      <c r="B151" s="1" t="s">
        <v>2644</v>
      </c>
      <c r="C151" s="3">
        <v>53</v>
      </c>
      <c r="D151" s="1" t="s">
        <v>88</v>
      </c>
      <c r="E151" s="1" t="s">
        <v>2515</v>
      </c>
      <c r="F151" s="2">
        <v>45208</v>
      </c>
      <c r="G151" s="94" t="str">
        <f t="shared" si="2"/>
        <v>Pune</v>
      </c>
    </row>
    <row r="152" spans="1:7">
      <c r="A152" s="102" t="s">
        <v>615</v>
      </c>
      <c r="B152" s="1" t="s">
        <v>2655</v>
      </c>
      <c r="C152" s="3">
        <v>53</v>
      </c>
      <c r="D152" s="1" t="s">
        <v>112</v>
      </c>
      <c r="E152" s="1" t="s">
        <v>2507</v>
      </c>
      <c r="F152" s="2">
        <v>43999</v>
      </c>
      <c r="G152" s="94" t="str">
        <f t="shared" si="2"/>
        <v>Mumbai</v>
      </c>
    </row>
    <row r="153" spans="1:7">
      <c r="A153" s="102" t="s">
        <v>231</v>
      </c>
      <c r="B153" s="1" t="s">
        <v>2656</v>
      </c>
      <c r="C153" s="3">
        <v>64</v>
      </c>
      <c r="D153" s="1" t="s">
        <v>117</v>
      </c>
      <c r="E153" s="1" t="s">
        <v>2515</v>
      </c>
      <c r="F153" s="2">
        <v>44209</v>
      </c>
      <c r="G153" s="94" t="str">
        <f t="shared" si="2"/>
        <v>Bengaluru</v>
      </c>
    </row>
    <row r="154" spans="1:7">
      <c r="A154" s="102" t="s">
        <v>686</v>
      </c>
      <c r="B154" s="1" t="s">
        <v>2657</v>
      </c>
      <c r="C154" s="3">
        <v>35</v>
      </c>
      <c r="D154" s="1" t="s">
        <v>112</v>
      </c>
      <c r="E154" s="1" t="s">
        <v>2507</v>
      </c>
      <c r="F154" s="2">
        <v>44787</v>
      </c>
      <c r="G154" s="94" t="str">
        <f t="shared" si="2"/>
        <v>Mumbai</v>
      </c>
    </row>
    <row r="155" spans="1:7">
      <c r="A155" s="102" t="s">
        <v>807</v>
      </c>
      <c r="B155" s="1" t="s">
        <v>2658</v>
      </c>
      <c r="C155" s="3">
        <v>36</v>
      </c>
      <c r="D155" s="1" t="s">
        <v>88</v>
      </c>
      <c r="E155" s="1" t="s">
        <v>2507</v>
      </c>
      <c r="F155" s="2">
        <v>44370</v>
      </c>
      <c r="G155" s="94" t="str">
        <f t="shared" si="2"/>
        <v>Pune</v>
      </c>
    </row>
    <row r="156" spans="1:7">
      <c r="A156" s="102" t="s">
        <v>608</v>
      </c>
      <c r="B156" s="1" t="s">
        <v>2659</v>
      </c>
      <c r="C156" s="3">
        <v>40</v>
      </c>
      <c r="D156" s="1" t="s">
        <v>88</v>
      </c>
      <c r="E156" s="1" t="s">
        <v>2509</v>
      </c>
      <c r="F156" s="2">
        <v>44693</v>
      </c>
      <c r="G156" s="94" t="str">
        <f t="shared" si="2"/>
        <v>Pune</v>
      </c>
    </row>
    <row r="157" spans="1:7">
      <c r="A157" s="102" t="s">
        <v>1036</v>
      </c>
      <c r="B157" s="1" t="s">
        <v>2660</v>
      </c>
      <c r="C157" s="3">
        <v>33</v>
      </c>
      <c r="D157" s="1" t="s">
        <v>112</v>
      </c>
      <c r="E157" s="1" t="s">
        <v>2507</v>
      </c>
      <c r="F157" s="2">
        <v>45229</v>
      </c>
      <c r="G157" s="94" t="str">
        <f t="shared" si="2"/>
        <v>Mumbai</v>
      </c>
    </row>
    <row r="158" spans="1:7">
      <c r="A158" s="102" t="s">
        <v>703</v>
      </c>
      <c r="B158" s="1" t="s">
        <v>2661</v>
      </c>
      <c r="C158" s="3">
        <v>52</v>
      </c>
      <c r="D158" s="1" t="s">
        <v>88</v>
      </c>
      <c r="E158" s="1" t="s">
        <v>2509</v>
      </c>
      <c r="F158" s="2">
        <v>44896</v>
      </c>
      <c r="G158" s="94" t="str">
        <f t="shared" si="2"/>
        <v>Pune</v>
      </c>
    </row>
    <row r="159" spans="1:7">
      <c r="A159" s="102" t="s">
        <v>1096</v>
      </c>
      <c r="B159" s="1" t="s">
        <v>2662</v>
      </c>
      <c r="C159" s="3">
        <v>42</v>
      </c>
      <c r="D159" s="1" t="s">
        <v>88</v>
      </c>
      <c r="E159" s="1" t="s">
        <v>2509</v>
      </c>
      <c r="F159" s="2">
        <v>44617</v>
      </c>
      <c r="G159" s="94" t="str">
        <f t="shared" si="2"/>
        <v>Pune</v>
      </c>
    </row>
    <row r="160" spans="1:7">
      <c r="A160" s="102" t="s">
        <v>166</v>
      </c>
      <c r="B160" s="1" t="s">
        <v>2663</v>
      </c>
      <c r="C160" s="3">
        <v>32</v>
      </c>
      <c r="D160" s="1" t="s">
        <v>2635</v>
      </c>
      <c r="E160" s="1" t="s">
        <v>2507</v>
      </c>
      <c r="F160" s="2">
        <v>44432</v>
      </c>
      <c r="G160" s="94" t="str">
        <f t="shared" si="2"/>
        <v>Hyderabad</v>
      </c>
    </row>
    <row r="161" spans="1:7">
      <c r="A161" s="102" t="s">
        <v>655</v>
      </c>
      <c r="B161" s="1" t="s">
        <v>2664</v>
      </c>
      <c r="C161" s="3">
        <v>27</v>
      </c>
      <c r="D161" s="1" t="s">
        <v>133</v>
      </c>
      <c r="E161" s="1" t="s">
        <v>2507</v>
      </c>
      <c r="F161" s="2">
        <v>44481</v>
      </c>
      <c r="G161" s="94" t="str">
        <f t="shared" si="2"/>
        <v>Hyderabad</v>
      </c>
    </row>
    <row r="162" spans="1:7">
      <c r="A162" s="102" t="s">
        <v>289</v>
      </c>
      <c r="B162" s="1" t="s">
        <v>2665</v>
      </c>
      <c r="C162" s="3">
        <v>38</v>
      </c>
      <c r="D162" s="1" t="s">
        <v>94</v>
      </c>
      <c r="E162" s="1" t="s">
        <v>2507</v>
      </c>
      <c r="F162" s="2">
        <v>43880</v>
      </c>
      <c r="G162" s="94" t="str">
        <f t="shared" si="2"/>
        <v>Chennai</v>
      </c>
    </row>
    <row r="163" spans="1:7">
      <c r="A163" s="102" t="s">
        <v>520</v>
      </c>
      <c r="B163" s="1" t="s">
        <v>2666</v>
      </c>
      <c r="C163" s="3">
        <v>35</v>
      </c>
      <c r="D163" s="1" t="s">
        <v>112</v>
      </c>
      <c r="E163" s="1" t="s">
        <v>2509</v>
      </c>
      <c r="F163" s="2">
        <v>44741</v>
      </c>
      <c r="G163" s="94" t="str">
        <f t="shared" si="2"/>
        <v>Mumbai</v>
      </c>
    </row>
    <row r="164" spans="1:7">
      <c r="A164" s="102" t="s">
        <v>485</v>
      </c>
      <c r="B164" s="1" t="s">
        <v>2533</v>
      </c>
      <c r="C164" s="3">
        <v>49</v>
      </c>
      <c r="D164" s="1" t="s">
        <v>88</v>
      </c>
      <c r="E164" s="1" t="s">
        <v>2507</v>
      </c>
      <c r="F164" s="2">
        <v>44971</v>
      </c>
      <c r="G164" s="94" t="str">
        <f t="shared" si="2"/>
        <v>Pune</v>
      </c>
    </row>
    <row r="165" spans="1:7">
      <c r="A165" s="102" t="s">
        <v>353</v>
      </c>
      <c r="B165" s="1" t="s">
        <v>2518</v>
      </c>
      <c r="C165" s="3">
        <v>60</v>
      </c>
      <c r="D165" s="1" t="s">
        <v>94</v>
      </c>
      <c r="E165" s="1" t="s">
        <v>2507</v>
      </c>
      <c r="F165" s="2">
        <v>44739</v>
      </c>
      <c r="G165" s="94" t="str">
        <f t="shared" si="2"/>
        <v>Chennai</v>
      </c>
    </row>
    <row r="166" spans="1:7">
      <c r="A166" s="102" t="s">
        <v>457</v>
      </c>
      <c r="B166" s="1" t="s">
        <v>2552</v>
      </c>
      <c r="C166" s="3">
        <v>29</v>
      </c>
      <c r="D166" s="1" t="s">
        <v>88</v>
      </c>
      <c r="E166" s="1" t="s">
        <v>2507</v>
      </c>
      <c r="F166" s="2">
        <v>44046</v>
      </c>
      <c r="G166" s="94" t="str">
        <f t="shared" si="2"/>
        <v>Pune</v>
      </c>
    </row>
    <row r="167" spans="1:7">
      <c r="A167" s="102" t="s">
        <v>669</v>
      </c>
      <c r="B167" s="1" t="s">
        <v>2667</v>
      </c>
      <c r="C167" s="3">
        <v>31</v>
      </c>
      <c r="D167" s="1" t="s">
        <v>133</v>
      </c>
      <c r="E167" s="1" t="s">
        <v>2507</v>
      </c>
      <c r="F167" s="2">
        <v>44331</v>
      </c>
      <c r="G167" s="94" t="str">
        <f t="shared" si="2"/>
        <v>Hyderabad</v>
      </c>
    </row>
    <row r="168" spans="1:7">
      <c r="A168" s="102" t="s">
        <v>638</v>
      </c>
      <c r="B168" s="1" t="s">
        <v>2668</v>
      </c>
      <c r="C168" s="3">
        <v>43</v>
      </c>
      <c r="D168" s="1" t="s">
        <v>99</v>
      </c>
      <c r="E168" s="1" t="s">
        <v>2507</v>
      </c>
      <c r="F168" s="2">
        <v>44891</v>
      </c>
      <c r="G168" s="94" t="str">
        <f t="shared" si="2"/>
        <v>Delhi</v>
      </c>
    </row>
    <row r="169" spans="1:7">
      <c r="A169" s="102" t="s">
        <v>281</v>
      </c>
      <c r="B169" s="1" t="s">
        <v>2669</v>
      </c>
      <c r="C169" s="3">
        <v>25</v>
      </c>
      <c r="D169" s="1" t="s">
        <v>88</v>
      </c>
      <c r="E169" s="1" t="s">
        <v>2507</v>
      </c>
      <c r="F169" s="2">
        <v>44406</v>
      </c>
      <c r="G169" s="94" t="str">
        <f t="shared" si="2"/>
        <v>Pune</v>
      </c>
    </row>
    <row r="170" spans="1:7">
      <c r="A170" s="102" t="s">
        <v>610</v>
      </c>
      <c r="B170" s="1" t="s">
        <v>2670</v>
      </c>
      <c r="C170" s="3">
        <v>42</v>
      </c>
      <c r="D170" s="1" t="s">
        <v>117</v>
      </c>
      <c r="E170" s="1" t="s">
        <v>2515</v>
      </c>
      <c r="F170" s="2">
        <v>45072</v>
      </c>
      <c r="G170" s="94" t="str">
        <f t="shared" si="2"/>
        <v>Bengaluru</v>
      </c>
    </row>
    <row r="171" spans="1:7">
      <c r="A171" s="102" t="s">
        <v>350</v>
      </c>
      <c r="B171" s="1" t="s">
        <v>2671</v>
      </c>
      <c r="C171" s="3">
        <v>22</v>
      </c>
      <c r="D171" s="1" t="s">
        <v>112</v>
      </c>
      <c r="E171" s="1" t="s">
        <v>2515</v>
      </c>
      <c r="F171" s="2">
        <v>45110</v>
      </c>
      <c r="G171" s="94" t="str">
        <f t="shared" si="2"/>
        <v>Mumbai</v>
      </c>
    </row>
    <row r="172" spans="1:7">
      <c r="A172" s="102" t="s">
        <v>589</v>
      </c>
      <c r="B172" s="1" t="s">
        <v>2672</v>
      </c>
      <c r="C172" s="3">
        <v>30</v>
      </c>
      <c r="D172" s="1" t="s">
        <v>94</v>
      </c>
      <c r="E172" s="1" t="s">
        <v>2509</v>
      </c>
      <c r="F172" s="2">
        <v>44540</v>
      </c>
      <c r="G172" s="94" t="str">
        <f t="shared" si="2"/>
        <v>Chennai</v>
      </c>
    </row>
    <row r="173" spans="1:7">
      <c r="A173" s="102" t="s">
        <v>442</v>
      </c>
      <c r="B173" s="1" t="s">
        <v>2673</v>
      </c>
      <c r="C173" s="3">
        <v>65</v>
      </c>
      <c r="D173" s="1" t="s">
        <v>88</v>
      </c>
      <c r="E173" s="1" t="s">
        <v>2507</v>
      </c>
      <c r="F173" s="2">
        <v>44918</v>
      </c>
      <c r="G173" s="94" t="str">
        <f t="shared" si="2"/>
        <v>Pune</v>
      </c>
    </row>
    <row r="174" spans="1:7">
      <c r="A174" s="102" t="s">
        <v>553</v>
      </c>
      <c r="B174" s="1" t="s">
        <v>2674</v>
      </c>
      <c r="C174" s="3">
        <v>65</v>
      </c>
      <c r="D174" s="1" t="s">
        <v>112</v>
      </c>
      <c r="E174" s="1" t="s">
        <v>2507</v>
      </c>
      <c r="F174" s="2">
        <v>44342</v>
      </c>
      <c r="G174" s="94" t="str">
        <f t="shared" si="2"/>
        <v>Mumbai</v>
      </c>
    </row>
    <row r="175" spans="1:7">
      <c r="A175" s="102" t="s">
        <v>945</v>
      </c>
      <c r="B175" s="1" t="s">
        <v>2675</v>
      </c>
      <c r="C175" s="3">
        <v>54</v>
      </c>
      <c r="D175" s="1" t="s">
        <v>88</v>
      </c>
      <c r="E175" s="1" t="s">
        <v>2507</v>
      </c>
      <c r="F175" s="2">
        <v>44609</v>
      </c>
      <c r="G175" s="94" t="str">
        <f t="shared" si="2"/>
        <v>Pune</v>
      </c>
    </row>
    <row r="176" spans="1:7">
      <c r="A176" s="102" t="s">
        <v>266</v>
      </c>
      <c r="B176" s="1" t="s">
        <v>2676</v>
      </c>
      <c r="C176" s="3">
        <v>55</v>
      </c>
      <c r="D176" s="1" t="s">
        <v>99</v>
      </c>
      <c r="E176" s="1" t="s">
        <v>2509</v>
      </c>
      <c r="F176" s="2">
        <v>44423</v>
      </c>
      <c r="G176" s="94" t="str">
        <f t="shared" si="2"/>
        <v>Delhi</v>
      </c>
    </row>
    <row r="177" spans="1:7">
      <c r="A177" s="102" t="s">
        <v>250</v>
      </c>
      <c r="B177" s="1" t="s">
        <v>2677</v>
      </c>
      <c r="C177" s="3">
        <v>34</v>
      </c>
      <c r="D177" s="1" t="s">
        <v>117</v>
      </c>
      <c r="E177" s="1" t="s">
        <v>2515</v>
      </c>
      <c r="F177" s="2">
        <v>44091</v>
      </c>
      <c r="G177" s="94" t="str">
        <f t="shared" si="2"/>
        <v>Bengaluru</v>
      </c>
    </row>
    <row r="178" spans="1:7">
      <c r="A178" s="102" t="s">
        <v>212</v>
      </c>
      <c r="B178" s="1" t="s">
        <v>2604</v>
      </c>
      <c r="C178" s="3">
        <v>36</v>
      </c>
      <c r="D178" s="1" t="s">
        <v>112</v>
      </c>
      <c r="E178" s="1" t="s">
        <v>2515</v>
      </c>
      <c r="F178" s="2">
        <v>44589</v>
      </c>
      <c r="G178" s="94" t="str">
        <f t="shared" si="2"/>
        <v>Mumbai</v>
      </c>
    </row>
    <row r="179" spans="1:7">
      <c r="A179" s="102" t="s">
        <v>544</v>
      </c>
      <c r="B179" s="1" t="s">
        <v>2678</v>
      </c>
      <c r="C179" s="3">
        <v>25</v>
      </c>
      <c r="D179" s="1" t="s">
        <v>133</v>
      </c>
      <c r="E179" s="1" t="s">
        <v>2507</v>
      </c>
      <c r="F179" s="2">
        <v>45164</v>
      </c>
      <c r="G179" s="94" t="str">
        <f t="shared" si="2"/>
        <v>Hyderabad</v>
      </c>
    </row>
    <row r="180" spans="1:7">
      <c r="A180" s="102" t="s">
        <v>1062</v>
      </c>
      <c r="B180" s="1" t="s">
        <v>2679</v>
      </c>
      <c r="C180" s="3">
        <v>54</v>
      </c>
      <c r="D180" s="1" t="s">
        <v>112</v>
      </c>
      <c r="E180" s="1" t="s">
        <v>2515</v>
      </c>
      <c r="F180" s="2">
        <v>44959</v>
      </c>
      <c r="G180" s="94" t="str">
        <f t="shared" si="2"/>
        <v>Mumbai</v>
      </c>
    </row>
    <row r="181" spans="1:7">
      <c r="A181" s="102" t="s">
        <v>105</v>
      </c>
      <c r="B181" s="1" t="s">
        <v>2680</v>
      </c>
      <c r="C181" s="3">
        <v>36</v>
      </c>
      <c r="D181" s="1" t="s">
        <v>94</v>
      </c>
      <c r="E181" s="1" t="s">
        <v>2507</v>
      </c>
      <c r="F181" s="2">
        <v>45172</v>
      </c>
      <c r="G181" s="94" t="str">
        <f t="shared" si="2"/>
        <v>Chennai</v>
      </c>
    </row>
    <row r="182" spans="1:7">
      <c r="A182" s="102" t="s">
        <v>357</v>
      </c>
      <c r="B182" s="1" t="s">
        <v>2681</v>
      </c>
      <c r="C182" s="3">
        <v>38</v>
      </c>
      <c r="D182" s="1" t="s">
        <v>99</v>
      </c>
      <c r="E182" s="1" t="s">
        <v>2515</v>
      </c>
      <c r="F182" s="2">
        <v>44245</v>
      </c>
      <c r="G182" s="94" t="str">
        <f t="shared" si="2"/>
        <v>Delhi</v>
      </c>
    </row>
    <row r="183" spans="1:7">
      <c r="A183" s="102" t="s">
        <v>160</v>
      </c>
      <c r="B183" s="1" t="s">
        <v>2682</v>
      </c>
      <c r="C183" s="3">
        <v>54</v>
      </c>
      <c r="D183" s="1" t="s">
        <v>112</v>
      </c>
      <c r="E183" s="1" t="s">
        <v>2507</v>
      </c>
      <c r="F183" s="2">
        <v>43942</v>
      </c>
      <c r="G183" s="94" t="str">
        <f t="shared" si="2"/>
        <v>Mumbai</v>
      </c>
    </row>
    <row r="184" spans="1:7">
      <c r="A184" s="102" t="s">
        <v>643</v>
      </c>
      <c r="B184" s="1" t="s">
        <v>2683</v>
      </c>
      <c r="C184" s="3">
        <v>27</v>
      </c>
      <c r="D184" s="1" t="s">
        <v>112</v>
      </c>
      <c r="E184" s="1" t="s">
        <v>2515</v>
      </c>
      <c r="F184" s="2">
        <v>43936</v>
      </c>
      <c r="G184" s="94" t="str">
        <f t="shared" si="2"/>
        <v>Mumbai</v>
      </c>
    </row>
    <row r="185" spans="1:7">
      <c r="A185" s="102" t="s">
        <v>150</v>
      </c>
      <c r="B185" s="1" t="s">
        <v>2684</v>
      </c>
      <c r="C185" s="3">
        <v>63</v>
      </c>
      <c r="D185" s="1" t="s">
        <v>88</v>
      </c>
      <c r="E185" s="1" t="s">
        <v>2507</v>
      </c>
      <c r="F185" s="2">
        <v>44642</v>
      </c>
      <c r="G185" s="94" t="str">
        <f t="shared" si="2"/>
        <v>Pune</v>
      </c>
    </row>
    <row r="186" spans="1:7">
      <c r="A186" s="102" t="s">
        <v>561</v>
      </c>
      <c r="B186" s="1" t="s">
        <v>2685</v>
      </c>
      <c r="C186" s="3">
        <v>43</v>
      </c>
      <c r="D186" s="1" t="s">
        <v>133</v>
      </c>
      <c r="E186" s="1" t="s">
        <v>2515</v>
      </c>
      <c r="F186" s="2">
        <v>44140</v>
      </c>
      <c r="G186" s="94" t="str">
        <f t="shared" si="2"/>
        <v>Hyderabad</v>
      </c>
    </row>
    <row r="187" spans="1:7">
      <c r="A187" s="102" t="s">
        <v>214</v>
      </c>
      <c r="B187" s="1" t="s">
        <v>2674</v>
      </c>
      <c r="C187" s="3">
        <v>42</v>
      </c>
      <c r="D187" s="1" t="s">
        <v>117</v>
      </c>
      <c r="E187" s="1" t="s">
        <v>2507</v>
      </c>
      <c r="F187" s="2">
        <v>45162</v>
      </c>
      <c r="G187" s="94" t="str">
        <f t="shared" si="2"/>
        <v>Bengaluru</v>
      </c>
    </row>
    <row r="188" spans="1:7">
      <c r="A188" s="102" t="s">
        <v>401</v>
      </c>
      <c r="B188" s="1" t="s">
        <v>2686</v>
      </c>
      <c r="C188" s="3">
        <v>51</v>
      </c>
      <c r="D188" s="1" t="s">
        <v>94</v>
      </c>
      <c r="E188" s="1" t="s">
        <v>2515</v>
      </c>
      <c r="F188" s="2">
        <v>43918</v>
      </c>
      <c r="G188" s="94" t="str">
        <f t="shared" si="2"/>
        <v>Chennai</v>
      </c>
    </row>
    <row r="189" spans="1:7">
      <c r="A189" s="102" t="s">
        <v>1261</v>
      </c>
      <c r="B189" s="1" t="s">
        <v>2687</v>
      </c>
      <c r="C189" s="3">
        <v>54</v>
      </c>
      <c r="D189" s="1" t="s">
        <v>117</v>
      </c>
      <c r="E189" s="1" t="s">
        <v>2507</v>
      </c>
      <c r="F189" s="2">
        <v>44476</v>
      </c>
      <c r="G189" s="94" t="str">
        <f t="shared" si="2"/>
        <v>Bengaluru</v>
      </c>
    </row>
    <row r="190" spans="1:7">
      <c r="A190" s="102" t="s">
        <v>301</v>
      </c>
      <c r="B190" s="1" t="s">
        <v>2688</v>
      </c>
      <c r="C190" s="3">
        <v>41</v>
      </c>
      <c r="D190" s="1" t="s">
        <v>94</v>
      </c>
      <c r="E190" s="1" t="s">
        <v>2507</v>
      </c>
      <c r="F190" s="2">
        <v>44392</v>
      </c>
      <c r="G190" s="94" t="str">
        <f t="shared" si="2"/>
        <v>Chennai</v>
      </c>
    </row>
    <row r="191" spans="1:7">
      <c r="A191" s="102" t="s">
        <v>828</v>
      </c>
      <c r="B191" s="1" t="s">
        <v>2689</v>
      </c>
      <c r="C191" s="3">
        <v>52</v>
      </c>
      <c r="D191" s="1" t="s">
        <v>133</v>
      </c>
      <c r="E191" s="1" t="s">
        <v>2507</v>
      </c>
      <c r="F191" s="2">
        <v>44668</v>
      </c>
      <c r="G191" s="94" t="str">
        <f t="shared" si="2"/>
        <v>Hyderabad</v>
      </c>
    </row>
    <row r="192" spans="1:7">
      <c r="A192" s="102" t="s">
        <v>294</v>
      </c>
      <c r="B192" s="1" t="s">
        <v>2690</v>
      </c>
      <c r="C192" s="3">
        <v>43</v>
      </c>
      <c r="D192" s="1" t="s">
        <v>133</v>
      </c>
      <c r="E192" s="1" t="s">
        <v>2515</v>
      </c>
      <c r="F192" s="2">
        <v>44080</v>
      </c>
      <c r="G192" s="94" t="str">
        <f t="shared" si="2"/>
        <v>Hyderabad</v>
      </c>
    </row>
    <row r="193" spans="1:7">
      <c r="A193" s="102" t="s">
        <v>429</v>
      </c>
      <c r="B193" s="1" t="s">
        <v>2691</v>
      </c>
      <c r="C193" s="3">
        <v>55</v>
      </c>
      <c r="D193" s="1" t="s">
        <v>117</v>
      </c>
      <c r="E193" s="1" t="s">
        <v>2507</v>
      </c>
      <c r="F193" s="2">
        <v>44663</v>
      </c>
      <c r="G193" s="94" t="str">
        <f t="shared" si="2"/>
        <v>Bengaluru</v>
      </c>
    </row>
    <row r="194" spans="1:7">
      <c r="A194" s="102" t="s">
        <v>310</v>
      </c>
      <c r="B194" s="1" t="s">
        <v>2692</v>
      </c>
      <c r="C194" s="3">
        <v>42</v>
      </c>
      <c r="D194" s="1" t="s">
        <v>117</v>
      </c>
      <c r="E194" s="1" t="s">
        <v>2507</v>
      </c>
      <c r="F194" s="2">
        <v>43886</v>
      </c>
      <c r="G194" s="94" t="str">
        <f t="shared" si="2"/>
        <v>Bengaluru</v>
      </c>
    </row>
    <row r="195" spans="1:7">
      <c r="A195" s="102" t="s">
        <v>258</v>
      </c>
      <c r="B195" s="1" t="s">
        <v>2543</v>
      </c>
      <c r="C195" s="3">
        <v>55</v>
      </c>
      <c r="D195" s="1" t="s">
        <v>99</v>
      </c>
      <c r="E195" s="1" t="s">
        <v>2515</v>
      </c>
      <c r="F195" s="2">
        <v>43869</v>
      </c>
      <c r="G195" s="94" t="str">
        <f t="shared" ref="G195:G258" si="3">PROPER(D195)</f>
        <v>Delhi</v>
      </c>
    </row>
    <row r="196" spans="1:7">
      <c r="A196" s="102" t="s">
        <v>921</v>
      </c>
      <c r="B196" s="1" t="s">
        <v>2693</v>
      </c>
      <c r="C196" s="3">
        <v>28</v>
      </c>
      <c r="D196" s="1" t="s">
        <v>117</v>
      </c>
      <c r="E196" s="1" t="s">
        <v>2507</v>
      </c>
      <c r="F196" s="2">
        <v>44056</v>
      </c>
      <c r="G196" s="94" t="str">
        <f t="shared" si="3"/>
        <v>Bengaluru</v>
      </c>
    </row>
    <row r="197" spans="1:7">
      <c r="A197" s="102" t="s">
        <v>680</v>
      </c>
      <c r="B197" s="1" t="s">
        <v>2694</v>
      </c>
      <c r="C197" s="3">
        <v>26</v>
      </c>
      <c r="D197" s="1" t="s">
        <v>94</v>
      </c>
      <c r="E197" s="1" t="s">
        <v>2507</v>
      </c>
      <c r="F197" s="2">
        <v>44738</v>
      </c>
      <c r="G197" s="94" t="str">
        <f t="shared" si="3"/>
        <v>Chennai</v>
      </c>
    </row>
    <row r="198" spans="1:7">
      <c r="A198" s="102" t="s">
        <v>463</v>
      </c>
      <c r="B198" s="1" t="s">
        <v>2695</v>
      </c>
      <c r="C198" s="3">
        <v>55</v>
      </c>
      <c r="D198" s="1" t="s">
        <v>117</v>
      </c>
      <c r="E198" s="1" t="s">
        <v>2507</v>
      </c>
      <c r="F198" s="2">
        <v>44715</v>
      </c>
      <c r="G198" s="94" t="str">
        <f t="shared" si="3"/>
        <v>Bengaluru</v>
      </c>
    </row>
    <row r="199" spans="1:7">
      <c r="A199" s="102" t="s">
        <v>621</v>
      </c>
      <c r="B199" s="1" t="s">
        <v>2696</v>
      </c>
      <c r="C199" s="3">
        <v>22</v>
      </c>
      <c r="D199" s="1" t="s">
        <v>94</v>
      </c>
      <c r="E199" s="1" t="s">
        <v>2509</v>
      </c>
      <c r="F199" s="2">
        <v>44907</v>
      </c>
      <c r="G199" s="94" t="str">
        <f t="shared" si="3"/>
        <v>Chennai</v>
      </c>
    </row>
    <row r="200" spans="1:7">
      <c r="A200" s="102" t="s">
        <v>966</v>
      </c>
      <c r="B200" s="1" t="s">
        <v>2697</v>
      </c>
      <c r="C200" s="3">
        <v>31</v>
      </c>
      <c r="D200" s="1" t="s">
        <v>133</v>
      </c>
      <c r="E200" s="1" t="s">
        <v>2515</v>
      </c>
      <c r="F200" s="2">
        <v>44821</v>
      </c>
      <c r="G200" s="94" t="str">
        <f t="shared" si="3"/>
        <v>Hyderabad</v>
      </c>
    </row>
    <row r="201" spans="1:7">
      <c r="A201" s="102" t="s">
        <v>305</v>
      </c>
      <c r="B201" s="1" t="s">
        <v>2641</v>
      </c>
      <c r="C201" s="3">
        <v>46</v>
      </c>
      <c r="D201" s="1" t="s">
        <v>2635</v>
      </c>
      <c r="E201" s="1" t="s">
        <v>2509</v>
      </c>
      <c r="F201" s="2">
        <v>44396</v>
      </c>
      <c r="G201" s="94" t="str">
        <f t="shared" si="3"/>
        <v>Hyderabad</v>
      </c>
    </row>
    <row r="202" spans="1:7">
      <c r="A202" s="102" t="s">
        <v>908</v>
      </c>
      <c r="B202" s="1" t="s">
        <v>2698</v>
      </c>
      <c r="C202" s="3">
        <v>31</v>
      </c>
      <c r="D202" s="1" t="s">
        <v>133</v>
      </c>
      <c r="E202" s="1" t="s">
        <v>2507</v>
      </c>
      <c r="F202" s="2">
        <v>44629</v>
      </c>
      <c r="G202" s="94" t="str">
        <f t="shared" si="3"/>
        <v>Hyderabad</v>
      </c>
    </row>
    <row r="203" spans="1:7">
      <c r="A203" s="102" t="s">
        <v>90</v>
      </c>
      <c r="B203" s="1" t="s">
        <v>2699</v>
      </c>
      <c r="C203" s="3">
        <v>39</v>
      </c>
      <c r="D203" s="1" t="s">
        <v>94</v>
      </c>
      <c r="E203" s="1" t="s">
        <v>2507</v>
      </c>
      <c r="F203" s="2">
        <v>44149</v>
      </c>
      <c r="G203" s="94" t="str">
        <f t="shared" si="3"/>
        <v>Chennai</v>
      </c>
    </row>
    <row r="204" spans="1:7">
      <c r="A204" s="102" t="s">
        <v>272</v>
      </c>
      <c r="B204" s="1" t="s">
        <v>2700</v>
      </c>
      <c r="C204" s="3">
        <v>55</v>
      </c>
      <c r="D204" s="1" t="s">
        <v>94</v>
      </c>
      <c r="E204" s="1" t="s">
        <v>2515</v>
      </c>
      <c r="F204" s="2">
        <v>44912</v>
      </c>
      <c r="G204" s="94" t="str">
        <f t="shared" si="3"/>
        <v>Chennai</v>
      </c>
    </row>
    <row r="205" spans="1:7">
      <c r="A205" s="102" t="s">
        <v>130</v>
      </c>
      <c r="B205" s="1" t="s">
        <v>2701</v>
      </c>
      <c r="C205" s="3">
        <v>60</v>
      </c>
      <c r="D205" s="1" t="s">
        <v>133</v>
      </c>
      <c r="E205" s="1" t="s">
        <v>2507</v>
      </c>
      <c r="F205" s="2">
        <v>44738</v>
      </c>
      <c r="G205" s="94" t="str">
        <f t="shared" si="3"/>
        <v>Hyderabad</v>
      </c>
    </row>
    <row r="206" spans="1:7">
      <c r="A206" s="102" t="s">
        <v>977</v>
      </c>
      <c r="B206" s="1" t="s">
        <v>2547</v>
      </c>
      <c r="C206" s="3">
        <v>29</v>
      </c>
      <c r="D206" s="1" t="s">
        <v>88</v>
      </c>
      <c r="E206" s="1" t="s">
        <v>2509</v>
      </c>
      <c r="F206" s="2">
        <v>45075</v>
      </c>
      <c r="G206" s="94" t="str">
        <f t="shared" si="3"/>
        <v>Pune</v>
      </c>
    </row>
    <row r="207" spans="1:7">
      <c r="A207" s="102" t="s">
        <v>970</v>
      </c>
      <c r="B207" s="1" t="s">
        <v>2584</v>
      </c>
      <c r="C207" s="3">
        <v>40</v>
      </c>
      <c r="D207" s="1" t="s">
        <v>112</v>
      </c>
      <c r="E207" s="1" t="s">
        <v>2507</v>
      </c>
      <c r="F207" s="2">
        <v>45127</v>
      </c>
      <c r="G207" s="94" t="str">
        <f t="shared" si="3"/>
        <v>Mumbai</v>
      </c>
    </row>
    <row r="208" spans="1:7">
      <c r="A208" s="102" t="s">
        <v>1890</v>
      </c>
      <c r="B208" s="1" t="s">
        <v>2702</v>
      </c>
      <c r="C208" s="3">
        <v>34</v>
      </c>
      <c r="D208" s="1" t="s">
        <v>133</v>
      </c>
      <c r="E208" s="1" t="s">
        <v>2515</v>
      </c>
      <c r="F208" s="2">
        <v>43954</v>
      </c>
      <c r="G208" s="94" t="str">
        <f t="shared" si="3"/>
        <v>Hyderabad</v>
      </c>
    </row>
    <row r="209" spans="1:7">
      <c r="A209" s="102" t="s">
        <v>336</v>
      </c>
      <c r="B209" s="1" t="s">
        <v>2703</v>
      </c>
      <c r="C209" s="3">
        <v>49</v>
      </c>
      <c r="D209" s="1" t="s">
        <v>112</v>
      </c>
      <c r="E209" s="1" t="s">
        <v>2507</v>
      </c>
      <c r="F209" s="2">
        <v>45082</v>
      </c>
      <c r="G209" s="94" t="str">
        <f t="shared" si="3"/>
        <v>Mumbai</v>
      </c>
    </row>
    <row r="210" spans="1:7">
      <c r="A210" s="102" t="s">
        <v>785</v>
      </c>
      <c r="B210" s="1" t="s">
        <v>2704</v>
      </c>
      <c r="C210" s="3">
        <v>31</v>
      </c>
      <c r="D210" s="1" t="s">
        <v>88</v>
      </c>
      <c r="E210" s="1" t="s">
        <v>2507</v>
      </c>
      <c r="F210" s="2">
        <v>44258</v>
      </c>
      <c r="G210" s="94" t="str">
        <f t="shared" si="3"/>
        <v>Pune</v>
      </c>
    </row>
    <row r="211" spans="1:7">
      <c r="A211" s="102" t="s">
        <v>427</v>
      </c>
      <c r="B211" s="1" t="s">
        <v>2705</v>
      </c>
      <c r="C211" s="3">
        <v>48</v>
      </c>
      <c r="D211" s="1" t="s">
        <v>88</v>
      </c>
      <c r="E211" s="1" t="s">
        <v>2509</v>
      </c>
      <c r="F211" s="2">
        <v>44968</v>
      </c>
      <c r="G211" s="94" t="str">
        <f t="shared" si="3"/>
        <v>Pune</v>
      </c>
    </row>
    <row r="212" spans="1:7">
      <c r="A212" s="102" t="s">
        <v>1191</v>
      </c>
      <c r="B212" s="1" t="s">
        <v>2706</v>
      </c>
      <c r="C212" s="3">
        <v>36</v>
      </c>
      <c r="D212" s="1" t="s">
        <v>117</v>
      </c>
      <c r="E212" s="1" t="s">
        <v>2507</v>
      </c>
      <c r="F212" s="2">
        <v>44251</v>
      </c>
      <c r="G212" s="94" t="str">
        <f t="shared" si="3"/>
        <v>Bengaluru</v>
      </c>
    </row>
    <row r="213" spans="1:7">
      <c r="A213" s="102" t="s">
        <v>700</v>
      </c>
      <c r="B213" s="1" t="s">
        <v>2707</v>
      </c>
      <c r="C213" s="3">
        <v>46</v>
      </c>
      <c r="D213" s="1" t="s">
        <v>94</v>
      </c>
      <c r="E213" s="1" t="s">
        <v>2515</v>
      </c>
      <c r="F213" s="2">
        <v>44594</v>
      </c>
      <c r="G213" s="94" t="str">
        <f t="shared" si="3"/>
        <v>Chennai</v>
      </c>
    </row>
    <row r="214" spans="1:7">
      <c r="A214" s="102" t="s">
        <v>1055</v>
      </c>
      <c r="B214" s="1" t="s">
        <v>2543</v>
      </c>
      <c r="C214" s="3">
        <v>37</v>
      </c>
      <c r="D214" s="1" t="s">
        <v>112</v>
      </c>
      <c r="E214" s="1" t="s">
        <v>2507</v>
      </c>
      <c r="F214" s="2">
        <v>44431</v>
      </c>
      <c r="G214" s="94" t="str">
        <f t="shared" si="3"/>
        <v>Mumbai</v>
      </c>
    </row>
    <row r="215" spans="1:7">
      <c r="A215" s="102" t="s">
        <v>882</v>
      </c>
      <c r="B215" s="1" t="s">
        <v>2708</v>
      </c>
      <c r="C215" s="3">
        <v>22</v>
      </c>
      <c r="D215" s="1" t="s">
        <v>112</v>
      </c>
      <c r="E215" s="1" t="s">
        <v>2507</v>
      </c>
      <c r="F215" s="2">
        <v>44453</v>
      </c>
      <c r="G215" s="94" t="str">
        <f t="shared" si="3"/>
        <v>Mumbai</v>
      </c>
    </row>
    <row r="216" spans="1:7">
      <c r="A216" s="102" t="s">
        <v>762</v>
      </c>
      <c r="B216" s="1" t="s">
        <v>2709</v>
      </c>
      <c r="C216" s="3">
        <v>52</v>
      </c>
      <c r="D216" s="1" t="s">
        <v>133</v>
      </c>
      <c r="E216" s="1" t="s">
        <v>2507</v>
      </c>
      <c r="F216" s="2">
        <v>45105</v>
      </c>
      <c r="G216" s="94" t="str">
        <f t="shared" si="3"/>
        <v>Hyderabad</v>
      </c>
    </row>
    <row r="217" spans="1:7">
      <c r="A217" s="102" t="s">
        <v>392</v>
      </c>
      <c r="B217" s="1" t="s">
        <v>2710</v>
      </c>
      <c r="C217" s="3">
        <v>50</v>
      </c>
      <c r="D217" s="1" t="s">
        <v>112</v>
      </c>
      <c r="E217" s="1" t="s">
        <v>2507</v>
      </c>
      <c r="F217" s="2">
        <v>44204</v>
      </c>
      <c r="G217" s="94" t="str">
        <f t="shared" si="3"/>
        <v>Mumbai</v>
      </c>
    </row>
    <row r="218" spans="1:7">
      <c r="A218" s="102" t="s">
        <v>856</v>
      </c>
      <c r="B218" s="1" t="s">
        <v>2711</v>
      </c>
      <c r="C218" s="3">
        <v>59</v>
      </c>
      <c r="D218" s="1" t="s">
        <v>88</v>
      </c>
      <c r="E218" s="1" t="s">
        <v>2515</v>
      </c>
      <c r="F218" s="2">
        <v>44877</v>
      </c>
      <c r="G218" s="94" t="str">
        <f t="shared" si="3"/>
        <v>Pune</v>
      </c>
    </row>
    <row r="219" spans="1:7">
      <c r="A219" s="102" t="s">
        <v>597</v>
      </c>
      <c r="B219" s="1" t="s">
        <v>2712</v>
      </c>
      <c r="C219" s="3">
        <v>39</v>
      </c>
      <c r="D219" s="1" t="s">
        <v>112</v>
      </c>
      <c r="E219" s="1" t="s">
        <v>2507</v>
      </c>
      <c r="F219" s="2">
        <v>44849</v>
      </c>
      <c r="G219" s="94" t="str">
        <f t="shared" si="3"/>
        <v>Mumbai</v>
      </c>
    </row>
    <row r="220" spans="1:7">
      <c r="A220" s="102" t="s">
        <v>345</v>
      </c>
      <c r="B220" s="1" t="s">
        <v>2713</v>
      </c>
      <c r="C220" s="3">
        <v>38</v>
      </c>
      <c r="D220" s="1" t="s">
        <v>94</v>
      </c>
      <c r="E220" s="1" t="s">
        <v>2509</v>
      </c>
      <c r="F220" s="2">
        <v>44321</v>
      </c>
      <c r="G220" s="94" t="str">
        <f t="shared" si="3"/>
        <v>Chennai</v>
      </c>
    </row>
    <row r="221" spans="1:7">
      <c r="A221" s="102" t="s">
        <v>1361</v>
      </c>
      <c r="B221" s="1" t="s">
        <v>2714</v>
      </c>
      <c r="C221" s="3">
        <v>34</v>
      </c>
      <c r="D221" s="1" t="s">
        <v>94</v>
      </c>
      <c r="E221" s="1" t="s">
        <v>2507</v>
      </c>
      <c r="F221" s="2">
        <v>43978</v>
      </c>
      <c r="G221" s="94" t="str">
        <f t="shared" si="3"/>
        <v>Chennai</v>
      </c>
    </row>
    <row r="222" spans="1:7">
      <c r="A222" s="102" t="s">
        <v>781</v>
      </c>
      <c r="B222" s="1" t="s">
        <v>2715</v>
      </c>
      <c r="C222" s="3">
        <v>29</v>
      </c>
      <c r="D222" s="1" t="s">
        <v>99</v>
      </c>
      <c r="E222" s="1" t="s">
        <v>2515</v>
      </c>
      <c r="F222" s="2">
        <v>44061</v>
      </c>
      <c r="G222" s="94" t="str">
        <f t="shared" si="3"/>
        <v>Delhi</v>
      </c>
    </row>
    <row r="223" spans="1:7">
      <c r="A223" s="102" t="s">
        <v>225</v>
      </c>
      <c r="B223" s="1" t="s">
        <v>2716</v>
      </c>
      <c r="C223" s="3">
        <v>37</v>
      </c>
      <c r="D223" s="1" t="s">
        <v>94</v>
      </c>
      <c r="E223" s="1" t="s">
        <v>2507</v>
      </c>
      <c r="F223" s="2">
        <v>43877</v>
      </c>
      <c r="G223" s="94" t="str">
        <f t="shared" si="3"/>
        <v>Chennai</v>
      </c>
    </row>
    <row r="224" spans="1:7">
      <c r="A224" s="102" t="s">
        <v>895</v>
      </c>
      <c r="B224" s="1" t="s">
        <v>2717</v>
      </c>
      <c r="C224" s="3">
        <v>46</v>
      </c>
      <c r="D224" s="1" t="s">
        <v>117</v>
      </c>
      <c r="E224" s="1" t="s">
        <v>2507</v>
      </c>
      <c r="F224" s="2">
        <v>44743</v>
      </c>
      <c r="G224" s="94" t="str">
        <f t="shared" si="3"/>
        <v>Bengaluru</v>
      </c>
    </row>
    <row r="225" spans="1:7">
      <c r="A225" s="102" t="s">
        <v>405</v>
      </c>
      <c r="B225" s="1" t="s">
        <v>2718</v>
      </c>
      <c r="C225" s="3">
        <v>24</v>
      </c>
      <c r="D225" s="1" t="s">
        <v>94</v>
      </c>
      <c r="E225" s="1" t="s">
        <v>2509</v>
      </c>
      <c r="F225" s="2">
        <v>44558</v>
      </c>
      <c r="G225" s="94" t="str">
        <f t="shared" si="3"/>
        <v>Chennai</v>
      </c>
    </row>
    <row r="226" spans="1:7">
      <c r="A226" s="102" t="s">
        <v>764</v>
      </c>
      <c r="B226" s="1" t="s">
        <v>2571</v>
      </c>
      <c r="C226" s="3">
        <v>26</v>
      </c>
      <c r="D226" s="1" t="s">
        <v>94</v>
      </c>
      <c r="E226" s="1" t="s">
        <v>2515</v>
      </c>
      <c r="F226" s="2">
        <v>44213</v>
      </c>
      <c r="G226" s="94" t="str">
        <f t="shared" si="3"/>
        <v>Chennai</v>
      </c>
    </row>
    <row r="227" spans="1:7">
      <c r="A227" s="102" t="s">
        <v>244</v>
      </c>
      <c r="B227" s="1" t="s">
        <v>2719</v>
      </c>
      <c r="C227" s="3">
        <v>52</v>
      </c>
      <c r="D227" s="1" t="s">
        <v>94</v>
      </c>
      <c r="E227" s="1" t="s">
        <v>2509</v>
      </c>
      <c r="F227" s="2">
        <v>44650</v>
      </c>
      <c r="G227" s="94" t="str">
        <f t="shared" si="3"/>
        <v>Chennai</v>
      </c>
    </row>
    <row r="228" spans="1:7">
      <c r="A228" s="102" t="s">
        <v>1006</v>
      </c>
      <c r="B228" s="1" t="s">
        <v>2603</v>
      </c>
      <c r="C228" s="3">
        <v>44</v>
      </c>
      <c r="D228" s="1" t="s">
        <v>117</v>
      </c>
      <c r="E228" s="1" t="s">
        <v>2515</v>
      </c>
      <c r="F228" s="2">
        <v>44121</v>
      </c>
      <c r="G228" s="94" t="str">
        <f t="shared" si="3"/>
        <v>Bengaluru</v>
      </c>
    </row>
    <row r="229" spans="1:7">
      <c r="A229" s="102" t="s">
        <v>460</v>
      </c>
      <c r="B229" s="1" t="s">
        <v>2720</v>
      </c>
      <c r="C229" s="3">
        <v>37</v>
      </c>
      <c r="D229" s="1" t="s">
        <v>88</v>
      </c>
      <c r="E229" s="1" t="s">
        <v>2509</v>
      </c>
      <c r="F229" s="2">
        <v>43952</v>
      </c>
      <c r="G229" s="94" t="str">
        <f t="shared" si="3"/>
        <v>Pune</v>
      </c>
    </row>
    <row r="230" spans="1:7">
      <c r="A230" s="102" t="s">
        <v>1193</v>
      </c>
      <c r="B230" s="1" t="s">
        <v>2721</v>
      </c>
      <c r="C230" s="3">
        <v>25</v>
      </c>
      <c r="D230" s="1" t="s">
        <v>133</v>
      </c>
      <c r="E230" s="1" t="s">
        <v>2515</v>
      </c>
      <c r="F230" s="2">
        <v>44453</v>
      </c>
      <c r="G230" s="94" t="str">
        <f t="shared" si="3"/>
        <v>Hyderabad</v>
      </c>
    </row>
    <row r="231" spans="1:7">
      <c r="A231" s="102" t="s">
        <v>314</v>
      </c>
      <c r="B231" s="1" t="s">
        <v>2722</v>
      </c>
      <c r="C231" s="3">
        <v>33</v>
      </c>
      <c r="D231" s="1" t="s">
        <v>88</v>
      </c>
      <c r="E231" s="1" t="s">
        <v>2509</v>
      </c>
      <c r="F231" s="2">
        <v>43963</v>
      </c>
      <c r="G231" s="94" t="str">
        <f t="shared" si="3"/>
        <v>Pune</v>
      </c>
    </row>
    <row r="232" spans="1:7">
      <c r="A232" s="102" t="s">
        <v>602</v>
      </c>
      <c r="B232" s="1" t="s">
        <v>2723</v>
      </c>
      <c r="C232" s="3">
        <v>61</v>
      </c>
      <c r="D232" s="1" t="s">
        <v>94</v>
      </c>
      <c r="E232" s="1" t="s">
        <v>2507</v>
      </c>
      <c r="F232" s="2">
        <v>45030</v>
      </c>
      <c r="G232" s="94" t="str">
        <f t="shared" si="3"/>
        <v>Chennai</v>
      </c>
    </row>
    <row r="233" spans="1:7">
      <c r="A233" s="102" t="s">
        <v>539</v>
      </c>
      <c r="B233" s="1" t="s">
        <v>2724</v>
      </c>
      <c r="C233" s="3">
        <v>38</v>
      </c>
      <c r="D233" s="1" t="s">
        <v>133</v>
      </c>
      <c r="E233" s="1" t="s">
        <v>2507</v>
      </c>
      <c r="F233" s="2">
        <v>44364</v>
      </c>
      <c r="G233" s="94" t="str">
        <f t="shared" si="3"/>
        <v>Hyderabad</v>
      </c>
    </row>
    <row r="234" spans="1:7">
      <c r="A234" s="102" t="s">
        <v>959</v>
      </c>
      <c r="B234" s="1" t="s">
        <v>2689</v>
      </c>
      <c r="C234" s="3">
        <v>65</v>
      </c>
      <c r="D234" s="1" t="s">
        <v>112</v>
      </c>
      <c r="E234" s="1" t="s">
        <v>2515</v>
      </c>
      <c r="F234" s="2">
        <v>43850</v>
      </c>
      <c r="G234" s="94" t="str">
        <f t="shared" si="3"/>
        <v>Mumbai</v>
      </c>
    </row>
    <row r="235" spans="1:7">
      <c r="A235" s="102" t="s">
        <v>247</v>
      </c>
      <c r="B235" s="1" t="s">
        <v>2725</v>
      </c>
      <c r="C235" s="3">
        <v>34</v>
      </c>
      <c r="D235" s="1" t="s">
        <v>117</v>
      </c>
      <c r="E235" s="1" t="s">
        <v>2507</v>
      </c>
      <c r="F235" s="2">
        <v>44175</v>
      </c>
      <c r="G235" s="94" t="str">
        <f t="shared" si="3"/>
        <v>Bengaluru</v>
      </c>
    </row>
    <row r="236" spans="1:7">
      <c r="A236" s="102" t="s">
        <v>963</v>
      </c>
      <c r="B236" s="1" t="s">
        <v>2609</v>
      </c>
      <c r="C236" s="3">
        <v>31</v>
      </c>
      <c r="D236" s="1" t="s">
        <v>94</v>
      </c>
      <c r="E236" s="1" t="s">
        <v>2507</v>
      </c>
      <c r="F236" s="2">
        <v>43903</v>
      </c>
      <c r="G236" s="94" t="str">
        <f t="shared" si="3"/>
        <v>Chennai</v>
      </c>
    </row>
    <row r="237" spans="1:7">
      <c r="A237" s="102" t="s">
        <v>883</v>
      </c>
      <c r="B237" s="1" t="s">
        <v>2726</v>
      </c>
      <c r="C237" s="3">
        <v>28</v>
      </c>
      <c r="D237" s="1" t="s">
        <v>133</v>
      </c>
      <c r="E237" s="1" t="s">
        <v>2515</v>
      </c>
      <c r="F237" s="2">
        <v>43949</v>
      </c>
      <c r="G237" s="94" t="str">
        <f t="shared" si="3"/>
        <v>Hyderabad</v>
      </c>
    </row>
    <row r="238" spans="1:7">
      <c r="A238" s="102" t="s">
        <v>956</v>
      </c>
      <c r="B238" s="1" t="s">
        <v>2727</v>
      </c>
      <c r="C238" s="3">
        <v>49</v>
      </c>
      <c r="D238" s="1" t="s">
        <v>112</v>
      </c>
      <c r="E238" s="1" t="s">
        <v>2507</v>
      </c>
      <c r="F238" s="2">
        <v>44068</v>
      </c>
      <c r="G238" s="94" t="str">
        <f t="shared" si="3"/>
        <v>Mumbai</v>
      </c>
    </row>
    <row r="239" spans="1:7">
      <c r="A239" s="102" t="s">
        <v>635</v>
      </c>
      <c r="B239" s="1" t="s">
        <v>2563</v>
      </c>
      <c r="C239" s="3">
        <v>49</v>
      </c>
      <c r="D239" s="1" t="s">
        <v>99</v>
      </c>
      <c r="E239" s="1" t="s">
        <v>2507</v>
      </c>
      <c r="F239" s="2">
        <v>44377</v>
      </c>
      <c r="G239" s="94" t="str">
        <f t="shared" si="3"/>
        <v>Delhi</v>
      </c>
    </row>
    <row r="240" spans="1:7">
      <c r="A240" s="102" t="s">
        <v>411</v>
      </c>
      <c r="B240" s="1" t="s">
        <v>2728</v>
      </c>
      <c r="C240" s="3">
        <v>61</v>
      </c>
      <c r="D240" s="1" t="s">
        <v>112</v>
      </c>
      <c r="E240" s="1" t="s">
        <v>2507</v>
      </c>
      <c r="F240" s="2">
        <v>43981</v>
      </c>
      <c r="G240" s="94" t="str">
        <f t="shared" si="3"/>
        <v>Mumbai</v>
      </c>
    </row>
    <row r="241" spans="1:7">
      <c r="A241" s="102" t="s">
        <v>472</v>
      </c>
      <c r="B241" s="1" t="s">
        <v>2729</v>
      </c>
      <c r="C241" s="3">
        <v>35</v>
      </c>
      <c r="D241" s="1" t="s">
        <v>94</v>
      </c>
      <c r="E241" s="1" t="s">
        <v>2509</v>
      </c>
      <c r="F241" s="2">
        <v>44337</v>
      </c>
      <c r="G241" s="94" t="str">
        <f t="shared" si="3"/>
        <v>Chennai</v>
      </c>
    </row>
    <row r="242" spans="1:7">
      <c r="A242" s="102" t="s">
        <v>197</v>
      </c>
      <c r="B242" s="1" t="s">
        <v>2730</v>
      </c>
      <c r="C242" s="3">
        <v>47</v>
      </c>
      <c r="D242" s="1" t="s">
        <v>88</v>
      </c>
      <c r="E242" s="1" t="s">
        <v>2509</v>
      </c>
      <c r="F242" s="2">
        <v>44195</v>
      </c>
      <c r="G242" s="94" t="str">
        <f t="shared" si="3"/>
        <v>Pune</v>
      </c>
    </row>
    <row r="243" spans="1:7">
      <c r="A243" s="102" t="s">
        <v>582</v>
      </c>
      <c r="B243" s="1" t="s">
        <v>2629</v>
      </c>
      <c r="C243" s="3">
        <v>59</v>
      </c>
      <c r="D243" s="1" t="s">
        <v>94</v>
      </c>
      <c r="E243" s="1" t="s">
        <v>2515</v>
      </c>
      <c r="F243" s="2">
        <v>44474</v>
      </c>
      <c r="G243" s="94" t="str">
        <f t="shared" si="3"/>
        <v>Chennai</v>
      </c>
    </row>
    <row r="244" spans="1:7">
      <c r="A244" s="102" t="s">
        <v>84</v>
      </c>
      <c r="B244" s="1" t="s">
        <v>2670</v>
      </c>
      <c r="C244" s="3">
        <v>44</v>
      </c>
      <c r="D244" s="1" t="s">
        <v>88</v>
      </c>
      <c r="E244" s="1" t="s">
        <v>2515</v>
      </c>
      <c r="F244" s="2">
        <v>43861</v>
      </c>
      <c r="G244" s="94" t="str">
        <f t="shared" si="3"/>
        <v>Pune</v>
      </c>
    </row>
    <row r="245" spans="1:7">
      <c r="A245" s="102" t="s">
        <v>990</v>
      </c>
      <c r="B245" s="1" t="s">
        <v>2731</v>
      </c>
      <c r="C245" s="3">
        <v>61</v>
      </c>
      <c r="D245" s="1" t="s">
        <v>117</v>
      </c>
      <c r="E245" s="1" t="s">
        <v>2507</v>
      </c>
      <c r="F245" s="2">
        <v>44483</v>
      </c>
      <c r="G245" s="94" t="str">
        <f t="shared" si="3"/>
        <v>Bengaluru</v>
      </c>
    </row>
    <row r="246" spans="1:7">
      <c r="A246" s="102" t="s">
        <v>697</v>
      </c>
      <c r="B246" s="1" t="s">
        <v>2732</v>
      </c>
      <c r="C246" s="3">
        <v>65</v>
      </c>
      <c r="D246" s="1" t="s">
        <v>133</v>
      </c>
      <c r="E246" s="1" t="s">
        <v>2507</v>
      </c>
      <c r="F246" s="2">
        <v>44851</v>
      </c>
      <c r="G246" s="94" t="str">
        <f t="shared" si="3"/>
        <v>Hyderabad</v>
      </c>
    </row>
    <row r="247" spans="1:7">
      <c r="A247" s="102" t="s">
        <v>546</v>
      </c>
      <c r="B247" s="1" t="s">
        <v>2733</v>
      </c>
      <c r="C247" s="3">
        <v>29</v>
      </c>
      <c r="D247" s="1" t="s">
        <v>99</v>
      </c>
      <c r="E247" s="1" t="s">
        <v>2515</v>
      </c>
      <c r="F247" s="2">
        <v>44477</v>
      </c>
      <c r="G247" s="94" t="str">
        <f t="shared" si="3"/>
        <v>Delhi</v>
      </c>
    </row>
    <row r="248" spans="1:7">
      <c r="A248" s="102" t="s">
        <v>676</v>
      </c>
      <c r="B248" s="1" t="s">
        <v>2734</v>
      </c>
      <c r="C248" s="3">
        <v>35</v>
      </c>
      <c r="D248" s="1" t="s">
        <v>88</v>
      </c>
      <c r="E248" s="1" t="s">
        <v>2515</v>
      </c>
      <c r="F248" s="2">
        <v>43966</v>
      </c>
      <c r="G248" s="94" t="str">
        <f t="shared" si="3"/>
        <v>Pune</v>
      </c>
    </row>
    <row r="249" spans="1:7">
      <c r="A249" s="102" t="s">
        <v>318</v>
      </c>
      <c r="B249" s="1" t="s">
        <v>2735</v>
      </c>
      <c r="C249" s="3">
        <v>57</v>
      </c>
      <c r="D249" s="1" t="s">
        <v>94</v>
      </c>
      <c r="E249" s="1" t="s">
        <v>2515</v>
      </c>
      <c r="F249" s="2">
        <v>44557</v>
      </c>
      <c r="G249" s="94" t="str">
        <f t="shared" si="3"/>
        <v>Chennai</v>
      </c>
    </row>
    <row r="250" spans="1:7">
      <c r="A250" s="102" t="s">
        <v>613</v>
      </c>
      <c r="B250" s="1" t="s">
        <v>2736</v>
      </c>
      <c r="C250" s="3">
        <v>44</v>
      </c>
      <c r="D250" s="1" t="s">
        <v>112</v>
      </c>
      <c r="E250" s="1" t="s">
        <v>2507</v>
      </c>
      <c r="F250" s="2">
        <v>43866</v>
      </c>
      <c r="G250" s="94" t="str">
        <f t="shared" si="3"/>
        <v>Mumbai</v>
      </c>
    </row>
    <row r="251" spans="1:7">
      <c r="A251" s="102" t="s">
        <v>181</v>
      </c>
      <c r="B251" s="1" t="s">
        <v>2737</v>
      </c>
      <c r="C251" s="3">
        <v>31</v>
      </c>
      <c r="D251" s="1" t="s">
        <v>99</v>
      </c>
      <c r="E251" s="1" t="s">
        <v>2507</v>
      </c>
      <c r="F251" s="2">
        <v>44575</v>
      </c>
      <c r="G251" s="94" t="str">
        <f t="shared" si="3"/>
        <v>Delhi</v>
      </c>
    </row>
    <row r="252" spans="1:7">
      <c r="A252" s="102" t="s">
        <v>528</v>
      </c>
      <c r="B252" s="1" t="s">
        <v>2738</v>
      </c>
      <c r="C252" s="3">
        <v>44</v>
      </c>
      <c r="D252" s="1" t="s">
        <v>112</v>
      </c>
      <c r="E252" s="1" t="s">
        <v>2507</v>
      </c>
      <c r="F252" s="2">
        <v>45121</v>
      </c>
      <c r="G252" s="94" t="str">
        <f t="shared" si="3"/>
        <v>Mumbai</v>
      </c>
    </row>
    <row r="253" spans="1:7">
      <c r="A253" s="102" t="s">
        <v>1000</v>
      </c>
      <c r="B253" s="1" t="s">
        <v>2739</v>
      </c>
      <c r="C253" s="3">
        <v>27</v>
      </c>
      <c r="D253" s="1" t="s">
        <v>117</v>
      </c>
      <c r="E253" s="1" t="s">
        <v>2507</v>
      </c>
      <c r="F253" s="2">
        <v>45004</v>
      </c>
      <c r="G253" s="94" t="str">
        <f t="shared" si="3"/>
        <v>Bengaluru</v>
      </c>
    </row>
    <row r="254" spans="1:7">
      <c r="A254" s="102" t="s">
        <v>399</v>
      </c>
      <c r="B254" s="1" t="s">
        <v>2740</v>
      </c>
      <c r="C254" s="3">
        <v>53</v>
      </c>
      <c r="D254" s="1" t="s">
        <v>99</v>
      </c>
      <c r="E254" s="1" t="s">
        <v>2515</v>
      </c>
      <c r="F254" s="2">
        <v>43892</v>
      </c>
      <c r="G254" s="94" t="str">
        <f t="shared" si="3"/>
        <v>Delhi</v>
      </c>
    </row>
    <row r="255" spans="1:7">
      <c r="A255" s="102" t="s">
        <v>900</v>
      </c>
      <c r="B255" s="1" t="s">
        <v>2741</v>
      </c>
      <c r="C255" s="3">
        <v>35</v>
      </c>
      <c r="D255" s="1" t="s">
        <v>117</v>
      </c>
      <c r="E255" s="1" t="s">
        <v>2507</v>
      </c>
      <c r="F255" s="2">
        <v>44000</v>
      </c>
      <c r="G255" s="94" t="str">
        <f t="shared" si="3"/>
        <v>Bengaluru</v>
      </c>
    </row>
    <row r="256" spans="1:7">
      <c r="A256" s="102" t="s">
        <v>362</v>
      </c>
      <c r="B256" s="1" t="s">
        <v>2528</v>
      </c>
      <c r="C256" s="3">
        <v>51</v>
      </c>
      <c r="D256" s="1" t="s">
        <v>94</v>
      </c>
      <c r="E256" s="1" t="s">
        <v>2509</v>
      </c>
      <c r="F256" s="2">
        <v>44458</v>
      </c>
      <c r="G256" s="94" t="str">
        <f t="shared" si="3"/>
        <v>Chennai</v>
      </c>
    </row>
    <row r="257" spans="1:7">
      <c r="A257" s="102" t="s">
        <v>689</v>
      </c>
      <c r="B257" s="1" t="s">
        <v>2742</v>
      </c>
      <c r="C257" s="3">
        <v>28</v>
      </c>
      <c r="D257" s="1" t="s">
        <v>133</v>
      </c>
      <c r="E257" s="1" t="s">
        <v>2507</v>
      </c>
      <c r="F257" s="2">
        <v>44694</v>
      </c>
      <c r="G257" s="94" t="str">
        <f t="shared" si="3"/>
        <v>Hyderabad</v>
      </c>
    </row>
    <row r="258" spans="1:7">
      <c r="A258" s="102" t="s">
        <v>1121</v>
      </c>
      <c r="B258" s="1" t="s">
        <v>2743</v>
      </c>
      <c r="C258" s="3">
        <v>46</v>
      </c>
      <c r="D258" s="1" t="s">
        <v>112</v>
      </c>
      <c r="E258" s="1" t="s">
        <v>2509</v>
      </c>
      <c r="F258" s="2">
        <v>43849</v>
      </c>
      <c r="G258" s="94" t="str">
        <f t="shared" si="3"/>
        <v>Mumbai</v>
      </c>
    </row>
    <row r="259" spans="1:7">
      <c r="A259" s="102" t="s">
        <v>275</v>
      </c>
      <c r="B259" s="1" t="s">
        <v>2744</v>
      </c>
      <c r="C259" s="3">
        <v>44</v>
      </c>
      <c r="D259" s="1" t="s">
        <v>88</v>
      </c>
      <c r="E259" s="1" t="s">
        <v>2507</v>
      </c>
      <c r="F259" s="2">
        <v>43874</v>
      </c>
      <c r="G259" s="94" t="str">
        <f t="shared" ref="G259:G301" si="4">PROPER(D259)</f>
        <v>Pune</v>
      </c>
    </row>
    <row r="260" spans="1:7">
      <c r="A260" s="102" t="s">
        <v>169</v>
      </c>
      <c r="B260" s="1" t="s">
        <v>2745</v>
      </c>
      <c r="C260" s="3">
        <v>34</v>
      </c>
      <c r="D260" s="1" t="s">
        <v>112</v>
      </c>
      <c r="E260" s="1" t="s">
        <v>2507</v>
      </c>
      <c r="F260" s="2">
        <v>44086</v>
      </c>
      <c r="G260" s="94" t="str">
        <f t="shared" si="4"/>
        <v>Mumbai</v>
      </c>
    </row>
    <row r="261" spans="1:7">
      <c r="A261" s="102" t="s">
        <v>123</v>
      </c>
      <c r="B261" s="1" t="s">
        <v>2746</v>
      </c>
      <c r="C261" s="3">
        <v>42</v>
      </c>
      <c r="D261" s="1" t="s">
        <v>117</v>
      </c>
      <c r="E261" s="1" t="s">
        <v>2507</v>
      </c>
      <c r="F261" s="2">
        <v>44866</v>
      </c>
      <c r="G261" s="94" t="str">
        <f t="shared" si="4"/>
        <v>Bengaluru</v>
      </c>
    </row>
    <row r="262" spans="1:7">
      <c r="A262" s="102" t="s">
        <v>261</v>
      </c>
      <c r="B262" s="1" t="s">
        <v>2747</v>
      </c>
      <c r="C262" s="3">
        <v>54</v>
      </c>
      <c r="D262" s="1" t="s">
        <v>99</v>
      </c>
      <c r="E262" s="1" t="s">
        <v>2507</v>
      </c>
      <c r="F262" s="2">
        <v>43845</v>
      </c>
      <c r="G262" s="94" t="str">
        <f t="shared" si="4"/>
        <v>Delhi</v>
      </c>
    </row>
    <row r="263" spans="1:7">
      <c r="A263" s="102" t="s">
        <v>606</v>
      </c>
      <c r="B263" s="1" t="s">
        <v>2748</v>
      </c>
      <c r="C263" s="3">
        <v>52</v>
      </c>
      <c r="D263" s="1" t="s">
        <v>112</v>
      </c>
      <c r="E263" s="1" t="s">
        <v>2507</v>
      </c>
      <c r="F263" s="2">
        <v>44636</v>
      </c>
      <c r="G263" s="94" t="str">
        <f t="shared" si="4"/>
        <v>Mumbai</v>
      </c>
    </row>
    <row r="264" spans="1:7">
      <c r="A264" s="102" t="s">
        <v>269</v>
      </c>
      <c r="B264" s="1" t="s">
        <v>2749</v>
      </c>
      <c r="C264" s="3">
        <v>40</v>
      </c>
      <c r="D264" s="1" t="s">
        <v>112</v>
      </c>
      <c r="E264" s="1" t="s">
        <v>2507</v>
      </c>
      <c r="F264" s="2">
        <v>44758</v>
      </c>
      <c r="G264" s="94" t="str">
        <f t="shared" si="4"/>
        <v>Mumbai</v>
      </c>
    </row>
    <row r="265" spans="1:7">
      <c r="A265" s="102" t="s">
        <v>507</v>
      </c>
      <c r="B265" s="1" t="s">
        <v>2750</v>
      </c>
      <c r="C265" s="3">
        <v>59</v>
      </c>
      <c r="D265" s="1" t="s">
        <v>88</v>
      </c>
      <c r="E265" s="1" t="s">
        <v>2507</v>
      </c>
      <c r="F265" s="2">
        <v>45042</v>
      </c>
      <c r="G265" s="94" t="str">
        <f t="shared" si="4"/>
        <v>Pune</v>
      </c>
    </row>
    <row r="266" spans="1:7">
      <c r="A266" s="102" t="s">
        <v>163</v>
      </c>
      <c r="B266" s="1" t="s">
        <v>2751</v>
      </c>
      <c r="C266" s="3">
        <v>49</v>
      </c>
      <c r="D266" s="1" t="s">
        <v>94</v>
      </c>
      <c r="E266" s="1" t="s">
        <v>2507</v>
      </c>
      <c r="F266" s="2">
        <v>44555</v>
      </c>
      <c r="G266" s="94" t="str">
        <f t="shared" si="4"/>
        <v>Chennai</v>
      </c>
    </row>
    <row r="267" spans="1:7">
      <c r="A267" s="102" t="s">
        <v>948</v>
      </c>
      <c r="B267" s="1" t="s">
        <v>2752</v>
      </c>
      <c r="C267" s="3">
        <v>65</v>
      </c>
      <c r="D267" s="1" t="s">
        <v>88</v>
      </c>
      <c r="E267" s="1" t="s">
        <v>2507</v>
      </c>
      <c r="F267" s="2">
        <v>44469</v>
      </c>
      <c r="G267" s="94" t="str">
        <f t="shared" si="4"/>
        <v>Pune</v>
      </c>
    </row>
    <row r="268" spans="1:7">
      <c r="A268" s="102" t="s">
        <v>256</v>
      </c>
      <c r="B268" s="1" t="s">
        <v>2753</v>
      </c>
      <c r="C268" s="3">
        <v>27</v>
      </c>
      <c r="D268" s="1" t="s">
        <v>133</v>
      </c>
      <c r="E268" s="1" t="s">
        <v>2507</v>
      </c>
      <c r="F268" s="2">
        <v>44352</v>
      </c>
      <c r="G268" s="94" t="str">
        <f t="shared" si="4"/>
        <v>Hyderabad</v>
      </c>
    </row>
    <row r="269" spans="1:7">
      <c r="A269" s="102" t="s">
        <v>1628</v>
      </c>
      <c r="B269" s="1" t="s">
        <v>2754</v>
      </c>
      <c r="C269" s="3">
        <v>35</v>
      </c>
      <c r="D269" s="1" t="s">
        <v>94</v>
      </c>
      <c r="E269" s="1" t="s">
        <v>2507</v>
      </c>
      <c r="F269" s="2">
        <v>44991</v>
      </c>
      <c r="G269" s="94" t="str">
        <f t="shared" si="4"/>
        <v>Chennai</v>
      </c>
    </row>
    <row r="270" spans="1:7">
      <c r="A270" s="102" t="s">
        <v>720</v>
      </c>
      <c r="B270" s="1" t="s">
        <v>2755</v>
      </c>
      <c r="C270" s="3">
        <v>48</v>
      </c>
      <c r="D270" s="1" t="s">
        <v>88</v>
      </c>
      <c r="E270" s="1" t="s">
        <v>2507</v>
      </c>
      <c r="F270" s="2">
        <v>44429</v>
      </c>
      <c r="G270" s="94" t="str">
        <f t="shared" si="4"/>
        <v>Pune</v>
      </c>
    </row>
    <row r="271" spans="1:7">
      <c r="A271" s="102" t="s">
        <v>759</v>
      </c>
      <c r="B271" s="1" t="s">
        <v>2756</v>
      </c>
      <c r="C271" s="3">
        <v>29</v>
      </c>
      <c r="D271" s="1" t="s">
        <v>117</v>
      </c>
      <c r="E271" s="1" t="s">
        <v>2507</v>
      </c>
      <c r="F271" s="2">
        <v>44410</v>
      </c>
      <c r="G271" s="94" t="str">
        <f t="shared" si="4"/>
        <v>Bengaluru</v>
      </c>
    </row>
    <row r="272" spans="1:7">
      <c r="A272" s="102" t="s">
        <v>567</v>
      </c>
      <c r="B272" s="1" t="s">
        <v>2601</v>
      </c>
      <c r="C272" s="3">
        <v>41</v>
      </c>
      <c r="D272" s="1" t="s">
        <v>117</v>
      </c>
      <c r="E272" s="1" t="s">
        <v>2509</v>
      </c>
      <c r="F272" s="2">
        <v>44441</v>
      </c>
      <c r="G272" s="94" t="str">
        <f t="shared" si="4"/>
        <v>Bengaluru</v>
      </c>
    </row>
    <row r="273" spans="1:7">
      <c r="A273" s="102" t="s">
        <v>1027</v>
      </c>
      <c r="B273" s="1" t="s">
        <v>2757</v>
      </c>
      <c r="C273" s="3">
        <v>47</v>
      </c>
      <c r="D273" s="1" t="s">
        <v>112</v>
      </c>
      <c r="E273" s="1" t="s">
        <v>2515</v>
      </c>
      <c r="F273" s="2">
        <v>44634</v>
      </c>
      <c r="G273" s="94" t="str">
        <f t="shared" si="4"/>
        <v>Mumbai</v>
      </c>
    </row>
    <row r="274" spans="1:7">
      <c r="A274" s="102" t="s">
        <v>156</v>
      </c>
      <c r="B274" s="1" t="s">
        <v>2758</v>
      </c>
      <c r="C274" s="3">
        <v>32</v>
      </c>
      <c r="D274" s="1" t="s">
        <v>133</v>
      </c>
      <c r="E274" s="1" t="s">
        <v>2509</v>
      </c>
      <c r="F274" s="2">
        <v>44221</v>
      </c>
      <c r="G274" s="94" t="str">
        <f t="shared" si="4"/>
        <v>Hyderabad</v>
      </c>
    </row>
    <row r="275" spans="1:7">
      <c r="A275" s="102" t="s">
        <v>504</v>
      </c>
      <c r="B275" s="1" t="s">
        <v>2759</v>
      </c>
      <c r="C275" s="3">
        <v>36</v>
      </c>
      <c r="D275" s="1" t="s">
        <v>117</v>
      </c>
      <c r="E275" s="1" t="s">
        <v>2509</v>
      </c>
      <c r="F275" s="2">
        <v>44381</v>
      </c>
      <c r="G275" s="94" t="str">
        <f t="shared" si="4"/>
        <v>Bengaluru</v>
      </c>
    </row>
    <row r="276" spans="1:7">
      <c r="A276" s="102" t="s">
        <v>109</v>
      </c>
      <c r="B276" s="1" t="s">
        <v>2760</v>
      </c>
      <c r="C276" s="3">
        <v>36</v>
      </c>
      <c r="D276" s="1" t="s">
        <v>112</v>
      </c>
      <c r="E276" s="1" t="s">
        <v>2507</v>
      </c>
      <c r="F276" s="2">
        <v>45106</v>
      </c>
      <c r="G276" s="94" t="str">
        <f t="shared" si="4"/>
        <v>Mumbai</v>
      </c>
    </row>
    <row r="277" spans="1:7">
      <c r="A277" s="102" t="s">
        <v>1499</v>
      </c>
      <c r="B277" s="1" t="s">
        <v>2555</v>
      </c>
      <c r="C277" s="3">
        <v>26</v>
      </c>
      <c r="D277" s="1" t="s">
        <v>94</v>
      </c>
      <c r="E277" s="1" t="s">
        <v>2507</v>
      </c>
      <c r="F277" s="2">
        <v>44272</v>
      </c>
      <c r="G277" s="94" t="str">
        <f t="shared" si="4"/>
        <v>Chennai</v>
      </c>
    </row>
    <row r="278" spans="1:7">
      <c r="A278" s="102" t="s">
        <v>541</v>
      </c>
      <c r="B278" s="1" t="s">
        <v>2572</v>
      </c>
      <c r="C278" s="3">
        <v>34</v>
      </c>
      <c r="D278" s="1" t="s">
        <v>94</v>
      </c>
      <c r="E278" s="1" t="s">
        <v>2509</v>
      </c>
      <c r="F278" s="2">
        <v>44958</v>
      </c>
      <c r="G278" s="94" t="str">
        <f t="shared" si="4"/>
        <v>Chennai</v>
      </c>
    </row>
    <row r="279" spans="1:7">
      <c r="A279" s="102" t="s">
        <v>1047</v>
      </c>
      <c r="B279" s="1" t="s">
        <v>2761</v>
      </c>
      <c r="C279" s="3">
        <v>41</v>
      </c>
      <c r="D279" s="1" t="s">
        <v>133</v>
      </c>
      <c r="E279" s="1" t="s">
        <v>2507</v>
      </c>
      <c r="F279" s="2">
        <v>43973</v>
      </c>
      <c r="G279" s="94" t="str">
        <f t="shared" si="4"/>
        <v>Hyderabad</v>
      </c>
    </row>
    <row r="280" spans="1:7">
      <c r="A280" s="102" t="s">
        <v>729</v>
      </c>
      <c r="B280" s="1" t="s">
        <v>2742</v>
      </c>
      <c r="C280" s="3">
        <v>56</v>
      </c>
      <c r="D280" s="1" t="s">
        <v>112</v>
      </c>
      <c r="E280" s="1" t="s">
        <v>2507</v>
      </c>
      <c r="F280" s="2">
        <v>44517</v>
      </c>
      <c r="G280" s="94" t="str">
        <f t="shared" si="4"/>
        <v>Mumbai</v>
      </c>
    </row>
    <row r="281" spans="1:7">
      <c r="A281" s="102" t="s">
        <v>137</v>
      </c>
      <c r="B281" s="1" t="s">
        <v>2762</v>
      </c>
      <c r="C281" s="3">
        <v>27</v>
      </c>
      <c r="D281" s="1" t="s">
        <v>99</v>
      </c>
      <c r="E281" s="1" t="s">
        <v>2515</v>
      </c>
      <c r="F281" s="2">
        <v>45059</v>
      </c>
      <c r="G281" s="94" t="str">
        <f t="shared" si="4"/>
        <v>Delhi</v>
      </c>
    </row>
    <row r="282" spans="1:7">
      <c r="A282" s="102" t="s">
        <v>119</v>
      </c>
      <c r="B282" s="1" t="s">
        <v>2527</v>
      </c>
      <c r="C282" s="3">
        <v>57</v>
      </c>
      <c r="D282" s="1" t="s">
        <v>117</v>
      </c>
      <c r="E282" s="1" t="s">
        <v>2509</v>
      </c>
      <c r="F282" s="2">
        <v>44029</v>
      </c>
      <c r="G282" s="94" t="str">
        <f t="shared" si="4"/>
        <v>Bengaluru</v>
      </c>
    </row>
    <row r="283" spans="1:7">
      <c r="A283" s="102" t="s">
        <v>278</v>
      </c>
      <c r="B283" s="1" t="s">
        <v>2763</v>
      </c>
      <c r="C283" s="3">
        <v>29</v>
      </c>
      <c r="D283" s="1" t="s">
        <v>133</v>
      </c>
      <c r="E283" s="1" t="s">
        <v>2509</v>
      </c>
      <c r="F283" s="2">
        <v>44631</v>
      </c>
      <c r="G283" s="94" t="str">
        <f t="shared" si="4"/>
        <v>Hyderabad</v>
      </c>
    </row>
    <row r="284" spans="1:7">
      <c r="A284" s="102" t="s">
        <v>219</v>
      </c>
      <c r="B284" s="1" t="s">
        <v>2764</v>
      </c>
      <c r="C284" s="3">
        <v>50</v>
      </c>
      <c r="D284" s="1" t="s">
        <v>2512</v>
      </c>
      <c r="E284" s="1" t="s">
        <v>2515</v>
      </c>
      <c r="F284" s="2">
        <v>44869</v>
      </c>
      <c r="G284" s="94" t="str">
        <f t="shared" si="4"/>
        <v>Delhi</v>
      </c>
    </row>
    <row r="285" spans="1:7">
      <c r="A285" s="102" t="s">
        <v>501</v>
      </c>
      <c r="B285" s="1" t="s">
        <v>2765</v>
      </c>
      <c r="C285" s="3">
        <v>65</v>
      </c>
      <c r="D285" s="1" t="s">
        <v>133</v>
      </c>
      <c r="E285" s="1" t="s">
        <v>2515</v>
      </c>
      <c r="F285" s="2">
        <v>44047</v>
      </c>
      <c r="G285" s="94" t="str">
        <f t="shared" si="4"/>
        <v>Hyderabad</v>
      </c>
    </row>
    <row r="286" spans="1:7">
      <c r="A286" s="102" t="s">
        <v>592</v>
      </c>
      <c r="B286" s="1" t="s">
        <v>2766</v>
      </c>
      <c r="C286" s="3">
        <v>22</v>
      </c>
      <c r="D286" s="1" t="s">
        <v>133</v>
      </c>
      <c r="E286" s="1" t="s">
        <v>2507</v>
      </c>
      <c r="F286" s="2">
        <v>44593</v>
      </c>
      <c r="G286" s="94" t="str">
        <f t="shared" si="4"/>
        <v>Hyderabad</v>
      </c>
    </row>
    <row r="287" spans="1:7">
      <c r="A287" s="102" t="s">
        <v>1816</v>
      </c>
      <c r="B287" s="1" t="s">
        <v>2767</v>
      </c>
      <c r="C287" s="3">
        <v>62</v>
      </c>
      <c r="D287" s="1" t="s">
        <v>99</v>
      </c>
      <c r="E287" s="1" t="s">
        <v>2507</v>
      </c>
      <c r="F287" s="2">
        <v>44489</v>
      </c>
      <c r="G287" s="94" t="str">
        <f t="shared" si="4"/>
        <v>Delhi</v>
      </c>
    </row>
    <row r="288" spans="1:7">
      <c r="A288" s="102" t="s">
        <v>378</v>
      </c>
      <c r="B288" s="1" t="s">
        <v>2768</v>
      </c>
      <c r="C288" s="3">
        <v>53</v>
      </c>
      <c r="D288" s="1" t="s">
        <v>94</v>
      </c>
      <c r="E288" s="1" t="s">
        <v>2515</v>
      </c>
      <c r="F288" s="2">
        <v>44738</v>
      </c>
      <c r="G288" s="94" t="str">
        <f t="shared" si="4"/>
        <v>Chennai</v>
      </c>
    </row>
    <row r="289" spans="1:7">
      <c r="A289" s="102" t="s">
        <v>1534</v>
      </c>
      <c r="B289" s="1" t="s">
        <v>2769</v>
      </c>
      <c r="C289" s="3">
        <v>25</v>
      </c>
      <c r="D289" s="1" t="s">
        <v>133</v>
      </c>
      <c r="E289" s="1" t="s">
        <v>2509</v>
      </c>
      <c r="F289" s="2">
        <v>44450</v>
      </c>
      <c r="G289" s="94" t="str">
        <f t="shared" si="4"/>
        <v>Hyderabad</v>
      </c>
    </row>
    <row r="290" spans="1:7">
      <c r="A290" s="102" t="s">
        <v>1051</v>
      </c>
      <c r="B290" s="1" t="s">
        <v>2770</v>
      </c>
      <c r="C290" s="3">
        <v>54</v>
      </c>
      <c r="D290" s="1" t="s">
        <v>112</v>
      </c>
      <c r="E290" s="1" t="s">
        <v>2507</v>
      </c>
      <c r="F290" s="2">
        <v>44720</v>
      </c>
      <c r="G290" s="94" t="str">
        <f t="shared" si="4"/>
        <v>Mumbai</v>
      </c>
    </row>
    <row r="291" spans="1:7">
      <c r="A291" s="102" t="s">
        <v>797</v>
      </c>
      <c r="B291" s="1" t="s">
        <v>2771</v>
      </c>
      <c r="C291" s="3">
        <v>63</v>
      </c>
      <c r="D291" s="1" t="s">
        <v>99</v>
      </c>
      <c r="E291" s="1" t="s">
        <v>2507</v>
      </c>
      <c r="F291" s="2">
        <v>44330</v>
      </c>
      <c r="G291" s="94" t="str">
        <f t="shared" si="4"/>
        <v>Delhi</v>
      </c>
    </row>
    <row r="292" spans="1:7">
      <c r="A292" s="102" t="s">
        <v>233</v>
      </c>
      <c r="B292" s="1" t="s">
        <v>2772</v>
      </c>
      <c r="C292" s="3">
        <v>29</v>
      </c>
      <c r="D292" s="1" t="s">
        <v>88</v>
      </c>
      <c r="E292" s="1" t="s">
        <v>2515</v>
      </c>
      <c r="F292" s="2">
        <v>43950</v>
      </c>
      <c r="G292" s="94" t="str">
        <f t="shared" si="4"/>
        <v>Pune</v>
      </c>
    </row>
    <row r="293" spans="1:7">
      <c r="A293" s="102" t="s">
        <v>752</v>
      </c>
      <c r="B293" s="1" t="s">
        <v>2600</v>
      </c>
      <c r="C293" s="3">
        <v>32</v>
      </c>
      <c r="D293" s="1" t="s">
        <v>117</v>
      </c>
      <c r="E293" s="1" t="s">
        <v>2507</v>
      </c>
      <c r="F293" s="2">
        <v>43968</v>
      </c>
      <c r="G293" s="94" t="str">
        <f t="shared" si="4"/>
        <v>Bengaluru</v>
      </c>
    </row>
    <row r="294" spans="1:7">
      <c r="A294" s="102" t="s">
        <v>114</v>
      </c>
      <c r="B294" s="1" t="s">
        <v>2773</v>
      </c>
      <c r="C294" s="3">
        <v>27</v>
      </c>
      <c r="D294" s="1" t="s">
        <v>117</v>
      </c>
      <c r="E294" s="1" t="s">
        <v>2507</v>
      </c>
      <c r="F294" s="2">
        <v>44335</v>
      </c>
      <c r="G294" s="94" t="str">
        <f t="shared" si="4"/>
        <v>Bengaluru</v>
      </c>
    </row>
    <row r="295" spans="1:7">
      <c r="A295" s="102" t="s">
        <v>434</v>
      </c>
      <c r="B295" s="1" t="s">
        <v>2533</v>
      </c>
      <c r="C295" s="3">
        <v>31</v>
      </c>
      <c r="D295" s="1" t="s">
        <v>99</v>
      </c>
      <c r="E295" s="1" t="s">
        <v>2509</v>
      </c>
      <c r="F295" s="2">
        <v>43885</v>
      </c>
      <c r="G295" s="94" t="str">
        <f t="shared" si="4"/>
        <v>Delhi</v>
      </c>
    </row>
    <row r="296" spans="1:7">
      <c r="A296" s="102" t="s">
        <v>595</v>
      </c>
      <c r="B296" s="1" t="s">
        <v>2774</v>
      </c>
      <c r="C296" s="3">
        <v>48</v>
      </c>
      <c r="D296" s="1" t="s">
        <v>99</v>
      </c>
      <c r="E296" s="1" t="s">
        <v>2515</v>
      </c>
      <c r="F296" s="2">
        <v>43863</v>
      </c>
      <c r="G296" s="94" t="str">
        <f t="shared" si="4"/>
        <v>Delhi</v>
      </c>
    </row>
    <row r="297" spans="1:7">
      <c r="A297" s="102" t="s">
        <v>570</v>
      </c>
      <c r="B297" s="1" t="s">
        <v>2775</v>
      </c>
      <c r="C297" s="3">
        <v>47</v>
      </c>
      <c r="D297" s="1" t="s">
        <v>99</v>
      </c>
      <c r="E297" s="1" t="s">
        <v>2509</v>
      </c>
      <c r="F297" s="2">
        <v>44784</v>
      </c>
      <c r="G297" s="94" t="str">
        <f t="shared" si="4"/>
        <v>Delhi</v>
      </c>
    </row>
    <row r="298" spans="1:7">
      <c r="A298" s="102" t="s">
        <v>651</v>
      </c>
      <c r="B298" s="1" t="s">
        <v>2776</v>
      </c>
      <c r="C298" s="3">
        <v>50</v>
      </c>
      <c r="D298" s="1" t="s">
        <v>133</v>
      </c>
      <c r="E298" s="1" t="s">
        <v>2507</v>
      </c>
      <c r="F298" s="2">
        <v>44027</v>
      </c>
      <c r="G298" s="94" t="str">
        <f t="shared" si="4"/>
        <v>Hyderabad</v>
      </c>
    </row>
    <row r="299" spans="1:7">
      <c r="A299" s="102" t="s">
        <v>420</v>
      </c>
      <c r="B299" s="1" t="s">
        <v>2777</v>
      </c>
      <c r="C299" s="3">
        <v>44</v>
      </c>
      <c r="D299" s="1" t="s">
        <v>99</v>
      </c>
      <c r="E299" s="1" t="s">
        <v>2507</v>
      </c>
      <c r="F299" s="2">
        <v>43840</v>
      </c>
      <c r="G299" s="94" t="str">
        <f t="shared" si="4"/>
        <v>Delhi</v>
      </c>
    </row>
    <row r="300" spans="1:7">
      <c r="A300" s="102" t="s">
        <v>712</v>
      </c>
      <c r="B300" s="1" t="s">
        <v>2690</v>
      </c>
      <c r="C300" s="3">
        <v>51</v>
      </c>
      <c r="D300" s="1" t="s">
        <v>112</v>
      </c>
      <c r="E300" s="1" t="s">
        <v>2509</v>
      </c>
      <c r="F300" s="2">
        <v>44675</v>
      </c>
      <c r="G300" s="94" t="str">
        <f t="shared" si="4"/>
        <v>Mumbai</v>
      </c>
    </row>
    <row r="301" spans="1:7" ht="15" thickBot="1">
      <c r="A301" s="103" t="s">
        <v>1297</v>
      </c>
      <c r="B301" s="97" t="s">
        <v>2778</v>
      </c>
      <c r="C301" s="96">
        <v>38</v>
      </c>
      <c r="D301" s="97" t="s">
        <v>112</v>
      </c>
      <c r="E301" s="97" t="s">
        <v>2507</v>
      </c>
      <c r="F301" s="104">
        <v>43932</v>
      </c>
      <c r="G301" s="100" t="str">
        <f t="shared" si="4"/>
        <v>Mumbai</v>
      </c>
    </row>
  </sheetData>
  <autoFilter ref="A1:G301" xr:uid="{00000000-0001-0000-0200-000000000000}"/>
  <pageMargins left="0.75" right="0.75" top="1" bottom="1" header="0.5" footer="0.5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41" activePane="bottomLeft" state="frozen"/>
      <selection pane="bottomLeft" activeCell="E56" sqref="E56"/>
    </sheetView>
  </sheetViews>
  <sheetFormatPr defaultRowHeight="14.4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>
      <c r="A1" s="84" t="s">
        <v>75</v>
      </c>
      <c r="B1" s="85" t="s">
        <v>2779</v>
      </c>
      <c r="C1" s="85" t="s">
        <v>2780</v>
      </c>
      <c r="D1" s="85" t="s">
        <v>2781</v>
      </c>
      <c r="E1" s="85" t="s">
        <v>78</v>
      </c>
      <c r="F1" s="105" t="s">
        <v>2782</v>
      </c>
    </row>
    <row r="2" spans="1:6">
      <c r="A2" s="102" t="s">
        <v>364</v>
      </c>
      <c r="B2" s="1" t="s">
        <v>2783</v>
      </c>
      <c r="C2" s="1" t="s">
        <v>2784</v>
      </c>
      <c r="D2" s="3">
        <v>2405</v>
      </c>
      <c r="E2" s="3">
        <v>5330</v>
      </c>
      <c r="F2" s="106" t="b">
        <v>1</v>
      </c>
    </row>
    <row r="3" spans="1:6">
      <c r="A3" s="102" t="s">
        <v>138</v>
      </c>
      <c r="B3" s="1" t="s">
        <v>2785</v>
      </c>
      <c r="C3" s="1" t="s">
        <v>2784</v>
      </c>
      <c r="D3" s="3">
        <v>1052</v>
      </c>
      <c r="E3" s="3">
        <v>2600</v>
      </c>
      <c r="F3" s="106" t="b">
        <v>1</v>
      </c>
    </row>
    <row r="4" spans="1:6">
      <c r="A4" s="102" t="s">
        <v>187</v>
      </c>
      <c r="B4" s="1" t="s">
        <v>2786</v>
      </c>
      <c r="C4" s="1" t="s">
        <v>2784</v>
      </c>
      <c r="D4" s="3">
        <v>1665</v>
      </c>
      <c r="E4" s="3">
        <v>3570</v>
      </c>
      <c r="F4" s="106" t="b">
        <v>1</v>
      </c>
    </row>
    <row r="5" spans="1:6">
      <c r="A5" s="102" t="s">
        <v>248</v>
      </c>
      <c r="B5" s="1" t="s">
        <v>2787</v>
      </c>
      <c r="C5" s="1" t="s">
        <v>2784</v>
      </c>
      <c r="D5" s="3">
        <v>1559</v>
      </c>
      <c r="E5" s="3">
        <v>3870</v>
      </c>
      <c r="F5" s="106" t="b">
        <v>1</v>
      </c>
    </row>
    <row r="6" spans="1:6">
      <c r="A6" s="102" t="s">
        <v>282</v>
      </c>
      <c r="B6" s="1" t="s">
        <v>2788</v>
      </c>
      <c r="C6" s="1" t="s">
        <v>2784</v>
      </c>
      <c r="D6" s="3">
        <v>128</v>
      </c>
      <c r="E6" s="3">
        <v>300</v>
      </c>
      <c r="F6" s="106" t="b">
        <v>1</v>
      </c>
    </row>
    <row r="7" spans="1:6">
      <c r="A7" s="102" t="s">
        <v>408</v>
      </c>
      <c r="B7" s="1" t="s">
        <v>2789</v>
      </c>
      <c r="C7" s="1" t="s">
        <v>2784</v>
      </c>
      <c r="D7" s="3">
        <v>2865</v>
      </c>
      <c r="E7" s="3">
        <v>3970</v>
      </c>
      <c r="F7" s="106" t="b">
        <v>1</v>
      </c>
    </row>
    <row r="8" spans="1:6">
      <c r="A8" s="102" t="s">
        <v>120</v>
      </c>
      <c r="B8" s="1" t="s">
        <v>2790</v>
      </c>
      <c r="C8" s="1" t="s">
        <v>2784</v>
      </c>
      <c r="D8" s="3">
        <v>861</v>
      </c>
      <c r="E8" s="3">
        <v>1430</v>
      </c>
      <c r="F8" s="106" t="b">
        <v>1</v>
      </c>
    </row>
    <row r="9" spans="1:6">
      <c r="A9" s="102" t="s">
        <v>279</v>
      </c>
      <c r="B9" s="1" t="s">
        <v>2791</v>
      </c>
      <c r="C9" s="1" t="s">
        <v>2784</v>
      </c>
      <c r="D9" s="3">
        <v>1259</v>
      </c>
      <c r="E9" s="3">
        <v>2660</v>
      </c>
      <c r="F9" s="106" t="b">
        <v>0</v>
      </c>
    </row>
    <row r="10" spans="1:6">
      <c r="A10" s="102" t="s">
        <v>267</v>
      </c>
      <c r="B10" s="1" t="s">
        <v>2792</v>
      </c>
      <c r="C10" s="1" t="s">
        <v>2784</v>
      </c>
      <c r="D10" s="3">
        <v>517</v>
      </c>
      <c r="E10" s="3">
        <v>1220</v>
      </c>
      <c r="F10" s="106" t="b">
        <v>1</v>
      </c>
    </row>
    <row r="11" spans="1:6">
      <c r="A11" s="102" t="s">
        <v>135</v>
      </c>
      <c r="B11" s="1" t="s">
        <v>2793</v>
      </c>
      <c r="C11" s="1" t="s">
        <v>2784</v>
      </c>
      <c r="D11" s="3">
        <v>1149</v>
      </c>
      <c r="E11" s="3">
        <v>2640</v>
      </c>
      <c r="F11" s="106" t="b">
        <v>1</v>
      </c>
    </row>
    <row r="12" spans="1:6">
      <c r="A12" s="102" t="s">
        <v>452</v>
      </c>
      <c r="B12" s="1" t="s">
        <v>2794</v>
      </c>
      <c r="C12" s="1" t="s">
        <v>2795</v>
      </c>
      <c r="D12" s="3">
        <v>1748</v>
      </c>
      <c r="E12" s="3">
        <v>3450</v>
      </c>
      <c r="F12" s="106" t="b">
        <v>1</v>
      </c>
    </row>
    <row r="13" spans="1:6">
      <c r="A13" s="102" t="s">
        <v>106</v>
      </c>
      <c r="B13" s="1" t="s">
        <v>2796</v>
      </c>
      <c r="C13" s="1" t="s">
        <v>2795</v>
      </c>
      <c r="D13" s="3">
        <v>1886</v>
      </c>
      <c r="E13" s="3">
        <v>3160</v>
      </c>
      <c r="F13" s="106" t="b">
        <v>1</v>
      </c>
    </row>
    <row r="14" spans="1:6">
      <c r="A14" s="102" t="s">
        <v>237</v>
      </c>
      <c r="B14" s="1" t="s">
        <v>2797</v>
      </c>
      <c r="C14" s="1" t="s">
        <v>2795</v>
      </c>
      <c r="D14" s="3">
        <v>2611</v>
      </c>
      <c r="E14" s="3">
        <v>3640</v>
      </c>
      <c r="F14" s="106" t="b">
        <v>1</v>
      </c>
    </row>
    <row r="15" spans="1:6">
      <c r="A15" s="102" t="s">
        <v>85</v>
      </c>
      <c r="B15" s="1" t="s">
        <v>2798</v>
      </c>
      <c r="C15" s="1" t="s">
        <v>2795</v>
      </c>
      <c r="D15" s="3">
        <v>2509</v>
      </c>
      <c r="E15" s="3">
        <v>3620</v>
      </c>
      <c r="F15" s="106" t="b">
        <v>1</v>
      </c>
    </row>
    <row r="16" spans="1:6">
      <c r="A16" s="102" t="s">
        <v>173</v>
      </c>
      <c r="B16" s="1" t="s">
        <v>2799</v>
      </c>
      <c r="C16" s="1" t="s">
        <v>2795</v>
      </c>
      <c r="D16" s="3">
        <v>1962</v>
      </c>
      <c r="E16" s="3">
        <v>2720</v>
      </c>
      <c r="F16" s="106" t="b">
        <v>1</v>
      </c>
    </row>
    <row r="17" spans="1:6">
      <c r="A17" s="102" t="s">
        <v>292</v>
      </c>
      <c r="B17" s="1" t="s">
        <v>2800</v>
      </c>
      <c r="C17" s="1" t="s">
        <v>2795</v>
      </c>
      <c r="D17" s="3">
        <v>396</v>
      </c>
      <c r="E17" s="3">
        <v>620</v>
      </c>
      <c r="F17" s="106" t="b">
        <v>1</v>
      </c>
    </row>
    <row r="18" spans="1:6">
      <c r="A18" s="102" t="s">
        <v>355</v>
      </c>
      <c r="B18" s="1" t="s">
        <v>2801</v>
      </c>
      <c r="C18" s="1" t="s">
        <v>2795</v>
      </c>
      <c r="D18" s="3">
        <v>1075</v>
      </c>
      <c r="E18" s="3">
        <v>2510</v>
      </c>
      <c r="F18" s="106" t="b">
        <v>0</v>
      </c>
    </row>
    <row r="19" spans="1:6">
      <c r="A19" s="102" t="s">
        <v>659</v>
      </c>
      <c r="B19" s="1" t="s">
        <v>2802</v>
      </c>
      <c r="C19" s="1" t="s">
        <v>2795</v>
      </c>
      <c r="D19" s="3">
        <v>2629</v>
      </c>
      <c r="E19" s="3">
        <v>3560</v>
      </c>
      <c r="F19" s="106" t="b">
        <v>1</v>
      </c>
    </row>
    <row r="20" spans="1:6">
      <c r="A20" s="102" t="s">
        <v>167</v>
      </c>
      <c r="B20" s="1" t="s">
        <v>2803</v>
      </c>
      <c r="C20" s="1" t="s">
        <v>2795</v>
      </c>
      <c r="D20" s="3">
        <v>1173</v>
      </c>
      <c r="E20" s="3">
        <v>2480</v>
      </c>
      <c r="F20" s="106" t="b">
        <v>1</v>
      </c>
    </row>
    <row r="21" spans="1:6">
      <c r="A21" s="102" t="s">
        <v>91</v>
      </c>
      <c r="B21" s="1" t="s">
        <v>2804</v>
      </c>
      <c r="C21" s="1" t="s">
        <v>2795</v>
      </c>
      <c r="D21" s="3">
        <v>391</v>
      </c>
      <c r="E21" s="3">
        <v>820</v>
      </c>
      <c r="F21" s="106" t="b">
        <v>1</v>
      </c>
    </row>
    <row r="22" spans="1:6">
      <c r="A22" s="102" t="s">
        <v>200</v>
      </c>
      <c r="B22" s="1" t="s">
        <v>2805</v>
      </c>
      <c r="C22" s="1" t="s">
        <v>2806</v>
      </c>
      <c r="D22" s="3">
        <v>1435</v>
      </c>
      <c r="E22" s="3">
        <v>2760</v>
      </c>
      <c r="F22" s="106" t="b">
        <v>1</v>
      </c>
    </row>
    <row r="23" spans="1:6">
      <c r="A23" s="102" t="s">
        <v>245</v>
      </c>
      <c r="B23" s="1" t="s">
        <v>2807</v>
      </c>
      <c r="C23" s="1" t="s">
        <v>2806</v>
      </c>
      <c r="D23" s="3">
        <v>1412</v>
      </c>
      <c r="E23" s="3">
        <v>2270</v>
      </c>
      <c r="F23" s="106" t="b">
        <v>1</v>
      </c>
    </row>
    <row r="24" spans="1:6">
      <c r="A24" s="102" t="s">
        <v>367</v>
      </c>
      <c r="B24" s="1" t="s">
        <v>2808</v>
      </c>
      <c r="C24" s="1" t="s">
        <v>2806</v>
      </c>
      <c r="D24" s="3">
        <v>1182</v>
      </c>
      <c r="E24" s="3">
        <v>2380</v>
      </c>
      <c r="F24" s="106" t="b">
        <v>1</v>
      </c>
    </row>
    <row r="25" spans="1:6">
      <c r="A25" s="102" t="s">
        <v>131</v>
      </c>
      <c r="B25" s="1" t="s">
        <v>2809</v>
      </c>
      <c r="C25" s="1" t="s">
        <v>2806</v>
      </c>
      <c r="D25" s="3">
        <v>1203</v>
      </c>
      <c r="E25" s="3">
        <v>2270</v>
      </c>
      <c r="F25" s="106" t="b">
        <v>1</v>
      </c>
    </row>
    <row r="26" spans="1:6">
      <c r="A26" s="102" t="s">
        <v>351</v>
      </c>
      <c r="B26" s="1" t="s">
        <v>2810</v>
      </c>
      <c r="C26" s="1" t="s">
        <v>2806</v>
      </c>
      <c r="D26" s="3">
        <v>2911</v>
      </c>
      <c r="E26" s="3">
        <v>4060</v>
      </c>
      <c r="F26" s="106" t="b">
        <v>1</v>
      </c>
    </row>
    <row r="27" spans="1:6">
      <c r="A27" s="102" t="s">
        <v>264</v>
      </c>
      <c r="B27" s="1" t="s">
        <v>2811</v>
      </c>
      <c r="C27" s="1" t="s">
        <v>2806</v>
      </c>
      <c r="D27" s="3">
        <v>2027</v>
      </c>
      <c r="E27" s="3">
        <v>4070</v>
      </c>
      <c r="F27" s="106" t="b">
        <v>1</v>
      </c>
    </row>
    <row r="28" spans="1:6">
      <c r="A28" s="102" t="s">
        <v>234</v>
      </c>
      <c r="B28" s="1" t="s">
        <v>2812</v>
      </c>
      <c r="C28" s="1" t="s">
        <v>2806</v>
      </c>
      <c r="D28" s="3">
        <v>2436</v>
      </c>
      <c r="E28" s="3">
        <v>3780</v>
      </c>
      <c r="F28" s="106" t="b">
        <v>1</v>
      </c>
    </row>
    <row r="29" spans="1:6">
      <c r="A29" s="102" t="s">
        <v>102</v>
      </c>
      <c r="B29" s="1" t="s">
        <v>2813</v>
      </c>
      <c r="C29" s="1" t="s">
        <v>2806</v>
      </c>
      <c r="D29" s="3">
        <v>2214</v>
      </c>
      <c r="E29" s="3">
        <v>3660</v>
      </c>
      <c r="F29" s="106" t="b">
        <v>0</v>
      </c>
    </row>
    <row r="30" spans="1:6">
      <c r="A30" s="102" t="s">
        <v>338</v>
      </c>
      <c r="B30" s="1" t="s">
        <v>2814</v>
      </c>
      <c r="C30" s="1" t="s">
        <v>2806</v>
      </c>
      <c r="D30" s="3">
        <v>1010</v>
      </c>
      <c r="E30" s="3">
        <v>2210</v>
      </c>
      <c r="F30" s="106" t="b">
        <v>1</v>
      </c>
    </row>
    <row r="31" spans="1:6">
      <c r="A31" s="102" t="s">
        <v>127</v>
      </c>
      <c r="B31" s="1" t="s">
        <v>2815</v>
      </c>
      <c r="C31" s="1" t="s">
        <v>2806</v>
      </c>
      <c r="D31" s="3">
        <v>434</v>
      </c>
      <c r="E31" s="3">
        <v>970</v>
      </c>
      <c r="F31" s="106" t="b">
        <v>1</v>
      </c>
    </row>
    <row r="32" spans="1:6">
      <c r="A32" s="102" t="s">
        <v>226</v>
      </c>
      <c r="B32" s="1" t="s">
        <v>2816</v>
      </c>
      <c r="C32" s="1" t="s">
        <v>2817</v>
      </c>
      <c r="D32" s="3">
        <v>2135</v>
      </c>
      <c r="E32" s="3">
        <v>3730</v>
      </c>
      <c r="F32" s="106" t="b">
        <v>1</v>
      </c>
    </row>
    <row r="33" spans="1:6">
      <c r="A33" s="102" t="s">
        <v>110</v>
      </c>
      <c r="B33" s="1" t="s">
        <v>2818</v>
      </c>
      <c r="C33" s="1" t="s">
        <v>2817</v>
      </c>
      <c r="D33" s="3">
        <v>288</v>
      </c>
      <c r="E33" s="3">
        <v>370</v>
      </c>
      <c r="F33" s="106" t="b">
        <v>1</v>
      </c>
    </row>
    <row r="34" spans="1:6">
      <c r="A34" s="102" t="s">
        <v>295</v>
      </c>
      <c r="B34" s="1" t="s">
        <v>2819</v>
      </c>
      <c r="C34" s="1" t="s">
        <v>2817</v>
      </c>
      <c r="D34" s="3">
        <v>1143</v>
      </c>
      <c r="E34" s="3">
        <v>2030</v>
      </c>
      <c r="F34" s="106" t="b">
        <v>1</v>
      </c>
    </row>
    <row r="35" spans="1:6">
      <c r="A35" s="102" t="s">
        <v>443</v>
      </c>
      <c r="B35" s="1" t="s">
        <v>2820</v>
      </c>
      <c r="C35" s="1" t="s">
        <v>2817</v>
      </c>
      <c r="D35" s="3">
        <v>2459</v>
      </c>
      <c r="E35" s="3">
        <v>5080</v>
      </c>
      <c r="F35" s="106" t="b">
        <v>1</v>
      </c>
    </row>
    <row r="36" spans="1:6">
      <c r="A36" s="102" t="s">
        <v>502</v>
      </c>
      <c r="B36" s="1" t="s">
        <v>2821</v>
      </c>
      <c r="C36" s="1" t="s">
        <v>2817</v>
      </c>
      <c r="D36" s="3">
        <v>464</v>
      </c>
      <c r="E36" s="3">
        <v>1090</v>
      </c>
      <c r="F36" s="106" t="b">
        <v>1</v>
      </c>
    </row>
    <row r="37" spans="1:6">
      <c r="A37" s="102" t="s">
        <v>143</v>
      </c>
      <c r="B37" s="1" t="s">
        <v>2822</v>
      </c>
      <c r="C37" s="1" t="s">
        <v>2817</v>
      </c>
      <c r="D37" s="3">
        <v>1556</v>
      </c>
      <c r="E37" s="3">
        <v>3250</v>
      </c>
      <c r="F37" s="106" t="b">
        <v>1</v>
      </c>
    </row>
    <row r="38" spans="1:6">
      <c r="A38" s="102" t="s">
        <v>203</v>
      </c>
      <c r="B38" s="1" t="s">
        <v>2823</v>
      </c>
      <c r="C38" s="1" t="s">
        <v>2817</v>
      </c>
      <c r="D38" s="3">
        <v>329</v>
      </c>
      <c r="E38" s="3">
        <v>660</v>
      </c>
      <c r="F38" s="106" t="b">
        <v>1</v>
      </c>
    </row>
    <row r="39" spans="1:6">
      <c r="A39" s="102" t="s">
        <v>124</v>
      </c>
      <c r="B39" s="1" t="s">
        <v>2824</v>
      </c>
      <c r="C39" s="1" t="s">
        <v>2817</v>
      </c>
      <c r="D39" s="3">
        <v>2549</v>
      </c>
      <c r="E39" s="3">
        <v>5490</v>
      </c>
      <c r="F39" s="106" t="b">
        <v>1</v>
      </c>
    </row>
    <row r="40" spans="1:6">
      <c r="A40" s="102" t="s">
        <v>270</v>
      </c>
      <c r="B40" s="1" t="s">
        <v>2825</v>
      </c>
      <c r="C40" s="1" t="s">
        <v>2817</v>
      </c>
      <c r="D40" s="3">
        <v>1850</v>
      </c>
      <c r="E40" s="3">
        <v>4610</v>
      </c>
      <c r="F40" s="106" t="b">
        <v>1</v>
      </c>
    </row>
    <row r="41" spans="1:6">
      <c r="A41" s="102" t="s">
        <v>164</v>
      </c>
      <c r="B41" s="1" t="s">
        <v>2826</v>
      </c>
      <c r="C41" s="1" t="s">
        <v>2817</v>
      </c>
      <c r="D41" s="3">
        <v>519</v>
      </c>
      <c r="E41" s="3">
        <v>1080</v>
      </c>
      <c r="F41" s="106" t="b">
        <v>1</v>
      </c>
    </row>
    <row r="42" spans="1:6">
      <c r="A42" s="102" t="s">
        <v>259</v>
      </c>
      <c r="B42" s="1" t="s">
        <v>2827</v>
      </c>
      <c r="C42" s="1" t="s">
        <v>2828</v>
      </c>
      <c r="D42" s="3">
        <v>647</v>
      </c>
      <c r="E42" s="3">
        <v>1540</v>
      </c>
      <c r="F42" s="106" t="b">
        <v>0</v>
      </c>
    </row>
    <row r="43" spans="1:6">
      <c r="A43" s="102" t="s">
        <v>386</v>
      </c>
      <c r="B43" s="1" t="s">
        <v>2829</v>
      </c>
      <c r="C43" s="1" t="s">
        <v>2828</v>
      </c>
      <c r="D43" s="3">
        <v>1219</v>
      </c>
      <c r="E43" s="3">
        <v>2290</v>
      </c>
      <c r="F43" s="106" t="b">
        <v>1</v>
      </c>
    </row>
    <row r="44" spans="1:6">
      <c r="A44" s="102" t="s">
        <v>179</v>
      </c>
      <c r="B44" s="1" t="s">
        <v>2830</v>
      </c>
      <c r="C44" s="1" t="s">
        <v>2828</v>
      </c>
      <c r="D44" s="3">
        <v>1728</v>
      </c>
      <c r="E44" s="3">
        <v>3350</v>
      </c>
      <c r="F44" s="106" t="b">
        <v>1</v>
      </c>
    </row>
    <row r="45" spans="1:6">
      <c r="A45" s="102" t="s">
        <v>176</v>
      </c>
      <c r="B45" s="1" t="s">
        <v>2831</v>
      </c>
      <c r="C45" s="1" t="s">
        <v>2828</v>
      </c>
      <c r="D45" s="3">
        <v>1222</v>
      </c>
      <c r="E45" s="3">
        <v>1650</v>
      </c>
      <c r="F45" s="106" t="b">
        <v>1</v>
      </c>
    </row>
    <row r="46" spans="1:6">
      <c r="A46" s="102" t="s">
        <v>276</v>
      </c>
      <c r="B46" s="1" t="s">
        <v>2832</v>
      </c>
      <c r="C46" s="1" t="s">
        <v>2828</v>
      </c>
      <c r="D46" s="3">
        <v>1626</v>
      </c>
      <c r="E46" s="3">
        <v>3020</v>
      </c>
      <c r="F46" s="106" t="b">
        <v>1</v>
      </c>
    </row>
    <row r="47" spans="1:6">
      <c r="A47" s="102" t="s">
        <v>184</v>
      </c>
      <c r="B47" s="1" t="s">
        <v>2833</v>
      </c>
      <c r="C47" s="1" t="s">
        <v>2828</v>
      </c>
      <c r="D47" s="3">
        <v>2768</v>
      </c>
      <c r="E47" s="3">
        <v>4880</v>
      </c>
      <c r="F47" s="106" t="b">
        <v>1</v>
      </c>
    </row>
    <row r="48" spans="1:6">
      <c r="A48" s="102" t="s">
        <v>157</v>
      </c>
      <c r="B48" s="1" t="s">
        <v>2834</v>
      </c>
      <c r="C48" s="1" t="s">
        <v>2828</v>
      </c>
      <c r="D48" s="3">
        <v>2420</v>
      </c>
      <c r="E48" s="3">
        <v>3450</v>
      </c>
      <c r="F48" s="106" t="b">
        <v>1</v>
      </c>
    </row>
    <row r="49" spans="1:6">
      <c r="A49" s="102" t="s">
        <v>191</v>
      </c>
      <c r="B49" s="1" t="s">
        <v>2835</v>
      </c>
      <c r="C49" s="1" t="s">
        <v>2828</v>
      </c>
      <c r="D49" s="3">
        <v>2237</v>
      </c>
      <c r="E49" s="3">
        <v>5100</v>
      </c>
      <c r="F49" s="106" t="b">
        <v>1</v>
      </c>
    </row>
    <row r="50" spans="1:6">
      <c r="A50" s="102" t="s">
        <v>380</v>
      </c>
      <c r="B50" s="1" t="s">
        <v>2836</v>
      </c>
      <c r="C50" s="1" t="s">
        <v>2828</v>
      </c>
      <c r="D50" s="3">
        <v>675</v>
      </c>
      <c r="E50" s="3">
        <v>960</v>
      </c>
      <c r="F50" s="106" t="b">
        <v>1</v>
      </c>
    </row>
    <row r="51" spans="1:6">
      <c r="A51" s="102" t="s">
        <v>241</v>
      </c>
      <c r="B51" s="1" t="s">
        <v>2837</v>
      </c>
      <c r="C51" s="1" t="s">
        <v>2828</v>
      </c>
      <c r="D51" s="3">
        <v>2617</v>
      </c>
      <c r="E51" s="3">
        <v>6080</v>
      </c>
      <c r="F51" s="106" t="b">
        <v>1</v>
      </c>
    </row>
    <row r="52" spans="1:6">
      <c r="A52" s="102" t="s">
        <v>161</v>
      </c>
      <c r="B52" s="1" t="s">
        <v>2838</v>
      </c>
      <c r="C52" s="1" t="s">
        <v>2839</v>
      </c>
      <c r="D52" s="3">
        <v>2467</v>
      </c>
      <c r="E52" s="3">
        <v>3450</v>
      </c>
      <c r="F52" s="106" t="b">
        <v>1</v>
      </c>
    </row>
    <row r="53" spans="1:6">
      <c r="A53" s="102" t="s">
        <v>360</v>
      </c>
      <c r="B53" s="1" t="s">
        <v>2840</v>
      </c>
      <c r="C53" s="1" t="s">
        <v>2839</v>
      </c>
      <c r="D53" s="3">
        <v>2265</v>
      </c>
      <c r="E53" s="3">
        <v>5410</v>
      </c>
      <c r="F53" s="106" t="b">
        <v>1</v>
      </c>
    </row>
    <row r="54" spans="1:6">
      <c r="A54" s="102" t="s">
        <v>97</v>
      </c>
      <c r="B54" s="1" t="s">
        <v>2841</v>
      </c>
      <c r="C54" s="1" t="s">
        <v>2839</v>
      </c>
      <c r="D54" s="3">
        <v>302</v>
      </c>
      <c r="E54" s="3">
        <v>470</v>
      </c>
      <c r="F54" s="106" t="b">
        <v>0</v>
      </c>
    </row>
    <row r="55" spans="1:6">
      <c r="A55" s="102" t="s">
        <v>182</v>
      </c>
      <c r="B55" s="1" t="s">
        <v>2842</v>
      </c>
      <c r="C55" s="1" t="s">
        <v>2839</v>
      </c>
      <c r="D55" s="3">
        <v>516</v>
      </c>
      <c r="E55" s="3">
        <v>1010</v>
      </c>
      <c r="F55" s="106" t="b">
        <v>1</v>
      </c>
    </row>
    <row r="56" spans="1:6">
      <c r="A56" s="102" t="s">
        <v>195</v>
      </c>
      <c r="B56" s="1" t="s">
        <v>2843</v>
      </c>
      <c r="C56" s="1" t="s">
        <v>2839</v>
      </c>
      <c r="D56" s="3">
        <v>2028</v>
      </c>
      <c r="E56" s="3">
        <v>2860</v>
      </c>
      <c r="F56" s="106" t="b">
        <v>1</v>
      </c>
    </row>
    <row r="57" spans="1:6">
      <c r="A57" s="102" t="s">
        <v>515</v>
      </c>
      <c r="B57" s="1" t="s">
        <v>2844</v>
      </c>
      <c r="C57" s="1" t="s">
        <v>2839</v>
      </c>
      <c r="D57" s="3">
        <v>2827</v>
      </c>
      <c r="E57" s="3">
        <v>6940</v>
      </c>
      <c r="F57" s="106" t="b">
        <v>1</v>
      </c>
    </row>
    <row r="58" spans="1:6">
      <c r="A58" s="102" t="s">
        <v>115</v>
      </c>
      <c r="B58" s="1" t="s">
        <v>2845</v>
      </c>
      <c r="C58" s="1" t="s">
        <v>2839</v>
      </c>
      <c r="D58" s="3">
        <v>705</v>
      </c>
      <c r="E58" s="3">
        <v>960</v>
      </c>
      <c r="F58" s="106" t="b">
        <v>1</v>
      </c>
    </row>
    <row r="59" spans="1:6">
      <c r="A59" s="102" t="s">
        <v>151</v>
      </c>
      <c r="B59" s="1" t="s">
        <v>2846</v>
      </c>
      <c r="C59" s="1" t="s">
        <v>2839</v>
      </c>
      <c r="D59" s="3">
        <v>974</v>
      </c>
      <c r="E59" s="3">
        <v>2400</v>
      </c>
      <c r="F59" s="106" t="b">
        <v>1</v>
      </c>
    </row>
    <row r="60" spans="1:6">
      <c r="A60" s="102" t="s">
        <v>461</v>
      </c>
      <c r="B60" s="1" t="s">
        <v>2847</v>
      </c>
      <c r="C60" s="1" t="s">
        <v>2839</v>
      </c>
      <c r="D60" s="3">
        <v>1860</v>
      </c>
      <c r="E60" s="3">
        <v>3780</v>
      </c>
      <c r="F60" s="106" t="b">
        <v>1</v>
      </c>
    </row>
    <row r="61" spans="1:6" ht="15" thickBot="1">
      <c r="A61" s="103" t="s">
        <v>147</v>
      </c>
      <c r="B61" s="97" t="s">
        <v>2848</v>
      </c>
      <c r="C61" s="97" t="s">
        <v>2839</v>
      </c>
      <c r="D61" s="96">
        <v>147</v>
      </c>
      <c r="E61" s="96">
        <v>190</v>
      </c>
      <c r="F61" s="107" t="b">
        <v>1</v>
      </c>
    </row>
  </sheetData>
  <pageMargins left="0.75" right="0.75" top="1" bottom="1" header="0.5" footer="0.5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E31"/>
  <sheetViews>
    <sheetView workbookViewId="0">
      <pane ySplit="1" topLeftCell="A2" activePane="bottomLeft" state="frozen"/>
      <selection pane="bottomLeft" activeCell="G8" sqref="G8"/>
    </sheetView>
  </sheetViews>
  <sheetFormatPr defaultRowHeight="14.4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>
      <c r="A1" s="84" t="s">
        <v>2849</v>
      </c>
      <c r="B1" s="85" t="s">
        <v>2850</v>
      </c>
      <c r="C1" s="85" t="s">
        <v>2851</v>
      </c>
      <c r="D1" s="85" t="s">
        <v>2852</v>
      </c>
      <c r="E1" s="105" t="s">
        <v>2853</v>
      </c>
    </row>
    <row r="2" spans="1:5">
      <c r="A2" s="102" t="s">
        <v>215</v>
      </c>
      <c r="B2" s="1" t="s">
        <v>2854</v>
      </c>
      <c r="C2" s="1" t="s">
        <v>2855</v>
      </c>
      <c r="D2" s="2">
        <v>44207</v>
      </c>
      <c r="E2" s="106"/>
    </row>
    <row r="3" spans="1:5">
      <c r="A3" s="102" t="s">
        <v>297</v>
      </c>
      <c r="B3" s="1" t="s">
        <v>2856</v>
      </c>
      <c r="C3" s="1" t="s">
        <v>2855</v>
      </c>
      <c r="D3" s="2">
        <v>44028</v>
      </c>
      <c r="E3" s="106"/>
    </row>
    <row r="4" spans="1:5">
      <c r="A4" s="102" t="s">
        <v>148</v>
      </c>
      <c r="B4" s="1" t="s">
        <v>2857</v>
      </c>
      <c r="C4" s="1" t="s">
        <v>2855</v>
      </c>
      <c r="D4" s="2">
        <v>43651</v>
      </c>
      <c r="E4" s="106"/>
    </row>
    <row r="5" spans="1:5">
      <c r="A5" s="102" t="s">
        <v>139</v>
      </c>
      <c r="B5" s="1" t="s">
        <v>2858</v>
      </c>
      <c r="C5" s="1" t="s">
        <v>2855</v>
      </c>
      <c r="D5" s="2">
        <v>44907</v>
      </c>
      <c r="E5" s="106"/>
    </row>
    <row r="6" spans="1:5">
      <c r="A6" s="102" t="s">
        <v>92</v>
      </c>
      <c r="B6" s="1" t="s">
        <v>2859</v>
      </c>
      <c r="C6" s="1" t="s">
        <v>2855</v>
      </c>
      <c r="D6" s="2">
        <v>43588</v>
      </c>
      <c r="E6" s="106" t="s">
        <v>215</v>
      </c>
    </row>
    <row r="7" spans="1:5">
      <c r="A7" s="102" t="s">
        <v>103</v>
      </c>
      <c r="B7" s="1" t="s">
        <v>2773</v>
      </c>
      <c r="C7" s="1" t="s">
        <v>2855</v>
      </c>
      <c r="D7" s="2">
        <v>44131</v>
      </c>
      <c r="E7" s="106" t="s">
        <v>215</v>
      </c>
    </row>
    <row r="8" spans="1:5">
      <c r="A8" s="102" t="s">
        <v>86</v>
      </c>
      <c r="B8" s="1" t="s">
        <v>2860</v>
      </c>
      <c r="C8" s="1" t="s">
        <v>2855</v>
      </c>
      <c r="D8" s="2">
        <v>43493</v>
      </c>
      <c r="E8" s="106" t="s">
        <v>215</v>
      </c>
    </row>
    <row r="9" spans="1:5">
      <c r="A9" s="102" t="s">
        <v>107</v>
      </c>
      <c r="B9" s="1" t="s">
        <v>2762</v>
      </c>
      <c r="C9" s="1" t="s">
        <v>2855</v>
      </c>
      <c r="D9" s="2">
        <v>44693</v>
      </c>
      <c r="E9" s="106" t="s">
        <v>215</v>
      </c>
    </row>
    <row r="10" spans="1:5">
      <c r="A10" s="102" t="s">
        <v>204</v>
      </c>
      <c r="B10" s="1" t="s">
        <v>2861</v>
      </c>
      <c r="C10" s="1" t="s">
        <v>2862</v>
      </c>
      <c r="D10" s="2">
        <v>44804</v>
      </c>
      <c r="E10" s="106" t="s">
        <v>297</v>
      </c>
    </row>
    <row r="11" spans="1:5">
      <c r="A11" s="102" t="s">
        <v>132</v>
      </c>
      <c r="B11" s="1" t="s">
        <v>2863</v>
      </c>
      <c r="C11" s="1" t="s">
        <v>2862</v>
      </c>
      <c r="D11" s="2">
        <v>43904</v>
      </c>
      <c r="E11" s="106" t="s">
        <v>297</v>
      </c>
    </row>
    <row r="12" spans="1:5">
      <c r="A12" s="102" t="s">
        <v>273</v>
      </c>
      <c r="B12" s="1" t="s">
        <v>2864</v>
      </c>
      <c r="C12" s="1" t="s">
        <v>2862</v>
      </c>
      <c r="D12" s="2">
        <v>44622</v>
      </c>
      <c r="E12" s="106" t="s">
        <v>297</v>
      </c>
    </row>
    <row r="13" spans="1:5">
      <c r="A13" s="102" t="s">
        <v>325</v>
      </c>
      <c r="B13" s="1" t="s">
        <v>2865</v>
      </c>
      <c r="C13" s="1" t="s">
        <v>2862</v>
      </c>
      <c r="D13" s="2">
        <v>44890</v>
      </c>
      <c r="E13" s="106" t="s">
        <v>297</v>
      </c>
    </row>
    <row r="14" spans="1:5">
      <c r="A14" s="102" t="s">
        <v>252</v>
      </c>
      <c r="B14" s="1" t="s">
        <v>2866</v>
      </c>
      <c r="C14" s="1" t="s">
        <v>2862</v>
      </c>
      <c r="D14" s="2">
        <v>45215</v>
      </c>
      <c r="E14" s="106" t="s">
        <v>297</v>
      </c>
    </row>
    <row r="15" spans="1:5">
      <c r="A15" s="102" t="s">
        <v>98</v>
      </c>
      <c r="B15" s="1" t="s">
        <v>2867</v>
      </c>
      <c r="C15" s="1" t="s">
        <v>2862</v>
      </c>
      <c r="D15" s="2">
        <v>44469</v>
      </c>
      <c r="E15" s="106" t="s">
        <v>297</v>
      </c>
    </row>
    <row r="16" spans="1:5">
      <c r="A16" s="102" t="s">
        <v>188</v>
      </c>
      <c r="B16" s="1" t="s">
        <v>2868</v>
      </c>
      <c r="C16" s="1" t="s">
        <v>2862</v>
      </c>
      <c r="D16" s="2">
        <v>45231</v>
      </c>
      <c r="E16" s="106" t="s">
        <v>297</v>
      </c>
    </row>
    <row r="17" spans="1:5">
      <c r="A17" s="102" t="s">
        <v>346</v>
      </c>
      <c r="B17" s="1" t="s">
        <v>2869</v>
      </c>
      <c r="C17" s="1" t="s">
        <v>2862</v>
      </c>
      <c r="D17" s="2">
        <v>43614</v>
      </c>
      <c r="E17" s="106" t="s">
        <v>297</v>
      </c>
    </row>
    <row r="18" spans="1:5">
      <c r="A18" s="102" t="s">
        <v>238</v>
      </c>
      <c r="B18" s="1" t="s">
        <v>2870</v>
      </c>
      <c r="C18" s="1" t="s">
        <v>2871</v>
      </c>
      <c r="D18" s="2">
        <v>43685</v>
      </c>
      <c r="E18" s="106" t="s">
        <v>148</v>
      </c>
    </row>
    <row r="19" spans="1:5">
      <c r="A19" s="102" t="s">
        <v>303</v>
      </c>
      <c r="B19" s="1" t="s">
        <v>2872</v>
      </c>
      <c r="C19" s="1" t="s">
        <v>2871</v>
      </c>
      <c r="D19" s="2">
        <v>43428</v>
      </c>
      <c r="E19" s="106" t="s">
        <v>148</v>
      </c>
    </row>
    <row r="20" spans="1:5">
      <c r="A20" s="102" t="s">
        <v>121</v>
      </c>
      <c r="B20" s="1" t="s">
        <v>2873</v>
      </c>
      <c r="C20" s="1" t="s">
        <v>2871</v>
      </c>
      <c r="D20" s="2">
        <v>43576</v>
      </c>
      <c r="E20" s="106" t="s">
        <v>148</v>
      </c>
    </row>
    <row r="21" spans="1:5">
      <c r="A21" s="102" t="s">
        <v>192</v>
      </c>
      <c r="B21" s="1" t="s">
        <v>2874</v>
      </c>
      <c r="C21" s="1" t="s">
        <v>2871</v>
      </c>
      <c r="D21" s="2">
        <v>43254</v>
      </c>
      <c r="E21" s="106" t="s">
        <v>148</v>
      </c>
    </row>
    <row r="22" spans="1:5">
      <c r="A22" s="102" t="s">
        <v>158</v>
      </c>
      <c r="B22" s="1" t="s">
        <v>2875</v>
      </c>
      <c r="C22" s="1" t="s">
        <v>2871</v>
      </c>
      <c r="D22" s="2">
        <v>43260</v>
      </c>
      <c r="E22" s="106" t="s">
        <v>148</v>
      </c>
    </row>
    <row r="23" spans="1:5">
      <c r="A23" s="102" t="s">
        <v>285</v>
      </c>
      <c r="B23" s="1" t="s">
        <v>2876</v>
      </c>
      <c r="C23" s="1" t="s">
        <v>2871</v>
      </c>
      <c r="D23" s="2">
        <v>43146</v>
      </c>
      <c r="E23" s="106" t="s">
        <v>148</v>
      </c>
    </row>
    <row r="24" spans="1:5">
      <c r="A24" s="102" t="s">
        <v>154</v>
      </c>
      <c r="B24" s="1" t="s">
        <v>2877</v>
      </c>
      <c r="C24" s="1" t="s">
        <v>2871</v>
      </c>
      <c r="D24" s="2">
        <v>44777</v>
      </c>
      <c r="E24" s="106" t="s">
        <v>148</v>
      </c>
    </row>
    <row r="25" spans="1:5">
      <c r="A25" s="102" t="s">
        <v>116</v>
      </c>
      <c r="B25" s="1" t="s">
        <v>2878</v>
      </c>
      <c r="C25" s="1" t="s">
        <v>2879</v>
      </c>
      <c r="D25" s="2">
        <v>43371</v>
      </c>
      <c r="E25" s="106" t="s">
        <v>139</v>
      </c>
    </row>
    <row r="26" spans="1:5">
      <c r="A26" s="102" t="s">
        <v>111</v>
      </c>
      <c r="B26" s="1" t="s">
        <v>2880</v>
      </c>
      <c r="C26" s="1" t="s">
        <v>2879</v>
      </c>
      <c r="D26" s="2">
        <v>43781</v>
      </c>
      <c r="E26" s="106" t="s">
        <v>139</v>
      </c>
    </row>
    <row r="27" spans="1:5">
      <c r="A27" s="102" t="s">
        <v>201</v>
      </c>
      <c r="B27" s="1" t="s">
        <v>2881</v>
      </c>
      <c r="C27" s="1" t="s">
        <v>2879</v>
      </c>
      <c r="D27" s="2">
        <v>43570</v>
      </c>
      <c r="E27" s="106" t="s">
        <v>139</v>
      </c>
    </row>
    <row r="28" spans="1:5">
      <c r="A28" s="102" t="s">
        <v>343</v>
      </c>
      <c r="B28" s="1" t="s">
        <v>2882</v>
      </c>
      <c r="C28" s="1" t="s">
        <v>2879</v>
      </c>
      <c r="D28" s="2">
        <v>45199</v>
      </c>
      <c r="E28" s="106" t="s">
        <v>139</v>
      </c>
    </row>
    <row r="29" spans="1:5">
      <c r="A29" s="102" t="s">
        <v>128</v>
      </c>
      <c r="B29" s="1" t="s">
        <v>2883</v>
      </c>
      <c r="C29" s="1" t="s">
        <v>2879</v>
      </c>
      <c r="D29" s="2">
        <v>44898</v>
      </c>
      <c r="E29" s="106" t="s">
        <v>139</v>
      </c>
    </row>
    <row r="30" spans="1:5">
      <c r="A30" s="102" t="s">
        <v>229</v>
      </c>
      <c r="B30" s="1" t="s">
        <v>2884</v>
      </c>
      <c r="C30" s="1" t="s">
        <v>2879</v>
      </c>
      <c r="D30" s="2">
        <v>45191</v>
      </c>
      <c r="E30" s="106" t="s">
        <v>139</v>
      </c>
    </row>
    <row r="31" spans="1:5" ht="15" thickBot="1">
      <c r="A31" s="103" t="s">
        <v>170</v>
      </c>
      <c r="B31" s="97" t="s">
        <v>2885</v>
      </c>
      <c r="C31" s="97" t="s">
        <v>2879</v>
      </c>
      <c r="D31" s="104">
        <v>44506</v>
      </c>
      <c r="E31" s="107" t="s">
        <v>139</v>
      </c>
    </row>
  </sheetData>
  <pageMargins left="0.75" right="0.75" top="1" bottom="1" header="0.5" footer="0.5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11" activePane="bottomLeft" state="frozen"/>
      <selection pane="bottomLeft" activeCell="K30" sqref="K30"/>
    </sheetView>
  </sheetViews>
  <sheetFormatPr defaultRowHeight="14.4"/>
  <cols>
    <col min="1" max="13" width="8" customWidth="1"/>
  </cols>
  <sheetData>
    <row r="1" spans="1:13">
      <c r="A1" s="84" t="s">
        <v>2849</v>
      </c>
      <c r="B1" s="85" t="s">
        <v>2886</v>
      </c>
      <c r="C1" s="85" t="s">
        <v>2887</v>
      </c>
      <c r="D1" s="85" t="s">
        <v>2888</v>
      </c>
      <c r="E1" s="85" t="s">
        <v>2889</v>
      </c>
      <c r="F1" s="85" t="s">
        <v>2890</v>
      </c>
      <c r="G1" s="85" t="s">
        <v>2891</v>
      </c>
      <c r="H1" s="85" t="s">
        <v>2892</v>
      </c>
      <c r="I1" s="85" t="s">
        <v>2893</v>
      </c>
      <c r="J1" s="85" t="s">
        <v>2894</v>
      </c>
      <c r="K1" s="85" t="s">
        <v>2895</v>
      </c>
      <c r="L1" s="85" t="s">
        <v>2896</v>
      </c>
      <c r="M1" s="105" t="s">
        <v>2897</v>
      </c>
    </row>
    <row r="2" spans="1:13">
      <c r="A2" s="102" t="s">
        <v>215</v>
      </c>
      <c r="B2" s="3">
        <v>231324</v>
      </c>
      <c r="C2" s="3">
        <v>171682</v>
      </c>
      <c r="D2" s="3">
        <v>234376</v>
      </c>
      <c r="E2" s="3">
        <v>326967</v>
      </c>
      <c r="F2" s="3">
        <v>350588</v>
      </c>
      <c r="G2" s="3">
        <v>385324</v>
      </c>
      <c r="H2" s="3">
        <v>307980</v>
      </c>
      <c r="I2" s="3">
        <v>327947</v>
      </c>
      <c r="J2" s="3">
        <v>181016</v>
      </c>
      <c r="K2" s="3">
        <v>374039</v>
      </c>
      <c r="L2" s="3">
        <v>212805</v>
      </c>
      <c r="M2" s="139">
        <v>405999</v>
      </c>
    </row>
    <row r="3" spans="1:13">
      <c r="A3" s="102" t="s">
        <v>297</v>
      </c>
      <c r="B3" s="3">
        <v>438126</v>
      </c>
      <c r="C3" s="3">
        <v>346266</v>
      </c>
      <c r="D3" s="3">
        <v>329993</v>
      </c>
      <c r="E3" s="3">
        <v>370744</v>
      </c>
      <c r="F3" s="3">
        <v>294660</v>
      </c>
      <c r="G3" s="3">
        <v>341556</v>
      </c>
      <c r="H3" s="3">
        <v>151934</v>
      </c>
      <c r="I3" s="3">
        <v>223794</v>
      </c>
      <c r="J3" s="3">
        <v>438641</v>
      </c>
      <c r="K3" s="3">
        <v>344308</v>
      </c>
      <c r="L3" s="3">
        <v>296172</v>
      </c>
      <c r="M3" s="139">
        <v>304288</v>
      </c>
    </row>
    <row r="4" spans="1:13">
      <c r="A4" s="102" t="s">
        <v>148</v>
      </c>
      <c r="B4" s="3">
        <v>358703</v>
      </c>
      <c r="C4" s="3">
        <v>320519</v>
      </c>
      <c r="D4" s="3">
        <v>327321</v>
      </c>
      <c r="E4" s="3">
        <v>298753</v>
      </c>
      <c r="F4" s="3">
        <v>254636</v>
      </c>
      <c r="G4" s="3">
        <v>351929</v>
      </c>
      <c r="H4" s="3">
        <v>264723</v>
      </c>
      <c r="I4" s="3">
        <v>216459</v>
      </c>
      <c r="J4" s="3">
        <v>391945</v>
      </c>
      <c r="K4" s="3">
        <v>362426</v>
      </c>
      <c r="L4" s="3">
        <v>289199</v>
      </c>
      <c r="M4" s="139">
        <v>301863</v>
      </c>
    </row>
    <row r="5" spans="1:13">
      <c r="A5" s="102" t="s">
        <v>139</v>
      </c>
      <c r="B5" s="3">
        <v>389594</v>
      </c>
      <c r="C5" s="3">
        <v>376422</v>
      </c>
      <c r="D5" s="3">
        <v>324156</v>
      </c>
      <c r="E5" s="3">
        <v>420255</v>
      </c>
      <c r="F5" s="3">
        <v>409107</v>
      </c>
      <c r="G5" s="3">
        <v>269954</v>
      </c>
      <c r="H5" s="3">
        <v>179097</v>
      </c>
      <c r="I5" s="3">
        <v>370568</v>
      </c>
      <c r="J5" s="3">
        <v>387395</v>
      </c>
      <c r="K5" s="3">
        <v>243454</v>
      </c>
      <c r="L5" s="3">
        <v>232530</v>
      </c>
      <c r="M5" s="139">
        <v>201999</v>
      </c>
    </row>
    <row r="6" spans="1:13">
      <c r="A6" s="102" t="s">
        <v>92</v>
      </c>
      <c r="B6" s="3">
        <v>436862</v>
      </c>
      <c r="C6" s="3">
        <v>391158</v>
      </c>
      <c r="D6" s="3">
        <v>340224</v>
      </c>
      <c r="E6" s="3">
        <v>170548</v>
      </c>
      <c r="F6" s="3">
        <v>229390</v>
      </c>
      <c r="G6" s="3">
        <v>349525</v>
      </c>
      <c r="H6" s="3">
        <v>154683</v>
      </c>
      <c r="I6" s="3">
        <v>320848</v>
      </c>
      <c r="J6" s="3">
        <v>354452</v>
      </c>
      <c r="K6" s="3">
        <v>377180</v>
      </c>
      <c r="L6" s="3">
        <v>342347</v>
      </c>
      <c r="M6" s="139">
        <v>183362</v>
      </c>
    </row>
    <row r="7" spans="1:13">
      <c r="A7" s="102" t="s">
        <v>103</v>
      </c>
      <c r="B7" s="3">
        <v>348734</v>
      </c>
      <c r="C7" s="3">
        <v>358191</v>
      </c>
      <c r="D7" s="3">
        <v>250385</v>
      </c>
      <c r="E7" s="3">
        <v>219657</v>
      </c>
      <c r="F7" s="3">
        <v>249365</v>
      </c>
      <c r="G7" s="3">
        <v>435704</v>
      </c>
      <c r="H7" s="3">
        <v>260892</v>
      </c>
      <c r="I7" s="3">
        <v>250741</v>
      </c>
      <c r="J7" s="3">
        <v>358402</v>
      </c>
      <c r="K7" s="3">
        <v>379858</v>
      </c>
      <c r="L7" s="3">
        <v>213280</v>
      </c>
      <c r="M7" s="139">
        <v>224634</v>
      </c>
    </row>
    <row r="8" spans="1:13">
      <c r="A8" s="102" t="s">
        <v>86</v>
      </c>
      <c r="B8" s="3">
        <v>280057</v>
      </c>
      <c r="C8" s="3">
        <v>330342</v>
      </c>
      <c r="D8" s="3">
        <v>336856</v>
      </c>
      <c r="E8" s="3">
        <v>227425</v>
      </c>
      <c r="F8" s="3">
        <v>233647</v>
      </c>
      <c r="G8" s="3">
        <v>307088</v>
      </c>
      <c r="H8" s="3">
        <v>370724</v>
      </c>
      <c r="I8" s="3">
        <v>440008</v>
      </c>
      <c r="J8" s="3">
        <v>406347</v>
      </c>
      <c r="K8" s="3">
        <v>217357</v>
      </c>
      <c r="L8" s="3">
        <v>299289</v>
      </c>
      <c r="M8" s="139">
        <v>214568</v>
      </c>
    </row>
    <row r="9" spans="1:13">
      <c r="A9" s="102" t="s">
        <v>107</v>
      </c>
      <c r="B9" s="3">
        <v>252886</v>
      </c>
      <c r="C9" s="3">
        <v>206057</v>
      </c>
      <c r="D9" s="3">
        <v>318209</v>
      </c>
      <c r="E9" s="3">
        <v>411230</v>
      </c>
      <c r="F9" s="3">
        <v>448660</v>
      </c>
      <c r="G9" s="3">
        <v>171135</v>
      </c>
      <c r="H9" s="3">
        <v>305339</v>
      </c>
      <c r="I9" s="3">
        <v>432264</v>
      </c>
      <c r="J9" s="3">
        <v>294273</v>
      </c>
      <c r="K9" s="3">
        <v>371409</v>
      </c>
      <c r="L9" s="3">
        <v>284207</v>
      </c>
      <c r="M9" s="139">
        <v>437068</v>
      </c>
    </row>
    <row r="10" spans="1:13">
      <c r="A10" s="102" t="s">
        <v>204</v>
      </c>
      <c r="B10" s="3">
        <v>268752</v>
      </c>
      <c r="C10" s="3">
        <v>393256</v>
      </c>
      <c r="D10" s="3">
        <v>310649</v>
      </c>
      <c r="E10" s="3">
        <v>246237</v>
      </c>
      <c r="F10" s="3">
        <v>271287</v>
      </c>
      <c r="G10" s="3">
        <v>314545</v>
      </c>
      <c r="H10" s="3">
        <v>406506</v>
      </c>
      <c r="I10" s="3">
        <v>334930</v>
      </c>
      <c r="J10" s="3">
        <v>348625</v>
      </c>
      <c r="K10" s="3">
        <v>408928</v>
      </c>
      <c r="L10" s="3">
        <v>243749</v>
      </c>
      <c r="M10" s="139">
        <v>418409</v>
      </c>
    </row>
    <row r="11" spans="1:13">
      <c r="A11" s="102" t="s">
        <v>132</v>
      </c>
      <c r="B11" s="3">
        <v>384734</v>
      </c>
      <c r="C11" s="3">
        <v>156698</v>
      </c>
      <c r="D11" s="3">
        <v>283679</v>
      </c>
      <c r="E11" s="3">
        <v>276085</v>
      </c>
      <c r="F11" s="3">
        <v>409270</v>
      </c>
      <c r="G11" s="3">
        <v>285230</v>
      </c>
      <c r="H11" s="3">
        <v>304233</v>
      </c>
      <c r="I11" s="3">
        <v>178221</v>
      </c>
      <c r="J11" s="3">
        <v>284216</v>
      </c>
      <c r="K11" s="3">
        <v>287373</v>
      </c>
      <c r="L11" s="3">
        <v>229082</v>
      </c>
      <c r="M11" s="139">
        <v>298969</v>
      </c>
    </row>
    <row r="12" spans="1:13">
      <c r="A12" s="102" t="s">
        <v>273</v>
      </c>
      <c r="B12" s="3">
        <v>186029</v>
      </c>
      <c r="C12" s="3">
        <v>151419</v>
      </c>
      <c r="D12" s="3">
        <v>253251</v>
      </c>
      <c r="E12" s="3">
        <v>379757</v>
      </c>
      <c r="F12" s="3">
        <v>204209</v>
      </c>
      <c r="G12" s="3">
        <v>179396</v>
      </c>
      <c r="H12" s="3">
        <v>378008</v>
      </c>
      <c r="I12" s="3">
        <v>182649</v>
      </c>
      <c r="J12" s="3">
        <v>267772</v>
      </c>
      <c r="K12" s="3">
        <v>350352</v>
      </c>
      <c r="L12" s="3">
        <v>358042</v>
      </c>
      <c r="M12" s="139">
        <v>359960</v>
      </c>
    </row>
    <row r="13" spans="1:13">
      <c r="A13" s="102" t="s">
        <v>325</v>
      </c>
      <c r="B13" s="3">
        <v>352158</v>
      </c>
      <c r="C13" s="3">
        <v>251181</v>
      </c>
      <c r="D13" s="3">
        <v>321255</v>
      </c>
      <c r="E13" s="3">
        <v>300863</v>
      </c>
      <c r="F13" s="3">
        <v>241731</v>
      </c>
      <c r="G13" s="3">
        <v>393275</v>
      </c>
      <c r="H13" s="3">
        <v>313561</v>
      </c>
      <c r="I13" s="3">
        <v>283604</v>
      </c>
      <c r="J13" s="3">
        <v>429065</v>
      </c>
      <c r="K13" s="3">
        <v>194420</v>
      </c>
      <c r="L13" s="3">
        <v>254168</v>
      </c>
      <c r="M13" s="139">
        <v>389283</v>
      </c>
    </row>
    <row r="14" spans="1:13">
      <c r="A14" s="102" t="s">
        <v>252</v>
      </c>
      <c r="B14" s="3">
        <v>350003</v>
      </c>
      <c r="C14" s="3">
        <v>384951</v>
      </c>
      <c r="D14" s="3">
        <v>424777</v>
      </c>
      <c r="E14" s="3">
        <v>323282</v>
      </c>
      <c r="F14" s="3">
        <v>427290</v>
      </c>
      <c r="G14" s="3">
        <v>363819</v>
      </c>
      <c r="H14" s="3">
        <v>279496</v>
      </c>
      <c r="I14" s="3">
        <v>190932</v>
      </c>
      <c r="J14" s="3">
        <v>347420</v>
      </c>
      <c r="K14" s="3">
        <v>160215</v>
      </c>
      <c r="L14" s="3">
        <v>388600</v>
      </c>
      <c r="M14" s="139">
        <v>437901</v>
      </c>
    </row>
    <row r="15" spans="1:13">
      <c r="A15" s="102" t="s">
        <v>98</v>
      </c>
      <c r="B15" s="3">
        <v>307327</v>
      </c>
      <c r="C15" s="3">
        <v>377256</v>
      </c>
      <c r="D15" s="3">
        <v>236349</v>
      </c>
      <c r="E15" s="3">
        <v>321223</v>
      </c>
      <c r="F15" s="3">
        <v>268119</v>
      </c>
      <c r="G15" s="3">
        <v>294020</v>
      </c>
      <c r="H15" s="3">
        <v>312180</v>
      </c>
      <c r="I15" s="3">
        <v>390845</v>
      </c>
      <c r="J15" s="3">
        <v>432317</v>
      </c>
      <c r="K15" s="3">
        <v>277613</v>
      </c>
      <c r="L15" s="3">
        <v>373411</v>
      </c>
      <c r="M15" s="139">
        <v>214349</v>
      </c>
    </row>
    <row r="16" spans="1:13">
      <c r="A16" s="102" t="s">
        <v>188</v>
      </c>
      <c r="B16" s="3">
        <v>414207</v>
      </c>
      <c r="C16" s="3">
        <v>376391</v>
      </c>
      <c r="D16" s="3">
        <v>192739</v>
      </c>
      <c r="E16" s="3">
        <v>165892</v>
      </c>
      <c r="F16" s="3">
        <v>187659</v>
      </c>
      <c r="G16" s="3">
        <v>283837</v>
      </c>
      <c r="H16" s="3">
        <v>434871</v>
      </c>
      <c r="I16" s="3">
        <v>369518</v>
      </c>
      <c r="J16" s="3">
        <v>171986</v>
      </c>
      <c r="K16" s="3">
        <v>328460</v>
      </c>
      <c r="L16" s="3">
        <v>418857</v>
      </c>
      <c r="M16" s="139">
        <v>159947</v>
      </c>
    </row>
    <row r="17" spans="1:13">
      <c r="A17" s="102" t="s">
        <v>346</v>
      </c>
      <c r="B17" s="3">
        <v>335614</v>
      </c>
      <c r="C17" s="3">
        <v>325577</v>
      </c>
      <c r="D17" s="3">
        <v>217575</v>
      </c>
      <c r="E17" s="3">
        <v>427851</v>
      </c>
      <c r="F17" s="3">
        <v>438020</v>
      </c>
      <c r="G17" s="3">
        <v>276675</v>
      </c>
      <c r="H17" s="3">
        <v>331096</v>
      </c>
      <c r="I17" s="3">
        <v>282103</v>
      </c>
      <c r="J17" s="3">
        <v>321062</v>
      </c>
      <c r="K17" s="3">
        <v>235137</v>
      </c>
      <c r="L17" s="3">
        <v>279755</v>
      </c>
      <c r="M17" s="139">
        <v>230523</v>
      </c>
    </row>
    <row r="18" spans="1:13">
      <c r="A18" s="102" t="s">
        <v>238</v>
      </c>
      <c r="B18" s="3">
        <v>369725</v>
      </c>
      <c r="C18" s="3">
        <v>181516</v>
      </c>
      <c r="D18" s="3">
        <v>233993</v>
      </c>
      <c r="E18" s="3">
        <v>194261</v>
      </c>
      <c r="F18" s="3">
        <v>233332</v>
      </c>
      <c r="G18" s="3">
        <v>359011</v>
      </c>
      <c r="H18" s="3">
        <v>219264</v>
      </c>
      <c r="I18" s="3">
        <v>391688</v>
      </c>
      <c r="J18" s="3">
        <v>191502</v>
      </c>
      <c r="K18" s="3">
        <v>216536</v>
      </c>
      <c r="L18" s="3">
        <v>205649</v>
      </c>
      <c r="M18" s="139">
        <v>285932</v>
      </c>
    </row>
    <row r="19" spans="1:13">
      <c r="A19" s="102" t="s">
        <v>303</v>
      </c>
      <c r="B19" s="3">
        <v>257718</v>
      </c>
      <c r="C19" s="3">
        <v>413773</v>
      </c>
      <c r="D19" s="3">
        <v>202301</v>
      </c>
      <c r="E19" s="3">
        <v>257477</v>
      </c>
      <c r="F19" s="3">
        <v>372470</v>
      </c>
      <c r="G19" s="3">
        <v>371047</v>
      </c>
      <c r="H19" s="3">
        <v>169457</v>
      </c>
      <c r="I19" s="3">
        <v>202077</v>
      </c>
      <c r="J19" s="3">
        <v>406637</v>
      </c>
      <c r="K19" s="3">
        <v>255393</v>
      </c>
      <c r="L19" s="3">
        <v>158049</v>
      </c>
      <c r="M19" s="139">
        <v>317073</v>
      </c>
    </row>
    <row r="20" spans="1:13">
      <c r="A20" s="102" t="s">
        <v>121</v>
      </c>
      <c r="B20" s="3">
        <v>277098</v>
      </c>
      <c r="C20" s="3">
        <v>284984</v>
      </c>
      <c r="D20" s="3">
        <v>164922</v>
      </c>
      <c r="E20" s="3">
        <v>181579</v>
      </c>
      <c r="F20" s="3">
        <v>260717</v>
      </c>
      <c r="G20" s="3">
        <v>414136</v>
      </c>
      <c r="H20" s="3">
        <v>305447</v>
      </c>
      <c r="I20" s="3">
        <v>283691</v>
      </c>
      <c r="J20" s="3">
        <v>359591</v>
      </c>
      <c r="K20" s="3">
        <v>415531</v>
      </c>
      <c r="L20" s="3">
        <v>383485</v>
      </c>
      <c r="M20" s="139">
        <v>154976</v>
      </c>
    </row>
    <row r="21" spans="1:13">
      <c r="A21" s="102" t="s">
        <v>192</v>
      </c>
      <c r="B21" s="3">
        <v>212521</v>
      </c>
      <c r="C21" s="3">
        <v>245361</v>
      </c>
      <c r="D21" s="3">
        <v>402338</v>
      </c>
      <c r="E21" s="3">
        <v>153034</v>
      </c>
      <c r="F21" s="3">
        <v>274863</v>
      </c>
      <c r="G21" s="3">
        <v>238363</v>
      </c>
      <c r="H21" s="3">
        <v>231270</v>
      </c>
      <c r="I21" s="3">
        <v>245700</v>
      </c>
      <c r="J21" s="3">
        <v>368067</v>
      </c>
      <c r="K21" s="3">
        <v>297022</v>
      </c>
      <c r="L21" s="3">
        <v>413149</v>
      </c>
      <c r="M21" s="139">
        <v>156857</v>
      </c>
    </row>
    <row r="22" spans="1:13">
      <c r="A22" s="102" t="s">
        <v>158</v>
      </c>
      <c r="B22" s="3">
        <v>162799</v>
      </c>
      <c r="C22" s="3">
        <v>304758</v>
      </c>
      <c r="D22" s="3">
        <v>405377</v>
      </c>
      <c r="E22" s="3">
        <v>179658</v>
      </c>
      <c r="F22" s="3">
        <v>404994</v>
      </c>
      <c r="G22" s="3">
        <v>193255</v>
      </c>
      <c r="H22" s="3">
        <v>355444</v>
      </c>
      <c r="I22" s="3">
        <v>246543</v>
      </c>
      <c r="J22" s="3">
        <v>329852</v>
      </c>
      <c r="K22" s="3">
        <v>224665</v>
      </c>
      <c r="L22" s="3">
        <v>361938</v>
      </c>
      <c r="M22" s="139">
        <v>165860</v>
      </c>
    </row>
    <row r="23" spans="1:13">
      <c r="A23" s="102" t="s">
        <v>285</v>
      </c>
      <c r="B23" s="3">
        <v>356537</v>
      </c>
      <c r="C23" s="3">
        <v>448297</v>
      </c>
      <c r="D23" s="3">
        <v>156014</v>
      </c>
      <c r="E23" s="3">
        <v>157667</v>
      </c>
      <c r="F23" s="3">
        <v>172713</v>
      </c>
      <c r="G23" s="3">
        <v>196305</v>
      </c>
      <c r="H23" s="3">
        <v>442484</v>
      </c>
      <c r="I23" s="3">
        <v>293581</v>
      </c>
      <c r="J23" s="3">
        <v>280862</v>
      </c>
      <c r="K23" s="3">
        <v>340676</v>
      </c>
      <c r="L23" s="3">
        <v>343411</v>
      </c>
      <c r="M23" s="139">
        <v>437921</v>
      </c>
    </row>
    <row r="24" spans="1:13">
      <c r="A24" s="102" t="s">
        <v>154</v>
      </c>
      <c r="B24" s="3">
        <v>218099</v>
      </c>
      <c r="C24" s="3">
        <v>412956</v>
      </c>
      <c r="D24" s="3">
        <v>438770</v>
      </c>
      <c r="E24" s="3">
        <v>172679</v>
      </c>
      <c r="F24" s="3">
        <v>343868</v>
      </c>
      <c r="G24" s="3">
        <v>390384</v>
      </c>
      <c r="H24" s="3">
        <v>400933</v>
      </c>
      <c r="I24" s="3">
        <v>211614</v>
      </c>
      <c r="J24" s="3">
        <v>201857</v>
      </c>
      <c r="K24" s="3">
        <v>430835</v>
      </c>
      <c r="L24" s="3">
        <v>193076</v>
      </c>
      <c r="M24" s="139">
        <v>372598</v>
      </c>
    </row>
    <row r="25" spans="1:13">
      <c r="A25" s="102" t="s">
        <v>116</v>
      </c>
      <c r="B25" s="3">
        <v>168635</v>
      </c>
      <c r="C25" s="3">
        <v>214511</v>
      </c>
      <c r="D25" s="3">
        <v>169022</v>
      </c>
      <c r="E25" s="3">
        <v>247159</v>
      </c>
      <c r="F25" s="3">
        <v>304981</v>
      </c>
      <c r="G25" s="3">
        <v>387353</v>
      </c>
      <c r="H25" s="3">
        <v>167057</v>
      </c>
      <c r="I25" s="3">
        <v>403051</v>
      </c>
      <c r="J25" s="3">
        <v>184207</v>
      </c>
      <c r="K25" s="3">
        <v>350145</v>
      </c>
      <c r="L25" s="3">
        <v>376579</v>
      </c>
      <c r="M25" s="139">
        <v>364718</v>
      </c>
    </row>
    <row r="26" spans="1:13">
      <c r="A26" s="102" t="s">
        <v>111</v>
      </c>
      <c r="B26" s="3">
        <v>241742</v>
      </c>
      <c r="C26" s="3">
        <v>376544</v>
      </c>
      <c r="D26" s="3">
        <v>289689</v>
      </c>
      <c r="E26" s="3">
        <v>291365</v>
      </c>
      <c r="F26" s="3">
        <v>151669</v>
      </c>
      <c r="G26" s="3">
        <v>237046</v>
      </c>
      <c r="H26" s="3">
        <v>215592</v>
      </c>
      <c r="I26" s="3">
        <v>256462</v>
      </c>
      <c r="J26" s="3">
        <v>219765</v>
      </c>
      <c r="K26" s="3">
        <v>305885</v>
      </c>
      <c r="L26" s="3">
        <v>170489</v>
      </c>
      <c r="M26" s="139">
        <v>328169</v>
      </c>
    </row>
    <row r="27" spans="1:13">
      <c r="A27" s="102" t="s">
        <v>201</v>
      </c>
      <c r="B27" s="3">
        <v>206632</v>
      </c>
      <c r="C27" s="3">
        <v>418219</v>
      </c>
      <c r="D27" s="3">
        <v>218871</v>
      </c>
      <c r="E27" s="3">
        <v>424496</v>
      </c>
      <c r="F27" s="3">
        <v>269328</v>
      </c>
      <c r="G27" s="3">
        <v>261309</v>
      </c>
      <c r="H27" s="3">
        <v>244265</v>
      </c>
      <c r="I27" s="3">
        <v>228393</v>
      </c>
      <c r="J27" s="3">
        <v>410956</v>
      </c>
      <c r="K27" s="3">
        <v>314259</v>
      </c>
      <c r="L27" s="3">
        <v>297459</v>
      </c>
      <c r="M27" s="139">
        <v>251313</v>
      </c>
    </row>
    <row r="28" spans="1:13">
      <c r="A28" s="102" t="s">
        <v>343</v>
      </c>
      <c r="B28" s="3">
        <v>239781</v>
      </c>
      <c r="C28" s="3">
        <v>430605</v>
      </c>
      <c r="D28" s="3">
        <v>190908</v>
      </c>
      <c r="E28" s="3">
        <v>229129</v>
      </c>
      <c r="F28" s="3">
        <v>196262</v>
      </c>
      <c r="G28" s="3">
        <v>377844</v>
      </c>
      <c r="H28" s="3">
        <v>293147</v>
      </c>
      <c r="I28" s="3">
        <v>370985</v>
      </c>
      <c r="J28" s="3">
        <v>420128</v>
      </c>
      <c r="K28" s="3">
        <v>433140</v>
      </c>
      <c r="L28" s="3">
        <v>408093</v>
      </c>
      <c r="M28" s="139">
        <v>255969</v>
      </c>
    </row>
    <row r="29" spans="1:13">
      <c r="A29" s="102" t="s">
        <v>128</v>
      </c>
      <c r="B29" s="3">
        <v>426872</v>
      </c>
      <c r="C29" s="3">
        <v>171719</v>
      </c>
      <c r="D29" s="3">
        <v>169701</v>
      </c>
      <c r="E29" s="3">
        <v>347987</v>
      </c>
      <c r="F29" s="3">
        <v>216195</v>
      </c>
      <c r="G29" s="3">
        <v>412271</v>
      </c>
      <c r="H29" s="3">
        <v>416393</v>
      </c>
      <c r="I29" s="3">
        <v>353569</v>
      </c>
      <c r="J29" s="3">
        <v>323287</v>
      </c>
      <c r="K29" s="3">
        <v>301789</v>
      </c>
      <c r="L29" s="3">
        <v>208839</v>
      </c>
      <c r="M29" s="139">
        <v>369454</v>
      </c>
    </row>
    <row r="30" spans="1:13">
      <c r="A30" s="102" t="s">
        <v>229</v>
      </c>
      <c r="B30" s="3">
        <v>233369</v>
      </c>
      <c r="C30" s="3">
        <v>371909</v>
      </c>
      <c r="D30" s="3">
        <v>355248</v>
      </c>
      <c r="E30" s="3">
        <v>156409</v>
      </c>
      <c r="F30" s="3">
        <v>308725</v>
      </c>
      <c r="G30" s="3">
        <v>192883</v>
      </c>
      <c r="H30" s="3">
        <v>180902</v>
      </c>
      <c r="I30" s="3">
        <v>168654</v>
      </c>
      <c r="J30" s="3">
        <v>256191</v>
      </c>
      <c r="K30" s="3">
        <v>320737</v>
      </c>
      <c r="L30" s="3">
        <v>430108</v>
      </c>
      <c r="M30" s="139">
        <v>307413</v>
      </c>
    </row>
    <row r="31" spans="1:13" ht="15" thickBot="1">
      <c r="A31" s="103" t="s">
        <v>170</v>
      </c>
      <c r="B31" s="96">
        <v>151584</v>
      </c>
      <c r="C31" s="96">
        <v>221679</v>
      </c>
      <c r="D31" s="96">
        <v>385157</v>
      </c>
      <c r="E31" s="96">
        <v>290386</v>
      </c>
      <c r="F31" s="96">
        <v>236041</v>
      </c>
      <c r="G31" s="96">
        <v>407985</v>
      </c>
      <c r="H31" s="96">
        <v>184446</v>
      </c>
      <c r="I31" s="96">
        <v>342894</v>
      </c>
      <c r="J31" s="96">
        <v>180344</v>
      </c>
      <c r="K31" s="96">
        <v>292917</v>
      </c>
      <c r="L31" s="96">
        <v>314858</v>
      </c>
      <c r="M31" s="140">
        <v>364057</v>
      </c>
    </row>
  </sheetData>
  <pageMargins left="0.75" right="0.75" top="1" bottom="1" header="0.5" footer="0.5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zoomScale="84" workbookViewId="0">
      <pane ySplit="4" topLeftCell="A7" activePane="bottomLeft" state="frozen"/>
      <selection pane="bottomLeft" activeCell="E12" sqref="E12"/>
    </sheetView>
  </sheetViews>
  <sheetFormatPr defaultRowHeight="14.4"/>
  <cols>
    <col min="1" max="1" width="6" customWidth="1"/>
    <col min="2" max="2" width="60" customWidth="1"/>
    <col min="3" max="3" width="8" customWidth="1"/>
    <col min="4" max="4" width="30" customWidth="1"/>
    <col min="5" max="5" width="22" customWidth="1"/>
    <col min="6" max="6" width="19.77734375" customWidth="1"/>
    <col min="8" max="8" width="8.88671875" customWidth="1"/>
  </cols>
  <sheetData>
    <row r="1" spans="1:6" ht="30" customHeight="1">
      <c r="A1" s="155" t="s">
        <v>3021</v>
      </c>
      <c r="B1" s="151"/>
      <c r="C1" s="151"/>
      <c r="D1" s="151"/>
      <c r="E1" s="151"/>
      <c r="F1" s="151"/>
    </row>
    <row r="2" spans="1:6">
      <c r="A2" s="154" t="s">
        <v>2898</v>
      </c>
      <c r="B2" s="151"/>
      <c r="C2" s="151"/>
      <c r="D2" s="151"/>
      <c r="E2" s="151"/>
      <c r="F2" s="151"/>
    </row>
    <row r="3" spans="1:6" ht="15" thickBot="1">
      <c r="A3" s="133"/>
      <c r="B3" s="133"/>
      <c r="C3" s="133"/>
      <c r="D3" s="133"/>
      <c r="E3" s="133"/>
      <c r="F3" s="133"/>
    </row>
    <row r="4" spans="1:6" ht="24" customHeight="1">
      <c r="A4" s="134" t="s">
        <v>2899</v>
      </c>
      <c r="B4" s="135" t="s">
        <v>2900</v>
      </c>
      <c r="C4" s="135" t="s">
        <v>14</v>
      </c>
      <c r="D4" s="135" t="s">
        <v>2901</v>
      </c>
      <c r="E4" s="135" t="s">
        <v>2902</v>
      </c>
      <c r="F4" s="136" t="s">
        <v>2903</v>
      </c>
    </row>
    <row r="5" spans="1:6" ht="42" customHeight="1">
      <c r="A5" s="124" t="s">
        <v>2904</v>
      </c>
      <c r="B5" s="11" t="s">
        <v>2905</v>
      </c>
      <c r="C5" s="12">
        <v>3</v>
      </c>
      <c r="D5" s="13" t="s">
        <v>2906</v>
      </c>
      <c r="E5" s="21" t="str">
        <f>VLOOKUP("ORD-00234", Orders!A:C, 3, FALSE)</f>
        <v>CUST-0173</v>
      </c>
      <c r="F5" s="125" t="s">
        <v>2907</v>
      </c>
    </row>
    <row r="6" spans="1:6" ht="42" customHeight="1">
      <c r="A6" s="124" t="s">
        <v>2908</v>
      </c>
      <c r="B6" s="11" t="s">
        <v>2909</v>
      </c>
      <c r="C6" s="12">
        <v>3</v>
      </c>
      <c r="D6" s="13" t="s">
        <v>2910</v>
      </c>
      <c r="E6" s="22" t="str">
        <f>VLOOKUP(VLOOKUP("ORD-00456", Orders!A:D, 4, FALSE), Products!A:B, 2, FALSE)</f>
        <v>Dumbbells 5kg</v>
      </c>
      <c r="F6" s="125" t="s">
        <v>2911</v>
      </c>
    </row>
    <row r="7" spans="1:6" ht="42" customHeight="1">
      <c r="A7" s="124" t="s">
        <v>2912</v>
      </c>
      <c r="B7" s="11" t="s">
        <v>2913</v>
      </c>
      <c r="C7" s="12">
        <v>3</v>
      </c>
      <c r="D7" s="13" t="s">
        <v>3015</v>
      </c>
      <c r="E7" s="22" t="str">
        <f>INDEX(Sales_Reps!B:B, MATCH(VLOOKUP("ORD-00987", Orders!A:E, 5, FALSE), Sales_Reps!A:A, 0))</f>
        <v>Nisha Menon</v>
      </c>
      <c r="F7" s="125" t="s">
        <v>2911</v>
      </c>
    </row>
    <row r="8" spans="1:6" ht="42" customHeight="1">
      <c r="A8" s="124" t="s">
        <v>2914</v>
      </c>
      <c r="B8" s="11" t="s">
        <v>2915</v>
      </c>
      <c r="C8" s="12">
        <v>4</v>
      </c>
      <c r="D8" s="13" t="s">
        <v>2916</v>
      </c>
      <c r="E8" s="23">
        <f>INDEX(Targets!A1:M31, MATCH("R012", Targets!A:A, 0), MATCH("Mar-24", Targets!1:1, 0))</f>
        <v>321255</v>
      </c>
      <c r="F8" s="125" t="s">
        <v>2917</v>
      </c>
    </row>
    <row r="9" spans="1:6" ht="42" customHeight="1">
      <c r="A9" s="124" t="s">
        <v>2918</v>
      </c>
      <c r="B9" s="11" t="s">
        <v>2919</v>
      </c>
      <c r="C9" s="12">
        <v>4</v>
      </c>
      <c r="D9" s="13" t="s">
        <v>2920</v>
      </c>
      <c r="E9" s="22" t="str">
        <f>VLOOKUP(VLOOKUP("ORD-01500", Orders!A:D, 4, FALSE), Products!A:C, 3, FALSE)</f>
        <v>Electronics</v>
      </c>
      <c r="F9" s="125" t="s">
        <v>2911</v>
      </c>
    </row>
    <row r="10" spans="1:6" ht="42" customHeight="1">
      <c r="A10" s="124" t="s">
        <v>2921</v>
      </c>
      <c r="B10" s="11" t="s">
        <v>2922</v>
      </c>
      <c r="C10" s="12">
        <v>3</v>
      </c>
      <c r="D10" s="13" t="s">
        <v>2923</v>
      </c>
      <c r="E10" s="22" t="str">
        <f>VLOOKUP(VLOOKUP("ORD-00789*", Orders!A:H, 8, FALSE)*1, $B$18:$C$21, 2, TRUE)</f>
        <v>Bronze</v>
      </c>
      <c r="F10" s="125" t="s">
        <v>2911</v>
      </c>
    </row>
    <row r="11" spans="1:6" ht="42" customHeight="1">
      <c r="A11" s="124" t="s">
        <v>2924</v>
      </c>
      <c r="B11" s="11" t="s">
        <v>3016</v>
      </c>
      <c r="C11" s="12">
        <v>3</v>
      </c>
      <c r="D11" s="13" t="s">
        <v>2925</v>
      </c>
      <c r="E11" s="24" t="str">
        <f>VLOOKUP(VLOOKUP("ORD-01234", Orders!A:E, 5, FALSE), Sales_Reps!A:B, 2, FALSE) &amp; " (" &amp; VLOOKUP(VLOOKUP("ORD-01234", Orders!A:E, 5, FALSE), Sales_Reps!A:C, 3, FALSE) &amp; ")"</f>
        <v>Sanjay Kapoor (South)</v>
      </c>
      <c r="F11" s="125" t="s">
        <v>2911</v>
      </c>
    </row>
    <row r="12" spans="1:6" ht="42" customHeight="1" thickBot="1">
      <c r="A12" s="127" t="s">
        <v>2926</v>
      </c>
      <c r="B12" s="128" t="s">
        <v>3017</v>
      </c>
      <c r="C12" s="129">
        <v>2</v>
      </c>
      <c r="D12" s="130" t="s">
        <v>2927</v>
      </c>
      <c r="E12" s="138" t="str">
        <f>VLOOKUP(VLOOKUP("R017", Sales_Reps!A:E, 5, FALSE), Sales_Reps!A:B, 2, FALSE)</f>
        <v>Amit Singh</v>
      </c>
      <c r="F12" s="132" t="s">
        <v>2911</v>
      </c>
    </row>
    <row r="15" spans="1:6">
      <c r="B15" s="6" t="s">
        <v>2928</v>
      </c>
    </row>
    <row r="17" spans="2:3">
      <c r="B17" s="7" t="s">
        <v>2929</v>
      </c>
      <c r="C17" s="7" t="s">
        <v>2930</v>
      </c>
    </row>
    <row r="18" spans="2:3">
      <c r="B18" s="8">
        <v>0</v>
      </c>
      <c r="C18" s="8" t="s">
        <v>2931</v>
      </c>
    </row>
    <row r="19" spans="2:3">
      <c r="B19" s="8">
        <v>5</v>
      </c>
      <c r="C19" s="8" t="s">
        <v>2932</v>
      </c>
    </row>
    <row r="20" spans="2:3">
      <c r="B20" s="8">
        <v>15</v>
      </c>
      <c r="C20" s="8" t="s">
        <v>2933</v>
      </c>
    </row>
    <row r="21" spans="2:3">
      <c r="B21" s="8">
        <v>25</v>
      </c>
      <c r="C21" s="8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tabSelected="1" zoomScale="92" workbookViewId="0">
      <pane ySplit="4" topLeftCell="A5" activePane="bottomLeft" state="frozen"/>
      <selection pane="bottomLeft" sqref="A1:F10"/>
    </sheetView>
  </sheetViews>
  <sheetFormatPr defaultRowHeight="14.4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>
      <c r="A1" s="155" t="s">
        <v>3022</v>
      </c>
      <c r="B1" s="151"/>
      <c r="C1" s="151"/>
      <c r="D1" s="151"/>
      <c r="E1" s="151"/>
      <c r="F1" s="151"/>
    </row>
    <row r="2" spans="1:6">
      <c r="A2" s="154" t="s">
        <v>2935</v>
      </c>
      <c r="B2" s="151"/>
      <c r="C2" s="151"/>
      <c r="D2" s="151"/>
      <c r="E2" s="151"/>
      <c r="F2" s="151"/>
    </row>
    <row r="3" spans="1:6" ht="15" thickBot="1">
      <c r="A3" s="133"/>
      <c r="B3" s="133"/>
      <c r="C3" s="133"/>
      <c r="D3" s="133"/>
      <c r="E3" s="133"/>
      <c r="F3" s="133"/>
    </row>
    <row r="4" spans="1:6" ht="24" customHeight="1">
      <c r="A4" s="134" t="s">
        <v>2899</v>
      </c>
      <c r="B4" s="135" t="s">
        <v>2900</v>
      </c>
      <c r="C4" s="135" t="s">
        <v>14</v>
      </c>
      <c r="D4" s="135" t="s">
        <v>2901</v>
      </c>
      <c r="E4" s="135" t="s">
        <v>2902</v>
      </c>
      <c r="F4" s="136" t="s">
        <v>2903</v>
      </c>
    </row>
    <row r="5" spans="1:6" ht="42" customHeight="1">
      <c r="A5" s="124" t="s">
        <v>2936</v>
      </c>
      <c r="B5" s="11" t="s">
        <v>2937</v>
      </c>
      <c r="C5" s="12">
        <v>3</v>
      </c>
      <c r="D5" s="13" t="s">
        <v>3019</v>
      </c>
      <c r="E5" s="20" cm="1">
        <f t="array" ref="E5">SUMPRODUCT((COUNTIF(Orders!A2:A2001, Orders!A2:A2001)&gt;1)/COUNTIF(Orders!A2:A2001, Orders!A2:A2001))</f>
        <v>20</v>
      </c>
      <c r="F5" s="125" t="s">
        <v>2917</v>
      </c>
    </row>
    <row r="6" spans="1:6" ht="42" customHeight="1">
      <c r="A6" s="124" t="s">
        <v>2938</v>
      </c>
      <c r="B6" s="11" t="s">
        <v>2939</v>
      </c>
      <c r="C6" s="12">
        <v>3</v>
      </c>
      <c r="D6" s="13" t="s">
        <v>2940</v>
      </c>
      <c r="E6" s="20" cm="1">
        <f t="array" ref="E6">SUMPRODUCT(--(LEN(Customers!B2:B301)&lt;&gt;LEN(TRIM(Customers!B2:B301))))</f>
        <v>15</v>
      </c>
      <c r="F6" s="125" t="s">
        <v>2917</v>
      </c>
    </row>
    <row r="7" spans="1:6" ht="42" customHeight="1">
      <c r="A7" s="124" t="s">
        <v>2941</v>
      </c>
      <c r="B7" s="11" t="s">
        <v>2942</v>
      </c>
      <c r="C7" s="12">
        <v>3</v>
      </c>
      <c r="D7" s="13" t="s">
        <v>2943</v>
      </c>
      <c r="E7" s="20" cm="1">
        <f t="array" ref="E7">SUMPRODUCT(1/COUNTIF(Customers!D2:D301, Customers!D2:D301))</f>
        <v>6.0000000000000018</v>
      </c>
      <c r="F7" s="125" t="s">
        <v>2917</v>
      </c>
    </row>
    <row r="8" spans="1:6" ht="42" customHeight="1">
      <c r="A8" s="124" t="s">
        <v>2944</v>
      </c>
      <c r="B8" s="11" t="s">
        <v>2945</v>
      </c>
      <c r="C8" s="12">
        <v>4</v>
      </c>
      <c r="D8" s="15" t="s">
        <v>2946</v>
      </c>
      <c r="E8" s="20">
        <f>SUM(Orders!R2:R2001)</f>
        <v>30</v>
      </c>
      <c r="F8" s="125" t="s">
        <v>2917</v>
      </c>
    </row>
    <row r="9" spans="1:6" ht="42" customHeight="1">
      <c r="A9" s="124" t="s">
        <v>2947</v>
      </c>
      <c r="B9" s="11" t="s">
        <v>2948</v>
      </c>
      <c r="C9" s="12">
        <v>3</v>
      </c>
      <c r="D9" s="13" t="s">
        <v>2949</v>
      </c>
      <c r="E9" s="20">
        <f>COUNTIF(Orders!$S$2:$S$2001, FALSE)</f>
        <v>174</v>
      </c>
      <c r="F9" s="125" t="s">
        <v>2917</v>
      </c>
    </row>
    <row r="10" spans="1:6" ht="42" customHeight="1" thickBot="1">
      <c r="A10" s="127" t="s">
        <v>2950</v>
      </c>
      <c r="B10" s="128" t="s">
        <v>3018</v>
      </c>
      <c r="C10" s="129">
        <v>4</v>
      </c>
      <c r="D10" s="130" t="s">
        <v>2951</v>
      </c>
      <c r="E10" s="137">
        <f>COUNTIFS(Orders!J2:J2001, "Cancelled", Orders!H2:H2001, "&gt;20")</f>
        <v>58</v>
      </c>
      <c r="F10" s="132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P32"/>
  <sheetViews>
    <sheetView zoomScale="85" workbookViewId="0">
      <pane ySplit="4" topLeftCell="A6" activePane="bottomLeft" state="frozen"/>
      <selection pane="bottomLeft" activeCell="G10" sqref="G10"/>
    </sheetView>
  </sheetViews>
  <sheetFormatPr defaultRowHeight="14.4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  <col min="10" max="10" width="12.88671875" customWidth="1"/>
    <col min="11" max="11" width="18.109375" customWidth="1"/>
    <col min="12" max="12" width="23.6640625" customWidth="1"/>
    <col min="13" max="13" width="17" customWidth="1"/>
    <col min="14" max="14" width="17.5546875" customWidth="1"/>
    <col min="15" max="15" width="14.5546875" customWidth="1"/>
    <col min="16" max="16" width="11" customWidth="1"/>
  </cols>
  <sheetData>
    <row r="1" spans="1:16" ht="30" customHeight="1">
      <c r="A1" s="157" t="s">
        <v>3023</v>
      </c>
      <c r="B1" s="158"/>
      <c r="C1" s="158"/>
      <c r="D1" s="158"/>
      <c r="E1" s="158"/>
      <c r="F1" s="159"/>
    </row>
    <row r="2" spans="1:16" ht="25.2">
      <c r="A2" s="156" t="s">
        <v>2952</v>
      </c>
      <c r="B2" s="151"/>
      <c r="C2" s="151"/>
      <c r="D2" s="151"/>
      <c r="E2" s="151"/>
      <c r="F2" s="152"/>
      <c r="J2" s="57" t="s">
        <v>3028</v>
      </c>
      <c r="K2" s="57" t="s">
        <v>3029</v>
      </c>
      <c r="L2" s="58" t="s">
        <v>3041</v>
      </c>
      <c r="M2" s="58" t="s">
        <v>3042</v>
      </c>
      <c r="N2" s="16" t="s">
        <v>3030</v>
      </c>
      <c r="O2" s="16" t="s">
        <v>3031</v>
      </c>
      <c r="P2" s="16" t="s">
        <v>3032</v>
      </c>
    </row>
    <row r="3" spans="1:16" ht="15.6">
      <c r="A3" s="72"/>
      <c r="B3" s="9"/>
      <c r="C3" s="9"/>
      <c r="D3" s="9"/>
      <c r="E3" s="9"/>
      <c r="F3" s="70"/>
      <c r="J3" s="55" t="s">
        <v>215</v>
      </c>
      <c r="K3" s="56">
        <f>SUMIFS(Orders!I:I, Orders!E:E, J3)</f>
        <v>789849.60000000009</v>
      </c>
      <c r="L3" s="56" t="str">
        <f>VLOOKUP(Q3_Aggregation!J3, Sales_Reps!A:B, 2, FALSE)</f>
        <v>Rajesh Malhotra</v>
      </c>
      <c r="M3" s="56">
        <f>_xlfn.RANK.EQ(Q3_Aggregation!K3, Q3_Aggregation!$K$3:$K$32, 0)</f>
        <v>23</v>
      </c>
      <c r="N3" s="42">
        <f>SUMIFS(Orders!I:I, Orders!E:E, "R015", Orders!B:B, "&gt;="&amp;DATE(2024,11,1), Orders!B:B, "&lt;="&amp;DATE(2024,11,30))</f>
        <v>97394.65</v>
      </c>
      <c r="O3" s="25">
        <f>INDEX(Targets!A:M, MATCH("R015", Targets!A:A, 0), MATCH("Nov-24", Targets!A1:M1, 0))</f>
        <v>418857</v>
      </c>
      <c r="P3" s="25">
        <f>N3/O3</f>
        <v>0.23252482350778428</v>
      </c>
    </row>
    <row r="4" spans="1:16" ht="24" customHeight="1">
      <c r="A4" s="74" t="s">
        <v>2899</v>
      </c>
      <c r="B4" s="10" t="s">
        <v>2900</v>
      </c>
      <c r="C4" s="10" t="s">
        <v>14</v>
      </c>
      <c r="D4" s="10" t="s">
        <v>2901</v>
      </c>
      <c r="E4" s="10" t="s">
        <v>2902</v>
      </c>
      <c r="F4" s="123" t="s">
        <v>2903</v>
      </c>
      <c r="J4" s="55" t="s">
        <v>297</v>
      </c>
      <c r="K4" s="56">
        <f>SUMIFS(Orders!I:I, Orders!E:E, J4)</f>
        <v>980063.65999999968</v>
      </c>
      <c r="L4" s="56" t="str">
        <f>VLOOKUP(Q3_Aggregation!J4, Sales_Reps!A:B, 2, FALSE)</f>
        <v>Sunita Malhotra</v>
      </c>
      <c r="M4" s="56">
        <f>_xlfn.RANK.EQ(Q3_Aggregation!K4, Q3_Aggregation!$K$3:$K$32, 0)</f>
        <v>9</v>
      </c>
    </row>
    <row r="5" spans="1:16" ht="42" customHeight="1">
      <c r="A5" s="124" t="s">
        <v>2953</v>
      </c>
      <c r="B5" s="11" t="s">
        <v>2954</v>
      </c>
      <c r="C5" s="12">
        <v>4</v>
      </c>
      <c r="D5" s="13" t="s">
        <v>2955</v>
      </c>
      <c r="E5" s="18">
        <f>SUMIFS(Orders!I2:I2001, Orders!K2:K2001, "Mumbai", Orders!B2:B2001, "&gt;="&amp;DATE(2024,7,1), Orders!B2:B2001, "&lt;="&amp;DATE(2024,9,30))</f>
        <v>1217239.0099999998</v>
      </c>
      <c r="F5" s="125" t="s">
        <v>2956</v>
      </c>
      <c r="J5" s="55" t="s">
        <v>148</v>
      </c>
      <c r="K5" s="56">
        <f>SUMIFS(Orders!I:I, Orders!E:E, J5)</f>
        <v>986692.91</v>
      </c>
      <c r="L5" s="56" t="str">
        <f>VLOOKUP(Q3_Aggregation!J5, Sales_Reps!A:B, 2, FALSE)</f>
        <v>Amit Singh</v>
      </c>
      <c r="M5" s="56">
        <f>_xlfn.RANK.EQ(Q3_Aggregation!K5, Q3_Aggregation!$K$3:$K$32, 0)</f>
        <v>7</v>
      </c>
    </row>
    <row r="6" spans="1:16" ht="42" customHeight="1">
      <c r="A6" s="124" t="s">
        <v>2957</v>
      </c>
      <c r="B6" s="11" t="s">
        <v>2958</v>
      </c>
      <c r="C6" s="12">
        <v>3</v>
      </c>
      <c r="D6" s="13" t="s">
        <v>2959</v>
      </c>
      <c r="E6" s="20">
        <f>COUNTIFS(Orders!H2:H2001, "&gt;15", Orders!J2:J2001, "Completed")</f>
        <v>723</v>
      </c>
      <c r="F6" s="125" t="s">
        <v>2917</v>
      </c>
      <c r="J6" s="55" t="s">
        <v>139</v>
      </c>
      <c r="K6" s="56">
        <f>SUMIFS(Orders!I:I, Orders!E:E, J6)</f>
        <v>589026.2899999998</v>
      </c>
      <c r="L6" s="56" t="str">
        <f>VLOOKUP(Q3_Aggregation!J6, Sales_Reps!A:B, 2, FALSE)</f>
        <v>Priya Singh</v>
      </c>
      <c r="M6" s="56">
        <f>_xlfn.RANK.EQ(Q3_Aggregation!K6, Q3_Aggregation!$K$3:$K$32, 0)</f>
        <v>29</v>
      </c>
    </row>
    <row r="7" spans="1:16" ht="58.8" customHeight="1">
      <c r="A7" s="124" t="s">
        <v>2960</v>
      </c>
      <c r="B7" s="14" t="s">
        <v>3020</v>
      </c>
      <c r="C7" s="12">
        <v>5</v>
      </c>
      <c r="D7" s="15" t="s">
        <v>2961</v>
      </c>
      <c r="E7" s="18">
        <f>AVERAGEIFS(Orders!I:I, Orders!L:L, "Electronics", Orders!M:M, "Corporate")</f>
        <v>13981.401558441557</v>
      </c>
      <c r="F7" s="126" t="s">
        <v>2956</v>
      </c>
      <c r="J7" s="55" t="s">
        <v>92</v>
      </c>
      <c r="K7" s="56">
        <f>SUMIFS(Orders!I:I, Orders!E:E, J7)</f>
        <v>782445.33</v>
      </c>
      <c r="L7" s="56" t="str">
        <f>VLOOKUP(Q3_Aggregation!J7, Sales_Reps!A:B, 2, FALSE)</f>
        <v>Vikram Patel</v>
      </c>
      <c r="M7" s="56">
        <f>_xlfn.RANK.EQ(Q3_Aggregation!K7, Q3_Aggregation!$K$3:$K$32, 0)</f>
        <v>24</v>
      </c>
    </row>
    <row r="8" spans="1:16" ht="42" customHeight="1">
      <c r="A8" s="124" t="s">
        <v>2962</v>
      </c>
      <c r="B8" s="11" t="s">
        <v>2963</v>
      </c>
      <c r="C8" s="12">
        <v>4</v>
      </c>
      <c r="D8" s="13" t="s">
        <v>2964</v>
      </c>
      <c r="E8" s="18" cm="1">
        <f t="array" ref="E8">SUMPRODUCT(LARGE(K3:K32, {1,2,3}))</f>
        <v>3342678.55</v>
      </c>
      <c r="F8" s="125" t="s">
        <v>2956</v>
      </c>
      <c r="J8" s="55" t="s">
        <v>103</v>
      </c>
      <c r="K8" s="56">
        <f>SUMIFS(Orders!I:I, Orders!E:E, J8)</f>
        <v>1138648.73</v>
      </c>
      <c r="L8" s="56" t="str">
        <f>VLOOKUP(Q3_Aggregation!J8, Sales_Reps!A:B, 2, FALSE)</f>
        <v>Neha Desai</v>
      </c>
      <c r="M8" s="56">
        <f>_xlfn.RANK.EQ(Q3_Aggregation!K8, Q3_Aggregation!$K$3:$K$32, 0)</f>
        <v>1</v>
      </c>
    </row>
    <row r="9" spans="1:16" ht="63" customHeight="1">
      <c r="A9" s="124" t="s">
        <v>2965</v>
      </c>
      <c r="B9" s="11" t="s">
        <v>2966</v>
      </c>
      <c r="C9" s="12">
        <v>5</v>
      </c>
      <c r="D9" s="13" t="s">
        <v>2967</v>
      </c>
      <c r="E9" s="19" t="str">
        <f>IF(P3 &lt; 0.8, "Below", IF(P3 &lt;= 1.2, "On Track", "Exceeds"))</f>
        <v>Below</v>
      </c>
      <c r="F9" s="125" t="s">
        <v>2911</v>
      </c>
      <c r="J9" s="55" t="s">
        <v>86</v>
      </c>
      <c r="K9" s="56">
        <f>SUMIFS(Orders!I:I, Orders!E:E, J9)</f>
        <v>855749.67999999982</v>
      </c>
      <c r="L9" s="56" t="str">
        <f>VLOOKUP(Q3_Aggregation!J9, Sales_Reps!A:B, 2, FALSE)</f>
        <v>Suresh Menon</v>
      </c>
      <c r="M9" s="56">
        <f>_xlfn.RANK.EQ(Q3_Aggregation!K9, Q3_Aggregation!$K$3:$K$32, 0)</f>
        <v>19</v>
      </c>
    </row>
    <row r="10" spans="1:16" ht="42" customHeight="1" thickBot="1">
      <c r="A10" s="127" t="s">
        <v>2968</v>
      </c>
      <c r="B10" s="128" t="s">
        <v>2969</v>
      </c>
      <c r="C10" s="129">
        <v>4</v>
      </c>
      <c r="D10" s="130" t="s">
        <v>2970</v>
      </c>
      <c r="E10" s="131">
        <f>SUMIFS(Orders!I:I, Orders!M:M, "Corporate", Orders!N:N, "&gt;=30", Orders!N:N, "&lt;=40")</f>
        <v>982568.40000000014</v>
      </c>
      <c r="F10" s="132" t="s">
        <v>2956</v>
      </c>
      <c r="J10" s="55" t="s">
        <v>107</v>
      </c>
      <c r="K10" s="56">
        <f>SUMIFS(Orders!I:I, Orders!E:E, J10)</f>
        <v>861553.33</v>
      </c>
      <c r="L10" s="56" t="str">
        <f>VLOOKUP(Q3_Aggregation!J10, Sales_Reps!A:B, 2, FALSE)</f>
        <v>Kavita Patel</v>
      </c>
      <c r="M10" s="56">
        <f>_xlfn.RANK.EQ(Q3_Aggregation!K10, Q3_Aggregation!$K$3:$K$32, 0)</f>
        <v>18</v>
      </c>
    </row>
    <row r="11" spans="1:16" ht="15.6">
      <c r="J11" s="55" t="s">
        <v>204</v>
      </c>
      <c r="K11" s="56">
        <f>SUMIFS(Orders!I:I, Orders!E:E, J11)</f>
        <v>914554.71999999986</v>
      </c>
      <c r="L11" s="56" t="str">
        <f>VLOOKUP(Q3_Aggregation!J11, Sales_Reps!A:B, 2, FALSE)</f>
        <v>Manoj Patel</v>
      </c>
      <c r="M11" s="56">
        <f>_xlfn.RANK.EQ(Q3_Aggregation!K11, Q3_Aggregation!$K$3:$K$32, 0)</f>
        <v>12</v>
      </c>
    </row>
    <row r="12" spans="1:16" ht="15.6">
      <c r="J12" s="55" t="s">
        <v>132</v>
      </c>
      <c r="K12" s="56">
        <f>SUMIFS(Orders!I:I, Orders!E:E, J12)</f>
        <v>880345.20000000007</v>
      </c>
      <c r="L12" s="56" t="str">
        <f>VLOOKUP(Q3_Aggregation!J12, Sales_Reps!A:B, 2, FALSE)</f>
        <v>Divya Rao</v>
      </c>
      <c r="M12" s="56">
        <f>_xlfn.RANK.EQ(Q3_Aggregation!K12, Q3_Aggregation!$K$3:$K$32, 0)</f>
        <v>17</v>
      </c>
    </row>
    <row r="13" spans="1:16" ht="15.6">
      <c r="J13" s="55" t="s">
        <v>273</v>
      </c>
      <c r="K13" s="56">
        <f>SUMIFS(Orders!I:I, Orders!E:E, J13)</f>
        <v>735207.75999999989</v>
      </c>
      <c r="L13" s="56" t="str">
        <f>VLOOKUP(Q3_Aggregation!J13, Sales_Reps!A:B, 2, FALSE)</f>
        <v>Anil Verma</v>
      </c>
      <c r="M13" s="56">
        <f>_xlfn.RANK.EQ(Q3_Aggregation!K13, Q3_Aggregation!$K$3:$K$32, 0)</f>
        <v>28</v>
      </c>
    </row>
    <row r="14" spans="1:16" ht="15.6">
      <c r="J14" s="55" t="s">
        <v>325</v>
      </c>
      <c r="K14" s="56">
        <f>SUMIFS(Orders!I:I, Orders!E:E, J14)</f>
        <v>901394.32000000007</v>
      </c>
      <c r="L14" s="56" t="str">
        <f>VLOOKUP(Q3_Aggregation!J14, Sales_Reps!A:B, 2, FALSE)</f>
        <v>Pooja Nair</v>
      </c>
      <c r="M14" s="56">
        <f>_xlfn.RANK.EQ(Q3_Aggregation!K14, Q3_Aggregation!$K$3:$K$32, 0)</f>
        <v>14</v>
      </c>
    </row>
    <row r="15" spans="1:16" ht="15.6">
      <c r="J15" s="55" t="s">
        <v>252</v>
      </c>
      <c r="K15" s="56">
        <f>SUMIFS(Orders!I:I, Orders!E:E, J15)</f>
        <v>811524.37999999989</v>
      </c>
      <c r="L15" s="56" t="str">
        <f>VLOOKUP(Q3_Aggregation!J15, Sales_Reps!A:B, 2, FALSE)</f>
        <v>Sanjay Kapoor</v>
      </c>
      <c r="M15" s="56">
        <f>_xlfn.RANK.EQ(Q3_Aggregation!K15, Q3_Aggregation!$K$3:$K$32, 0)</f>
        <v>22</v>
      </c>
    </row>
    <row r="16" spans="1:16" ht="15.6">
      <c r="J16" s="55" t="s">
        <v>98</v>
      </c>
      <c r="K16" s="56">
        <f>SUMIFS(Orders!I:I, Orders!E:E, J16)</f>
        <v>995713.54000000015</v>
      </c>
      <c r="L16" s="56" t="str">
        <f>VLOOKUP(Q3_Aggregation!J16, Sales_Reps!A:B, 2, FALSE)</f>
        <v>Ritu Menon</v>
      </c>
      <c r="M16" s="56">
        <f>_xlfn.RANK.EQ(Q3_Aggregation!K16, Q3_Aggregation!$K$3:$K$32, 0)</f>
        <v>6</v>
      </c>
    </row>
    <row r="17" spans="10:13" ht="15.6">
      <c r="J17" s="55" t="s">
        <v>188</v>
      </c>
      <c r="K17" s="56">
        <f>SUMIFS(Orders!I:I, Orders!E:E, J17)</f>
        <v>1091740.1799999997</v>
      </c>
      <c r="L17" s="56" t="str">
        <f>VLOOKUP(Q3_Aggregation!J17, Sales_Reps!A:B, 2, FALSE)</f>
        <v>Deepak Shah</v>
      </c>
      <c r="M17" s="56">
        <f>_xlfn.RANK.EQ(Q3_Aggregation!K17, Q3_Aggregation!$K$3:$K$32, 0)</f>
        <v>3</v>
      </c>
    </row>
    <row r="18" spans="10:13" ht="15.6">
      <c r="J18" s="55" t="s">
        <v>346</v>
      </c>
      <c r="K18" s="56">
        <f>SUMIFS(Orders!I:I, Orders!E:E, J18)</f>
        <v>814563.7100000002</v>
      </c>
      <c r="L18" s="56" t="str">
        <f>VLOOKUP(Q3_Aggregation!J18, Sales_Reps!A:B, 2, FALSE)</f>
        <v>Anjali Chopra</v>
      </c>
      <c r="M18" s="56">
        <f>_xlfn.RANK.EQ(Q3_Aggregation!K18, Q3_Aggregation!$K$3:$K$32, 0)</f>
        <v>21</v>
      </c>
    </row>
    <row r="19" spans="10:13" ht="15.6">
      <c r="J19" s="55" t="s">
        <v>238</v>
      </c>
      <c r="K19" s="56">
        <f>SUMIFS(Orders!I:I, Orders!E:E, J19)</f>
        <v>780384.40999999992</v>
      </c>
      <c r="L19" s="56" t="str">
        <f>VLOOKUP(Q3_Aggregation!J19, Sales_Reps!A:B, 2, FALSE)</f>
        <v>Naveen Singh</v>
      </c>
      <c r="M19" s="56">
        <f>_xlfn.RANK.EQ(Q3_Aggregation!K19, Q3_Aggregation!$K$3:$K$32, 0)</f>
        <v>25</v>
      </c>
    </row>
    <row r="20" spans="10:13" ht="15.6">
      <c r="J20" s="55" t="s">
        <v>303</v>
      </c>
      <c r="K20" s="56">
        <f>SUMIFS(Orders!I:I, Orders!E:E, J20)</f>
        <v>1112289.6400000001</v>
      </c>
      <c r="L20" s="56" t="str">
        <f>VLOOKUP(Q3_Aggregation!J20, Sales_Reps!A:B, 2, FALSE)</f>
        <v>Shalini Patel</v>
      </c>
      <c r="M20" s="56">
        <f>_xlfn.RANK.EQ(Q3_Aggregation!K20, Q3_Aggregation!$K$3:$K$32, 0)</f>
        <v>2</v>
      </c>
    </row>
    <row r="21" spans="10:13" ht="15.6">
      <c r="J21" s="55" t="s">
        <v>121</v>
      </c>
      <c r="K21" s="56">
        <f>SUMIFS(Orders!I:I, Orders!E:E, J21)</f>
        <v>971183.52000000014</v>
      </c>
      <c r="L21" s="56" t="str">
        <f>VLOOKUP(Q3_Aggregation!J21, Sales_Reps!A:B, 2, FALSE)</f>
        <v>Prakash Shah</v>
      </c>
      <c r="M21" s="56">
        <f>_xlfn.RANK.EQ(Q3_Aggregation!K21, Q3_Aggregation!$K$3:$K$32, 0)</f>
        <v>10</v>
      </c>
    </row>
    <row r="22" spans="10:13" ht="15.6">
      <c r="J22" s="55" t="s">
        <v>192</v>
      </c>
      <c r="K22" s="56">
        <f>SUMIFS(Orders!I:I, Orders!E:E, J22)</f>
        <v>906107.71000000008</v>
      </c>
      <c r="L22" s="56" t="str">
        <f>VLOOKUP(Q3_Aggregation!J22, Sales_Reps!A:B, 2, FALSE)</f>
        <v>Meera Iyer</v>
      </c>
      <c r="M22" s="56">
        <f>_xlfn.RANK.EQ(Q3_Aggregation!K22, Q3_Aggregation!$K$3:$K$32, 0)</f>
        <v>13</v>
      </c>
    </row>
    <row r="23" spans="10:13" ht="15.6">
      <c r="J23" s="55" t="s">
        <v>158</v>
      </c>
      <c r="K23" s="56">
        <f>SUMIFS(Orders!I:I, Orders!E:E, J23)</f>
        <v>761507.17000000027</v>
      </c>
      <c r="L23" s="56" t="str">
        <f>VLOOKUP(Q3_Aggregation!J23, Sales_Reps!A:B, 2, FALSE)</f>
        <v>Gaurav Desai</v>
      </c>
      <c r="M23" s="56">
        <f>_xlfn.RANK.EQ(Q3_Aggregation!K23, Q3_Aggregation!$K$3:$K$32, 0)</f>
        <v>26</v>
      </c>
    </row>
    <row r="24" spans="10:13" ht="15.6">
      <c r="J24" s="55" t="s">
        <v>285</v>
      </c>
      <c r="K24" s="56">
        <f>SUMIFS(Orders!I:I, Orders!E:E, J24)</f>
        <v>1069570.5400000003</v>
      </c>
      <c r="L24" s="56" t="str">
        <f>VLOOKUP(Q3_Aggregation!J24, Sales_Reps!A:B, 2, FALSE)</f>
        <v>Nisha Menon</v>
      </c>
      <c r="M24" s="56">
        <f>_xlfn.RANK.EQ(Q3_Aggregation!K24, Q3_Aggregation!$K$3:$K$32, 0)</f>
        <v>4</v>
      </c>
    </row>
    <row r="25" spans="10:13" ht="15.6">
      <c r="J25" s="55" t="s">
        <v>154</v>
      </c>
      <c r="K25" s="56">
        <f>SUMIFS(Orders!I:I, Orders!E:E, J25)</f>
        <v>983787.4800000001</v>
      </c>
      <c r="L25" s="56" t="str">
        <f>VLOOKUP(Q3_Aggregation!J25, Sales_Reps!A:B, 2, FALSE)</f>
        <v>Vinod Kumar</v>
      </c>
      <c r="M25" s="56">
        <f>_xlfn.RANK.EQ(Q3_Aggregation!K25, Q3_Aggregation!$K$3:$K$32, 0)</f>
        <v>8</v>
      </c>
    </row>
    <row r="26" spans="10:13" ht="15.6">
      <c r="J26" s="55" t="s">
        <v>116</v>
      </c>
      <c r="K26" s="56">
        <f>SUMIFS(Orders!I:I, Orders!E:E, J26)</f>
        <v>819558.58</v>
      </c>
      <c r="L26" s="56" t="str">
        <f>VLOOKUP(Q3_Aggregation!J26, Sales_Reps!A:B, 2, FALSE)</f>
        <v>Rekha Chopra</v>
      </c>
      <c r="M26" s="56">
        <f>_xlfn.RANK.EQ(Q3_Aggregation!K26, Q3_Aggregation!$K$3:$K$32, 0)</f>
        <v>20</v>
      </c>
    </row>
    <row r="27" spans="10:13" ht="15.6">
      <c r="J27" s="55" t="s">
        <v>111</v>
      </c>
      <c r="K27" s="56">
        <f>SUMIFS(Orders!I:I, Orders!E:E, J27)</f>
        <v>901298.89</v>
      </c>
      <c r="L27" s="56" t="str">
        <f>VLOOKUP(Q3_Aggregation!J27, Sales_Reps!A:B, 2, FALSE)</f>
        <v>Ashok Reddy</v>
      </c>
      <c r="M27" s="56">
        <f>_xlfn.RANK.EQ(Q3_Aggregation!K27, Q3_Aggregation!$K$3:$K$32, 0)</f>
        <v>15</v>
      </c>
    </row>
    <row r="28" spans="10:13" ht="15.6">
      <c r="J28" s="55" t="s">
        <v>201</v>
      </c>
      <c r="K28" s="56">
        <f>SUMIFS(Orders!I:I, Orders!E:E, J28)</f>
        <v>576305.08000000019</v>
      </c>
      <c r="L28" s="56" t="str">
        <f>VLOOKUP(Q3_Aggregation!J28, Sales_Reps!A:B, 2, FALSE)</f>
        <v>Sonia Malhotra</v>
      </c>
      <c r="M28" s="56">
        <f>_xlfn.RANK.EQ(Q3_Aggregation!K28, Q3_Aggregation!$K$3:$K$32, 0)</f>
        <v>30</v>
      </c>
    </row>
    <row r="29" spans="10:13" ht="15.6">
      <c r="J29" s="55" t="s">
        <v>343</v>
      </c>
      <c r="K29" s="56">
        <f>SUMIFS(Orders!I:I, Orders!E:E, J29)</f>
        <v>917092.61999999965</v>
      </c>
      <c r="L29" s="56" t="str">
        <f>VLOOKUP(Q3_Aggregation!J29, Sales_Reps!A:B, 2, FALSE)</f>
        <v>Ramesh Bhatt</v>
      </c>
      <c r="M29" s="56">
        <f>_xlfn.RANK.EQ(Q3_Aggregation!K29, Q3_Aggregation!$K$3:$K$32, 0)</f>
        <v>11</v>
      </c>
    </row>
    <row r="30" spans="10:13" ht="15.6">
      <c r="J30" s="55" t="s">
        <v>128</v>
      </c>
      <c r="K30" s="56">
        <f>SUMIFS(Orders!I:I, Orders!E:E, J30)</f>
        <v>880468.05</v>
      </c>
      <c r="L30" s="56" t="str">
        <f>VLOOKUP(Q3_Aggregation!J30, Sales_Reps!A:B, 2, FALSE)</f>
        <v>Preeti Shah</v>
      </c>
      <c r="M30" s="56">
        <f>_xlfn.RANK.EQ(Q3_Aggregation!K30, Q3_Aggregation!$K$3:$K$32, 0)</f>
        <v>16</v>
      </c>
    </row>
    <row r="31" spans="10:13" ht="15.6">
      <c r="J31" s="55" t="s">
        <v>229</v>
      </c>
      <c r="K31" s="56">
        <f>SUMIFS(Orders!I:I, Orders!E:E, J31)</f>
        <v>1016696.8000000002</v>
      </c>
      <c r="L31" s="56" t="str">
        <f>VLOOKUP(Q3_Aggregation!J31, Sales_Reps!A:B, 2, FALSE)</f>
        <v>Arun Iyer</v>
      </c>
      <c r="M31" s="56">
        <f>_xlfn.RANK.EQ(Q3_Aggregation!K31, Q3_Aggregation!$K$3:$K$32, 0)</f>
        <v>5</v>
      </c>
    </row>
    <row r="32" spans="10:13" ht="15.6">
      <c r="J32" s="55" t="s">
        <v>170</v>
      </c>
      <c r="K32" s="56">
        <f>SUMIFS(Orders!I:I, Orders!E:E, J32)</f>
        <v>747624.36999999988</v>
      </c>
      <c r="L32" s="56" t="str">
        <f>VLOOKUP(Q3_Aggregation!J32, Sales_Reps!A:B, 2, FALSE)</f>
        <v>Kiran Bhatt</v>
      </c>
      <c r="M32" s="56">
        <f>_xlfn.RANK.EQ(Q3_Aggregation!K32, Q3_Aggregation!$K$3:$K$32, 0)</f>
        <v>27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I394"/>
  <sheetViews>
    <sheetView zoomScale="96" workbookViewId="0">
      <pane ySplit="4" topLeftCell="A7" activePane="bottomLeft" state="frozen"/>
      <selection pane="bottomLeft" activeCell="L11" sqref="L11"/>
    </sheetView>
  </sheetViews>
  <sheetFormatPr defaultRowHeight="14.4"/>
  <cols>
    <col min="1" max="1" width="6" customWidth="1"/>
    <col min="2" max="2" width="19.77734375" bestFit="1" customWidth="1"/>
    <col min="3" max="3" width="16.21875" bestFit="1" customWidth="1"/>
    <col min="4" max="4" width="11.44140625" bestFit="1" customWidth="1"/>
    <col min="5" max="5" width="13.33203125" bestFit="1" customWidth="1"/>
    <col min="6" max="9" width="11.44140625" bestFit="1" customWidth="1"/>
  </cols>
  <sheetData>
    <row r="1" spans="1:9" ht="30" customHeight="1">
      <c r="A1" s="162" t="s">
        <v>3024</v>
      </c>
      <c r="B1" s="161"/>
      <c r="C1" s="161"/>
      <c r="D1" s="161"/>
      <c r="E1" s="161"/>
      <c r="F1" s="161"/>
    </row>
    <row r="2" spans="1:9">
      <c r="A2" s="160" t="s">
        <v>2971</v>
      </c>
      <c r="B2" s="161"/>
      <c r="C2" s="161"/>
      <c r="D2" s="161"/>
      <c r="E2" s="161"/>
      <c r="F2" s="161"/>
    </row>
    <row r="3" spans="1:9" ht="15" thickBot="1"/>
    <row r="4" spans="1:9" ht="24" customHeight="1">
      <c r="A4" s="84" t="s">
        <v>2899</v>
      </c>
      <c r="B4" s="85" t="s">
        <v>2900</v>
      </c>
      <c r="C4" s="85" t="s">
        <v>14</v>
      </c>
      <c r="D4" s="85" t="s">
        <v>2901</v>
      </c>
      <c r="E4" s="110" t="s">
        <v>2902</v>
      </c>
      <c r="F4" s="105" t="s">
        <v>2903</v>
      </c>
    </row>
    <row r="5" spans="1:9" ht="96.6" customHeight="1">
      <c r="A5" s="111" t="s">
        <v>2972</v>
      </c>
      <c r="B5" s="4" t="s">
        <v>2973</v>
      </c>
      <c r="C5" s="5">
        <v>4</v>
      </c>
      <c r="D5" s="31" t="s">
        <v>2974</v>
      </c>
      <c r="E5" s="32">
        <f>E16</f>
        <v>1314107.3899999999</v>
      </c>
      <c r="F5" s="112" t="s">
        <v>2956</v>
      </c>
    </row>
    <row r="6" spans="1:9" ht="72" customHeight="1">
      <c r="A6" s="111" t="s">
        <v>2975</v>
      </c>
      <c r="B6" s="4" t="s">
        <v>2976</v>
      </c>
      <c r="C6" s="5">
        <v>4</v>
      </c>
      <c r="D6" s="31" t="s">
        <v>2977</v>
      </c>
      <c r="E6" s="108">
        <f>MAX(Sheet2!B6:B17)</f>
        <v>15657.8</v>
      </c>
      <c r="F6" s="112" t="s">
        <v>2956</v>
      </c>
    </row>
    <row r="7" spans="1:9" ht="70.2" customHeight="1">
      <c r="A7" s="111" t="s">
        <v>2978</v>
      </c>
      <c r="B7" s="34" t="s">
        <v>2979</v>
      </c>
      <c r="C7" s="5">
        <v>4</v>
      </c>
      <c r="D7" s="35" t="s">
        <v>2980</v>
      </c>
      <c r="E7" s="33">
        <f>GETPIVOTDATA("final_amount",$B$20,"Category","Apparel","Region","North")</f>
        <v>0.14023150471988344</v>
      </c>
      <c r="F7" s="112" t="s">
        <v>2981</v>
      </c>
    </row>
    <row r="8" spans="1:9" ht="42" customHeight="1">
      <c r="A8" s="111" t="s">
        <v>2982</v>
      </c>
      <c r="B8" s="34" t="s">
        <v>2983</v>
      </c>
      <c r="C8" s="5">
        <v>4</v>
      </c>
      <c r="D8" s="35" t="s">
        <v>2984</v>
      </c>
      <c r="E8" s="32">
        <f>C33</f>
        <v>88776.68</v>
      </c>
      <c r="F8" s="119" t="s">
        <v>2956</v>
      </c>
    </row>
    <row r="9" spans="1:9" ht="65.400000000000006" customHeight="1" thickBot="1">
      <c r="A9" s="113" t="s">
        <v>2985</v>
      </c>
      <c r="B9" s="120" t="s">
        <v>2986</v>
      </c>
      <c r="C9" s="115">
        <v>4</v>
      </c>
      <c r="D9" s="121" t="s">
        <v>2987</v>
      </c>
      <c r="E9" s="122">
        <f>F30</f>
        <v>0.51594488188976373</v>
      </c>
      <c r="F9" s="118" t="s">
        <v>2981</v>
      </c>
    </row>
    <row r="12" spans="1:9">
      <c r="B12" s="28" t="s">
        <v>3038</v>
      </c>
      <c r="C12" s="28" t="s">
        <v>3037</v>
      </c>
      <c r="D12" s="9"/>
      <c r="E12" s="9"/>
      <c r="F12" s="9"/>
      <c r="G12" s="9"/>
      <c r="H12" s="9"/>
      <c r="I12" s="9"/>
    </row>
    <row r="13" spans="1:9">
      <c r="B13" s="28" t="s">
        <v>3035</v>
      </c>
      <c r="C13" s="9" t="s">
        <v>2795</v>
      </c>
      <c r="D13" s="9" t="s">
        <v>2828</v>
      </c>
      <c r="E13" s="9" t="s">
        <v>2784</v>
      </c>
      <c r="F13" s="9" t="s">
        <v>2806</v>
      </c>
      <c r="G13" s="9" t="s">
        <v>2817</v>
      </c>
      <c r="H13" s="9" t="s">
        <v>2839</v>
      </c>
      <c r="I13" s="9" t="s">
        <v>3036</v>
      </c>
    </row>
    <row r="14" spans="1:9">
      <c r="B14" s="29" t="s">
        <v>2871</v>
      </c>
      <c r="C14" s="9">
        <v>860762.22999999975</v>
      </c>
      <c r="D14" s="9">
        <v>1271152.7899999996</v>
      </c>
      <c r="E14" s="9">
        <v>1214881.92</v>
      </c>
      <c r="F14" s="9">
        <v>1168089.9100000004</v>
      </c>
      <c r="G14" s="9">
        <v>1124233.5400000003</v>
      </c>
      <c r="H14" s="9">
        <v>945710.07999999996</v>
      </c>
      <c r="I14" s="9">
        <v>6584830.4699999997</v>
      </c>
    </row>
    <row r="15" spans="1:9">
      <c r="B15" s="29" t="s">
        <v>2855</v>
      </c>
      <c r="C15" s="9">
        <v>979380.9700000002</v>
      </c>
      <c r="D15" s="9">
        <v>1556120.1900000002</v>
      </c>
      <c r="E15" s="9">
        <v>1450710.7499999998</v>
      </c>
      <c r="F15" s="9">
        <v>1118963.8499999994</v>
      </c>
      <c r="G15" s="9">
        <v>867033.27</v>
      </c>
      <c r="H15" s="9">
        <v>1011820.4999999998</v>
      </c>
      <c r="I15" s="9">
        <v>6984029.5299999993</v>
      </c>
    </row>
    <row r="16" spans="1:9">
      <c r="B16" s="29" t="s">
        <v>2862</v>
      </c>
      <c r="C16" s="9">
        <v>962768.31</v>
      </c>
      <c r="D16" s="9">
        <v>1590646.0500000005</v>
      </c>
      <c r="E16" s="39">
        <v>1314107.3899999999</v>
      </c>
      <c r="F16" s="9">
        <v>1041400.7999999998</v>
      </c>
      <c r="G16" s="9">
        <v>1140277.8000000005</v>
      </c>
      <c r="H16" s="9">
        <v>1095843.4599999997</v>
      </c>
      <c r="I16" s="9">
        <v>7145043.8100000005</v>
      </c>
    </row>
    <row r="17" spans="2:9">
      <c r="B17" s="29" t="s">
        <v>2879</v>
      </c>
      <c r="C17" s="9">
        <v>868240.03</v>
      </c>
      <c r="D17" s="9">
        <v>1188460.02</v>
      </c>
      <c r="E17" s="9">
        <v>993053.05000000016</v>
      </c>
      <c r="F17" s="9">
        <v>997265.82000000018</v>
      </c>
      <c r="G17" s="9">
        <v>955407.57999999984</v>
      </c>
      <c r="H17" s="9">
        <v>856617.8899999999</v>
      </c>
      <c r="I17" s="9">
        <v>5859044.3899999997</v>
      </c>
    </row>
    <row r="18" spans="2:9">
      <c r="B18" s="29" t="s">
        <v>3036</v>
      </c>
      <c r="C18" s="9">
        <v>3671151.54</v>
      </c>
      <c r="D18" s="9">
        <v>5606379.0500000007</v>
      </c>
      <c r="E18" s="9">
        <v>4972753.1099999994</v>
      </c>
      <c r="F18" s="9">
        <v>4325720.38</v>
      </c>
      <c r="G18" s="9">
        <v>4086952.1900000004</v>
      </c>
      <c r="H18" s="9">
        <v>3909991.9299999988</v>
      </c>
      <c r="I18" s="9">
        <v>26572948.200000003</v>
      </c>
    </row>
    <row r="20" spans="2:9">
      <c r="B20" s="28" t="s">
        <v>3038</v>
      </c>
      <c r="C20" s="28" t="s">
        <v>3037</v>
      </c>
      <c r="D20" s="9"/>
      <c r="E20" s="9"/>
      <c r="F20" s="9"/>
      <c r="G20" s="9"/>
      <c r="H20" s="9"/>
      <c r="I20" s="9"/>
    </row>
    <row r="21" spans="2:9">
      <c r="B21" s="28" t="s">
        <v>3035</v>
      </c>
      <c r="C21" s="9" t="s">
        <v>2795</v>
      </c>
      <c r="D21" s="9" t="s">
        <v>2828</v>
      </c>
      <c r="E21" s="9" t="s">
        <v>2784</v>
      </c>
      <c r="F21" s="9" t="s">
        <v>2806</v>
      </c>
      <c r="G21" s="9" t="s">
        <v>2817</v>
      </c>
      <c r="H21" s="9" t="s">
        <v>2839</v>
      </c>
      <c r="I21" s="9" t="s">
        <v>3036</v>
      </c>
    </row>
    <row r="22" spans="2:9">
      <c r="B22" s="29" t="s">
        <v>2871</v>
      </c>
      <c r="C22" s="36">
        <v>0.13071896595084243</v>
      </c>
      <c r="D22" s="36">
        <v>0.19304259931843007</v>
      </c>
      <c r="E22" s="36">
        <v>0.18449706876052649</v>
      </c>
      <c r="F22" s="36">
        <v>0.17739103767693512</v>
      </c>
      <c r="G22" s="36">
        <v>0.17073082520832161</v>
      </c>
      <c r="H22" s="36">
        <v>0.14361950308494426</v>
      </c>
      <c r="I22" s="36">
        <v>1</v>
      </c>
    </row>
    <row r="23" spans="2:9">
      <c r="B23" s="29" t="s">
        <v>2855</v>
      </c>
      <c r="C23" s="40">
        <v>0.14023150471988344</v>
      </c>
      <c r="D23" s="36">
        <v>0.22281122714554163</v>
      </c>
      <c r="E23" s="36">
        <v>0.20771830127127197</v>
      </c>
      <c r="F23" s="36">
        <v>0.16021751414329996</v>
      </c>
      <c r="G23" s="36">
        <v>0.12414513230158122</v>
      </c>
      <c r="H23" s="36">
        <v>0.1448763204184218</v>
      </c>
      <c r="I23" s="36">
        <v>1</v>
      </c>
    </row>
    <row r="24" spans="2:9">
      <c r="B24" s="29" t="s">
        <v>2862</v>
      </c>
      <c r="C24" s="36">
        <v>0.1347463130530476</v>
      </c>
      <c r="D24" s="36">
        <v>0.22262229487995266</v>
      </c>
      <c r="E24" s="36">
        <v>0.18391873093357558</v>
      </c>
      <c r="F24" s="36">
        <v>0.14575149260001524</v>
      </c>
      <c r="G24" s="36">
        <v>0.15959003615962439</v>
      </c>
      <c r="H24" s="36">
        <v>0.15337113237378452</v>
      </c>
      <c r="I24" s="36">
        <v>1</v>
      </c>
    </row>
    <row r="25" spans="2:9">
      <c r="B25" s="29" t="s">
        <v>2879</v>
      </c>
      <c r="C25" s="36">
        <v>0.14818799316179956</v>
      </c>
      <c r="D25" s="36">
        <v>0.20284195525611987</v>
      </c>
      <c r="E25" s="36">
        <v>0.16949061722333192</v>
      </c>
      <c r="F25" s="36">
        <v>0.17020963720672549</v>
      </c>
      <c r="G25" s="36">
        <v>0.16306542780775893</v>
      </c>
      <c r="H25" s="36">
        <v>0.14620436934426434</v>
      </c>
      <c r="I25" s="36">
        <v>1</v>
      </c>
    </row>
    <row r="26" spans="2:9">
      <c r="B26" s="29" t="s">
        <v>3036</v>
      </c>
      <c r="C26" s="36">
        <v>0.13815371604118806</v>
      </c>
      <c r="D26" s="36">
        <v>0.21098069389229457</v>
      </c>
      <c r="E26" s="36">
        <v>0.18713592005572038</v>
      </c>
      <c r="F26" s="36">
        <v>0.16278661846034831</v>
      </c>
      <c r="G26" s="36">
        <v>0.15380123271380178</v>
      </c>
      <c r="H26" s="36">
        <v>0.14714181883664676</v>
      </c>
      <c r="I26" s="36">
        <v>1</v>
      </c>
    </row>
    <row r="28" spans="2:9">
      <c r="B28" s="26" t="s">
        <v>3035</v>
      </c>
      <c r="C28" t="s">
        <v>3039</v>
      </c>
      <c r="E28" s="26" t="s">
        <v>3035</v>
      </c>
      <c r="F28" t="s">
        <v>3040</v>
      </c>
    </row>
    <row r="29" spans="2:9">
      <c r="B29" s="30">
        <v>45292</v>
      </c>
      <c r="C29">
        <v>23681.32</v>
      </c>
      <c r="E29" s="27" t="s">
        <v>2418</v>
      </c>
      <c r="F29" s="38">
        <v>0.56137254901960787</v>
      </c>
    </row>
    <row r="30" spans="2:9">
      <c r="B30" s="30">
        <v>45293</v>
      </c>
      <c r="C30">
        <v>38974.000000000007</v>
      </c>
      <c r="E30" s="27" t="s">
        <v>1431</v>
      </c>
      <c r="F30" s="41">
        <v>0.51594488188976373</v>
      </c>
    </row>
    <row r="31" spans="2:9">
      <c r="B31" s="30">
        <v>45294</v>
      </c>
      <c r="C31">
        <v>55717.08</v>
      </c>
      <c r="E31" s="27" t="s">
        <v>117</v>
      </c>
      <c r="F31" s="38">
        <v>0.48061705652682679</v>
      </c>
    </row>
    <row r="32" spans="2:9">
      <c r="B32" s="30">
        <v>45295</v>
      </c>
      <c r="C32">
        <v>100652.47</v>
      </c>
      <c r="E32" s="27" t="s">
        <v>94</v>
      </c>
      <c r="F32" s="38">
        <v>0.47321585063821681</v>
      </c>
    </row>
    <row r="33" spans="2:6">
      <c r="B33" s="30">
        <v>45296</v>
      </c>
      <c r="C33">
        <v>88776.68</v>
      </c>
      <c r="E33" s="27" t="s">
        <v>99</v>
      </c>
      <c r="F33" s="38">
        <v>0.45936662364737418</v>
      </c>
    </row>
    <row r="34" spans="2:6">
      <c r="B34" s="30">
        <v>45297</v>
      </c>
      <c r="C34">
        <v>69631.839999999997</v>
      </c>
      <c r="E34" s="27" t="s">
        <v>133</v>
      </c>
      <c r="F34" s="38">
        <v>0.47241222311634407</v>
      </c>
    </row>
    <row r="35" spans="2:6">
      <c r="B35" s="30">
        <v>45298</v>
      </c>
      <c r="C35">
        <v>66462.14</v>
      </c>
      <c r="E35" s="27" t="s">
        <v>112</v>
      </c>
      <c r="F35" s="38">
        <v>0.47017175794950039</v>
      </c>
    </row>
    <row r="36" spans="2:6">
      <c r="B36" s="30">
        <v>45299</v>
      </c>
      <c r="C36">
        <v>78034.389999999985</v>
      </c>
      <c r="E36" s="27" t="s">
        <v>88</v>
      </c>
      <c r="F36" s="38">
        <v>0.46305711423820128</v>
      </c>
    </row>
    <row r="37" spans="2:6">
      <c r="B37" s="30">
        <v>45300</v>
      </c>
      <c r="C37">
        <v>108442.52</v>
      </c>
      <c r="E37" s="27" t="s">
        <v>3036</v>
      </c>
      <c r="F37" s="38">
        <v>0.46999495168675659</v>
      </c>
    </row>
    <row r="38" spans="2:6">
      <c r="B38" s="30">
        <v>45301</v>
      </c>
      <c r="C38">
        <v>27656.120000000003</v>
      </c>
    </row>
    <row r="39" spans="2:6">
      <c r="B39" s="30">
        <v>45302</v>
      </c>
      <c r="C39">
        <v>117167.37</v>
      </c>
    </row>
    <row r="40" spans="2:6">
      <c r="B40" s="30">
        <v>45303</v>
      </c>
      <c r="C40">
        <v>76290.63</v>
      </c>
    </row>
    <row r="41" spans="2:6">
      <c r="B41" s="30">
        <v>45304</v>
      </c>
      <c r="C41">
        <v>29317.599999999999</v>
      </c>
    </row>
    <row r="42" spans="2:6">
      <c r="B42" s="30">
        <v>45305</v>
      </c>
      <c r="C42">
        <v>15077.36</v>
      </c>
    </row>
    <row r="43" spans="2:6">
      <c r="B43" s="30">
        <v>45306</v>
      </c>
      <c r="C43">
        <v>28366.199999999997</v>
      </c>
    </row>
    <row r="44" spans="2:6">
      <c r="B44" s="30">
        <v>45307</v>
      </c>
      <c r="C44">
        <v>120119.44999999998</v>
      </c>
    </row>
    <row r="45" spans="2:6">
      <c r="B45" s="30">
        <v>45308</v>
      </c>
      <c r="C45">
        <v>96012.68</v>
      </c>
    </row>
    <row r="46" spans="2:6">
      <c r="B46" s="30">
        <v>45309</v>
      </c>
      <c r="C46">
        <v>63677.96</v>
      </c>
    </row>
    <row r="47" spans="2:6">
      <c r="B47" s="30">
        <v>45310</v>
      </c>
      <c r="C47">
        <v>35973.700000000004</v>
      </c>
    </row>
    <row r="48" spans="2:6">
      <c r="B48" s="30">
        <v>45311</v>
      </c>
      <c r="C48">
        <v>48442.38</v>
      </c>
    </row>
    <row r="49" spans="2:3">
      <c r="B49" s="30">
        <v>45312</v>
      </c>
      <c r="C49">
        <v>102628.55999999998</v>
      </c>
    </row>
    <row r="50" spans="2:3">
      <c r="B50" s="30">
        <v>45313</v>
      </c>
      <c r="C50">
        <v>66411.14</v>
      </c>
    </row>
    <row r="51" spans="2:3">
      <c r="B51" s="30">
        <v>45314</v>
      </c>
      <c r="C51">
        <v>9462.2000000000007</v>
      </c>
    </row>
    <row r="52" spans="2:3">
      <c r="B52" s="30">
        <v>45315</v>
      </c>
      <c r="C52">
        <v>46092.2</v>
      </c>
    </row>
    <row r="53" spans="2:3">
      <c r="B53" s="30">
        <v>45316</v>
      </c>
      <c r="C53">
        <v>97700.9</v>
      </c>
    </row>
    <row r="54" spans="2:3">
      <c r="B54" s="30">
        <v>45317</v>
      </c>
      <c r="C54">
        <v>49100.399999999994</v>
      </c>
    </row>
    <row r="55" spans="2:3">
      <c r="B55" s="30">
        <v>45318</v>
      </c>
      <c r="C55">
        <v>82039.320000000007</v>
      </c>
    </row>
    <row r="56" spans="2:3">
      <c r="B56" s="30">
        <v>45319</v>
      </c>
      <c r="C56">
        <v>47200.409999999996</v>
      </c>
    </row>
    <row r="57" spans="2:3">
      <c r="B57" s="30">
        <v>45320</v>
      </c>
      <c r="C57">
        <v>52498.6</v>
      </c>
    </row>
    <row r="58" spans="2:3">
      <c r="B58" s="30">
        <v>45321</v>
      </c>
      <c r="C58">
        <v>73494.739999999991</v>
      </c>
    </row>
    <row r="59" spans="2:3">
      <c r="B59" s="30">
        <v>45322</v>
      </c>
      <c r="C59">
        <v>26045.08</v>
      </c>
    </row>
    <row r="60" spans="2:3">
      <c r="B60" s="30">
        <v>45323</v>
      </c>
      <c r="C60">
        <v>68934.850000000006</v>
      </c>
    </row>
    <row r="61" spans="2:3">
      <c r="B61" s="30">
        <v>45324</v>
      </c>
      <c r="C61">
        <v>113040.22000000002</v>
      </c>
    </row>
    <row r="62" spans="2:3">
      <c r="B62" s="30">
        <v>45325</v>
      </c>
      <c r="C62">
        <v>42147.520000000004</v>
      </c>
    </row>
    <row r="63" spans="2:3">
      <c r="B63" s="30">
        <v>45326</v>
      </c>
      <c r="C63">
        <v>36178.58</v>
      </c>
    </row>
    <row r="64" spans="2:3">
      <c r="B64" s="30">
        <v>45327</v>
      </c>
      <c r="C64">
        <v>73533.38</v>
      </c>
    </row>
    <row r="65" spans="2:3">
      <c r="B65" s="30">
        <v>45328</v>
      </c>
      <c r="C65">
        <v>133128.51</v>
      </c>
    </row>
    <row r="66" spans="2:3">
      <c r="B66" s="30">
        <v>45329</v>
      </c>
      <c r="C66">
        <v>89785.290000000008</v>
      </c>
    </row>
    <row r="67" spans="2:3">
      <c r="B67" s="30">
        <v>45330</v>
      </c>
      <c r="C67">
        <v>84776.6</v>
      </c>
    </row>
    <row r="68" spans="2:3">
      <c r="B68" s="30">
        <v>45331</v>
      </c>
      <c r="C68">
        <v>11375.960000000001</v>
      </c>
    </row>
    <row r="69" spans="2:3">
      <c r="B69" s="30">
        <v>45332</v>
      </c>
      <c r="C69">
        <v>109702.04000000002</v>
      </c>
    </row>
    <row r="70" spans="2:3">
      <c r="B70" s="30">
        <v>45333</v>
      </c>
      <c r="C70">
        <v>97173.97</v>
      </c>
    </row>
    <row r="71" spans="2:3">
      <c r="B71" s="30">
        <v>45334</v>
      </c>
      <c r="C71">
        <v>73714.429999999993</v>
      </c>
    </row>
    <row r="72" spans="2:3">
      <c r="B72" s="30">
        <v>45335</v>
      </c>
      <c r="C72">
        <v>62086.079999999994</v>
      </c>
    </row>
    <row r="73" spans="2:3">
      <c r="B73" s="30">
        <v>45336</v>
      </c>
      <c r="C73">
        <v>109104.96000000001</v>
      </c>
    </row>
    <row r="74" spans="2:3">
      <c r="B74" s="30">
        <v>45337</v>
      </c>
      <c r="C74">
        <v>83613.859999999986</v>
      </c>
    </row>
    <row r="75" spans="2:3">
      <c r="B75" s="30">
        <v>45338</v>
      </c>
      <c r="C75">
        <v>92518.18</v>
      </c>
    </row>
    <row r="76" spans="2:3">
      <c r="B76" s="30">
        <v>45339</v>
      </c>
      <c r="C76">
        <v>50730.16</v>
      </c>
    </row>
    <row r="77" spans="2:3">
      <c r="B77" s="30">
        <v>45340</v>
      </c>
      <c r="C77">
        <v>47843</v>
      </c>
    </row>
    <row r="78" spans="2:3">
      <c r="B78" s="30">
        <v>45341</v>
      </c>
      <c r="C78">
        <v>78470.260000000009</v>
      </c>
    </row>
    <row r="79" spans="2:3">
      <c r="B79" s="30">
        <v>45342</v>
      </c>
      <c r="C79">
        <v>68702.5</v>
      </c>
    </row>
    <row r="80" spans="2:3">
      <c r="B80" s="30">
        <v>45343</v>
      </c>
      <c r="C80">
        <v>148521.33000000002</v>
      </c>
    </row>
    <row r="81" spans="2:3">
      <c r="B81" s="30">
        <v>45344</v>
      </c>
      <c r="C81">
        <v>153760.13999999998</v>
      </c>
    </row>
    <row r="82" spans="2:3">
      <c r="B82" s="30">
        <v>45345</v>
      </c>
      <c r="C82">
        <v>33995.699999999997</v>
      </c>
    </row>
    <row r="83" spans="2:3">
      <c r="B83" s="30">
        <v>45346</v>
      </c>
      <c r="C83">
        <v>55565.98</v>
      </c>
    </row>
    <row r="84" spans="2:3">
      <c r="B84" s="30">
        <v>45347</v>
      </c>
      <c r="C84">
        <v>67485.11</v>
      </c>
    </row>
    <row r="85" spans="2:3">
      <c r="B85" s="30">
        <v>45348</v>
      </c>
      <c r="C85">
        <v>66986.97</v>
      </c>
    </row>
    <row r="86" spans="2:3">
      <c r="B86" s="30">
        <v>45349</v>
      </c>
      <c r="C86">
        <v>53185.939999999995</v>
      </c>
    </row>
    <row r="87" spans="2:3">
      <c r="B87" s="30">
        <v>45350</v>
      </c>
      <c r="C87">
        <v>102388.34999999999</v>
      </c>
    </row>
    <row r="88" spans="2:3">
      <c r="B88" s="30">
        <v>45351</v>
      </c>
      <c r="C88">
        <v>99043.8</v>
      </c>
    </row>
    <row r="89" spans="2:3">
      <c r="B89" s="30">
        <v>45352</v>
      </c>
      <c r="C89">
        <v>127453.03</v>
      </c>
    </row>
    <row r="90" spans="2:3">
      <c r="B90" s="30">
        <v>45353</v>
      </c>
      <c r="C90">
        <v>35472.47</v>
      </c>
    </row>
    <row r="91" spans="2:3">
      <c r="B91" s="30">
        <v>45354</v>
      </c>
      <c r="C91">
        <v>90450.5</v>
      </c>
    </row>
    <row r="92" spans="2:3">
      <c r="B92" s="30">
        <v>45355</v>
      </c>
      <c r="C92">
        <v>31130.980000000003</v>
      </c>
    </row>
    <row r="93" spans="2:3">
      <c r="B93" s="30">
        <v>45356</v>
      </c>
      <c r="C93">
        <v>71509.31</v>
      </c>
    </row>
    <row r="94" spans="2:3">
      <c r="B94" s="30">
        <v>45357</v>
      </c>
      <c r="C94">
        <v>38065.699999999997</v>
      </c>
    </row>
    <row r="95" spans="2:3">
      <c r="B95" s="30">
        <v>45358</v>
      </c>
      <c r="C95">
        <v>186615.26</v>
      </c>
    </row>
    <row r="96" spans="2:3">
      <c r="B96" s="30">
        <v>45359</v>
      </c>
      <c r="C96">
        <v>4884</v>
      </c>
    </row>
    <row r="97" spans="2:3">
      <c r="B97" s="30">
        <v>45360</v>
      </c>
      <c r="C97">
        <v>135695.75</v>
      </c>
    </row>
    <row r="98" spans="2:3">
      <c r="B98" s="30">
        <v>45361</v>
      </c>
      <c r="C98">
        <v>33869.25</v>
      </c>
    </row>
    <row r="99" spans="2:3">
      <c r="B99" s="30">
        <v>45362</v>
      </c>
      <c r="C99">
        <v>43492.119999999995</v>
      </c>
    </row>
    <row r="100" spans="2:3">
      <c r="B100" s="30">
        <v>45363</v>
      </c>
      <c r="C100">
        <v>44176.1</v>
      </c>
    </row>
    <row r="101" spans="2:3">
      <c r="B101" s="30">
        <v>45364</v>
      </c>
      <c r="C101">
        <v>89494.99</v>
      </c>
    </row>
    <row r="102" spans="2:3">
      <c r="B102" s="30">
        <v>45365</v>
      </c>
      <c r="C102">
        <v>43542.87</v>
      </c>
    </row>
    <row r="103" spans="2:3">
      <c r="B103" s="30">
        <v>45366</v>
      </c>
      <c r="C103">
        <v>93305.37</v>
      </c>
    </row>
    <row r="104" spans="2:3">
      <c r="B104" s="30">
        <v>45367</v>
      </c>
      <c r="C104">
        <v>72569</v>
      </c>
    </row>
    <row r="105" spans="2:3">
      <c r="B105" s="30">
        <v>45368</v>
      </c>
      <c r="C105">
        <v>75548</v>
      </c>
    </row>
    <row r="106" spans="2:3">
      <c r="B106" s="30">
        <v>45369</v>
      </c>
      <c r="C106">
        <v>118159.69</v>
      </c>
    </row>
    <row r="107" spans="2:3">
      <c r="B107" s="30">
        <v>45370</v>
      </c>
      <c r="C107">
        <v>192291.75</v>
      </c>
    </row>
    <row r="108" spans="2:3">
      <c r="B108" s="30">
        <v>45371</v>
      </c>
      <c r="C108">
        <v>54716.219999999994</v>
      </c>
    </row>
    <row r="109" spans="2:3">
      <c r="B109" s="30">
        <v>45372</v>
      </c>
      <c r="C109">
        <v>57832.22</v>
      </c>
    </row>
    <row r="110" spans="2:3">
      <c r="B110" s="30">
        <v>45373</v>
      </c>
      <c r="C110">
        <v>170985.21000000002</v>
      </c>
    </row>
    <row r="111" spans="2:3">
      <c r="B111" s="30">
        <v>45374</v>
      </c>
      <c r="C111">
        <v>97165.66</v>
      </c>
    </row>
    <row r="112" spans="2:3">
      <c r="B112" s="30">
        <v>45375</v>
      </c>
      <c r="C112">
        <v>81086.83</v>
      </c>
    </row>
    <row r="113" spans="2:3">
      <c r="B113" s="30">
        <v>45376</v>
      </c>
      <c r="C113">
        <v>50320.960000000006</v>
      </c>
    </row>
    <row r="114" spans="2:3">
      <c r="B114" s="30">
        <v>45377</v>
      </c>
      <c r="C114">
        <v>116000.62</v>
      </c>
    </row>
    <row r="115" spans="2:3">
      <c r="B115" s="30">
        <v>45378</v>
      </c>
      <c r="C115">
        <v>70992.41</v>
      </c>
    </row>
    <row r="116" spans="2:3">
      <c r="B116" s="30">
        <v>45379</v>
      </c>
      <c r="C116">
        <v>65209.530000000006</v>
      </c>
    </row>
    <row r="117" spans="2:3">
      <c r="B117" s="30">
        <v>45380</v>
      </c>
      <c r="C117">
        <v>95210.28</v>
      </c>
    </row>
    <row r="118" spans="2:3">
      <c r="B118" s="30">
        <v>45381</v>
      </c>
      <c r="C118">
        <v>16653.59</v>
      </c>
    </row>
    <row r="119" spans="2:3">
      <c r="B119" s="30">
        <v>45382</v>
      </c>
      <c r="C119">
        <v>76422.950000000012</v>
      </c>
    </row>
    <row r="120" spans="2:3">
      <c r="B120" s="30">
        <v>45383</v>
      </c>
      <c r="C120">
        <v>78691.950000000012</v>
      </c>
    </row>
    <row r="121" spans="2:3">
      <c r="B121" s="30">
        <v>45384</v>
      </c>
      <c r="C121">
        <v>53610.219999999994</v>
      </c>
    </row>
    <row r="122" spans="2:3">
      <c r="B122" s="30">
        <v>45385</v>
      </c>
      <c r="C122">
        <v>104743.76999999999</v>
      </c>
    </row>
    <row r="123" spans="2:3">
      <c r="B123" s="30">
        <v>45386</v>
      </c>
      <c r="C123">
        <v>55219.560000000005</v>
      </c>
    </row>
    <row r="124" spans="2:3">
      <c r="B124" s="30">
        <v>45387</v>
      </c>
      <c r="C124">
        <v>37959.9</v>
      </c>
    </row>
    <row r="125" spans="2:3">
      <c r="B125" s="30">
        <v>45388</v>
      </c>
      <c r="C125">
        <v>33852.800000000003</v>
      </c>
    </row>
    <row r="126" spans="2:3">
      <c r="B126" s="30">
        <v>45389</v>
      </c>
      <c r="C126">
        <v>96487.900000000009</v>
      </c>
    </row>
    <row r="127" spans="2:3">
      <c r="B127" s="30">
        <v>45390</v>
      </c>
      <c r="C127">
        <v>54299.54</v>
      </c>
    </row>
    <row r="128" spans="2:3">
      <c r="B128" s="30">
        <v>45391</v>
      </c>
      <c r="C128">
        <v>53464.41</v>
      </c>
    </row>
    <row r="129" spans="2:3">
      <c r="B129" s="30">
        <v>45392</v>
      </c>
      <c r="C129">
        <v>88326.24</v>
      </c>
    </row>
    <row r="130" spans="2:3">
      <c r="B130" s="30">
        <v>45393</v>
      </c>
      <c r="C130">
        <v>72931.33</v>
      </c>
    </row>
    <row r="131" spans="2:3">
      <c r="B131" s="30">
        <v>45394</v>
      </c>
      <c r="C131">
        <v>105357.99</v>
      </c>
    </row>
    <row r="132" spans="2:3">
      <c r="B132" s="30">
        <v>45395</v>
      </c>
      <c r="C132">
        <v>48801.140000000007</v>
      </c>
    </row>
    <row r="133" spans="2:3">
      <c r="B133" s="30">
        <v>45396</v>
      </c>
      <c r="C133">
        <v>31242.12</v>
      </c>
    </row>
    <row r="134" spans="2:3">
      <c r="B134" s="30">
        <v>45397</v>
      </c>
      <c r="C134">
        <v>142228.71</v>
      </c>
    </row>
    <row r="135" spans="2:3">
      <c r="B135" s="30">
        <v>45398</v>
      </c>
      <c r="C135">
        <v>29772.61</v>
      </c>
    </row>
    <row r="136" spans="2:3">
      <c r="B136" s="30">
        <v>45399</v>
      </c>
      <c r="C136">
        <v>51808.92</v>
      </c>
    </row>
    <row r="137" spans="2:3">
      <c r="B137" s="30">
        <v>45400</v>
      </c>
      <c r="C137">
        <v>103522.60999999999</v>
      </c>
    </row>
    <row r="138" spans="2:3">
      <c r="B138" s="30">
        <v>45401</v>
      </c>
      <c r="C138">
        <v>80875.81</v>
      </c>
    </row>
    <row r="139" spans="2:3">
      <c r="B139" s="30">
        <v>45402</v>
      </c>
      <c r="C139">
        <v>50235.96</v>
      </c>
    </row>
    <row r="140" spans="2:3">
      <c r="B140" s="30">
        <v>45403</v>
      </c>
      <c r="C140">
        <v>177416.66</v>
      </c>
    </row>
    <row r="141" spans="2:3">
      <c r="B141" s="30">
        <v>45404</v>
      </c>
      <c r="C141">
        <v>52607.519999999997</v>
      </c>
    </row>
    <row r="142" spans="2:3">
      <c r="B142" s="30">
        <v>45405</v>
      </c>
      <c r="C142">
        <v>128796.92</v>
      </c>
    </row>
    <row r="143" spans="2:3">
      <c r="B143" s="30">
        <v>45406</v>
      </c>
      <c r="C143">
        <v>66912.78</v>
      </c>
    </row>
    <row r="144" spans="2:3">
      <c r="B144" s="30">
        <v>45407</v>
      </c>
      <c r="C144">
        <v>123824.46999999999</v>
      </c>
    </row>
    <row r="145" spans="2:3">
      <c r="B145" s="30">
        <v>45408</v>
      </c>
      <c r="C145">
        <v>78186.600000000006</v>
      </c>
    </row>
    <row r="146" spans="2:3">
      <c r="B146" s="30">
        <v>45409</v>
      </c>
      <c r="C146">
        <v>47633.850000000006</v>
      </c>
    </row>
    <row r="147" spans="2:3">
      <c r="B147" s="30">
        <v>45410</v>
      </c>
      <c r="C147">
        <v>55446.64</v>
      </c>
    </row>
    <row r="148" spans="2:3">
      <c r="B148" s="30">
        <v>45411</v>
      </c>
      <c r="C148">
        <v>79172.399999999994</v>
      </c>
    </row>
    <row r="149" spans="2:3">
      <c r="B149" s="30">
        <v>45412</v>
      </c>
      <c r="C149">
        <v>99022.8</v>
      </c>
    </row>
    <row r="150" spans="2:3">
      <c r="B150" s="30">
        <v>45413</v>
      </c>
      <c r="C150">
        <v>114372.47999999998</v>
      </c>
    </row>
    <row r="151" spans="2:3">
      <c r="B151" s="30">
        <v>45414</v>
      </c>
      <c r="C151">
        <v>47906.859999999993</v>
      </c>
    </row>
    <row r="152" spans="2:3">
      <c r="B152" s="30">
        <v>45415</v>
      </c>
      <c r="C152">
        <v>102254.66</v>
      </c>
    </row>
    <row r="153" spans="2:3">
      <c r="B153" s="30">
        <v>45416</v>
      </c>
      <c r="C153">
        <v>89583.450000000012</v>
      </c>
    </row>
    <row r="154" spans="2:3">
      <c r="B154" s="30">
        <v>45417</v>
      </c>
      <c r="C154">
        <v>78416.2</v>
      </c>
    </row>
    <row r="155" spans="2:3">
      <c r="B155" s="30">
        <v>45418</v>
      </c>
      <c r="C155">
        <v>118046.2</v>
      </c>
    </row>
    <row r="156" spans="2:3">
      <c r="B156" s="30">
        <v>45419</v>
      </c>
      <c r="C156">
        <v>45783.880000000005</v>
      </c>
    </row>
    <row r="157" spans="2:3">
      <c r="B157" s="30">
        <v>45420</v>
      </c>
      <c r="C157">
        <v>29381.07</v>
      </c>
    </row>
    <row r="158" spans="2:3">
      <c r="B158" s="30">
        <v>45421</v>
      </c>
      <c r="C158">
        <v>72838.22</v>
      </c>
    </row>
    <row r="159" spans="2:3">
      <c r="B159" s="30">
        <v>45422</v>
      </c>
      <c r="C159">
        <v>76288.97</v>
      </c>
    </row>
    <row r="160" spans="2:3">
      <c r="B160" s="30">
        <v>45423</v>
      </c>
      <c r="C160">
        <v>117545.09999999999</v>
      </c>
    </row>
    <row r="161" spans="2:3">
      <c r="B161" s="30">
        <v>45424</v>
      </c>
      <c r="C161">
        <v>48887.41</v>
      </c>
    </row>
    <row r="162" spans="2:3">
      <c r="B162" s="30">
        <v>45425</v>
      </c>
      <c r="C162">
        <v>54017.46</v>
      </c>
    </row>
    <row r="163" spans="2:3">
      <c r="B163" s="30">
        <v>45426</v>
      </c>
      <c r="C163">
        <v>71463.420000000013</v>
      </c>
    </row>
    <row r="164" spans="2:3">
      <c r="B164" s="30">
        <v>45427</v>
      </c>
      <c r="C164">
        <v>29437.279999999999</v>
      </c>
    </row>
    <row r="165" spans="2:3">
      <c r="B165" s="30">
        <v>45428</v>
      </c>
      <c r="C165">
        <v>119058.62</v>
      </c>
    </row>
    <row r="166" spans="2:3">
      <c r="B166" s="30">
        <v>45429</v>
      </c>
      <c r="C166">
        <v>97411.78</v>
      </c>
    </row>
    <row r="167" spans="2:3">
      <c r="B167" s="30">
        <v>45430</v>
      </c>
      <c r="C167">
        <v>13390.17</v>
      </c>
    </row>
    <row r="168" spans="2:3">
      <c r="B168" s="30">
        <v>45431</v>
      </c>
      <c r="C168">
        <v>104523.79</v>
      </c>
    </row>
    <row r="169" spans="2:3">
      <c r="B169" s="30">
        <v>45432</v>
      </c>
      <c r="C169">
        <v>149371.63999999998</v>
      </c>
    </row>
    <row r="170" spans="2:3">
      <c r="B170" s="30">
        <v>45433</v>
      </c>
      <c r="C170">
        <v>18678</v>
      </c>
    </row>
    <row r="171" spans="2:3">
      <c r="B171" s="30">
        <v>45434</v>
      </c>
      <c r="C171">
        <v>90926.19</v>
      </c>
    </row>
    <row r="172" spans="2:3">
      <c r="B172" s="30">
        <v>45435</v>
      </c>
      <c r="C172">
        <v>53543.4</v>
      </c>
    </row>
    <row r="173" spans="2:3">
      <c r="B173" s="30">
        <v>45436</v>
      </c>
      <c r="C173">
        <v>120416.65999999999</v>
      </c>
    </row>
    <row r="174" spans="2:3">
      <c r="B174" s="30">
        <v>45437</v>
      </c>
      <c r="C174">
        <v>53730.18</v>
      </c>
    </row>
    <row r="175" spans="2:3">
      <c r="B175" s="30">
        <v>45438</v>
      </c>
      <c r="C175">
        <v>66744.19</v>
      </c>
    </row>
    <row r="176" spans="2:3">
      <c r="B176" s="30">
        <v>45439</v>
      </c>
      <c r="C176">
        <v>104448.34000000001</v>
      </c>
    </row>
    <row r="177" spans="2:3">
      <c r="B177" s="30">
        <v>45440</v>
      </c>
      <c r="C177">
        <v>106461.46</v>
      </c>
    </row>
    <row r="178" spans="2:3">
      <c r="B178" s="30">
        <v>45441</v>
      </c>
      <c r="C178">
        <v>108514.31999999999</v>
      </c>
    </row>
    <row r="179" spans="2:3">
      <c r="B179" s="30">
        <v>45442</v>
      </c>
      <c r="C179">
        <v>70113.86</v>
      </c>
    </row>
    <row r="180" spans="2:3">
      <c r="B180" s="30">
        <v>45443</v>
      </c>
      <c r="C180">
        <v>206835.76000000004</v>
      </c>
    </row>
    <row r="181" spans="2:3">
      <c r="B181" s="30">
        <v>45444</v>
      </c>
      <c r="C181">
        <v>161338.27999999997</v>
      </c>
    </row>
    <row r="182" spans="2:3">
      <c r="B182" s="30">
        <v>45445</v>
      </c>
      <c r="C182">
        <v>59389.73</v>
      </c>
    </row>
    <row r="183" spans="2:3">
      <c r="B183" s="30">
        <v>45446</v>
      </c>
      <c r="C183">
        <v>57884.2</v>
      </c>
    </row>
    <row r="184" spans="2:3">
      <c r="B184" s="30">
        <v>45447</v>
      </c>
      <c r="C184">
        <v>63935.42</v>
      </c>
    </row>
    <row r="185" spans="2:3">
      <c r="B185" s="30">
        <v>45448</v>
      </c>
      <c r="C185">
        <v>68344.180000000008</v>
      </c>
    </row>
    <row r="186" spans="2:3">
      <c r="B186" s="30">
        <v>45449</v>
      </c>
      <c r="C186">
        <v>73247.989999999991</v>
      </c>
    </row>
    <row r="187" spans="2:3">
      <c r="B187" s="30">
        <v>45450</v>
      </c>
      <c r="C187">
        <v>37420.720000000001</v>
      </c>
    </row>
    <row r="188" spans="2:3">
      <c r="B188" s="30">
        <v>45451</v>
      </c>
      <c r="C188">
        <v>89200.09</v>
      </c>
    </row>
    <row r="189" spans="2:3">
      <c r="B189" s="30">
        <v>45452</v>
      </c>
      <c r="C189">
        <v>7511.96</v>
      </c>
    </row>
    <row r="190" spans="2:3">
      <c r="B190" s="30">
        <v>45453</v>
      </c>
      <c r="C190">
        <v>136415.38</v>
      </c>
    </row>
    <row r="191" spans="2:3">
      <c r="B191" s="30">
        <v>45454</v>
      </c>
      <c r="C191">
        <v>140396.24000000002</v>
      </c>
    </row>
    <row r="192" spans="2:3">
      <c r="B192" s="30">
        <v>45455</v>
      </c>
      <c r="C192">
        <v>58460.280000000006</v>
      </c>
    </row>
    <row r="193" spans="2:3">
      <c r="B193" s="30">
        <v>45456</v>
      </c>
      <c r="C193">
        <v>52484.659999999996</v>
      </c>
    </row>
    <row r="194" spans="2:3">
      <c r="B194" s="30">
        <v>45457</v>
      </c>
      <c r="C194">
        <v>57713.15</v>
      </c>
    </row>
    <row r="195" spans="2:3">
      <c r="B195" s="30">
        <v>45458</v>
      </c>
      <c r="C195">
        <v>19131.04</v>
      </c>
    </row>
    <row r="196" spans="2:3">
      <c r="B196" s="30">
        <v>45459</v>
      </c>
      <c r="C196">
        <v>50945.47</v>
      </c>
    </row>
    <row r="197" spans="2:3">
      <c r="B197" s="30">
        <v>45460</v>
      </c>
      <c r="C197">
        <v>81288.790000000008</v>
      </c>
    </row>
    <row r="198" spans="2:3">
      <c r="B198" s="30">
        <v>45461</v>
      </c>
      <c r="C198">
        <v>33530.460000000006</v>
      </c>
    </row>
    <row r="199" spans="2:3">
      <c r="B199" s="30">
        <v>45462</v>
      </c>
      <c r="C199">
        <v>102823.29000000001</v>
      </c>
    </row>
    <row r="200" spans="2:3">
      <c r="B200" s="30">
        <v>45463</v>
      </c>
      <c r="C200">
        <v>106453.39</v>
      </c>
    </row>
    <row r="201" spans="2:3">
      <c r="B201" s="30">
        <v>45464</v>
      </c>
      <c r="C201">
        <v>9604.7999999999993</v>
      </c>
    </row>
    <row r="202" spans="2:3">
      <c r="B202" s="30">
        <v>45465</v>
      </c>
      <c r="C202">
        <v>115594.12000000001</v>
      </c>
    </row>
    <row r="203" spans="2:3">
      <c r="B203" s="30">
        <v>45466</v>
      </c>
      <c r="C203">
        <v>53945.429999999993</v>
      </c>
    </row>
    <row r="204" spans="2:3">
      <c r="B204" s="30">
        <v>45467</v>
      </c>
      <c r="C204">
        <v>25823.27</v>
      </c>
    </row>
    <row r="205" spans="2:3">
      <c r="B205" s="30">
        <v>45468</v>
      </c>
      <c r="C205">
        <v>11283.29</v>
      </c>
    </row>
    <row r="206" spans="2:3">
      <c r="B206" s="30">
        <v>45469</v>
      </c>
      <c r="C206">
        <v>116437.78</v>
      </c>
    </row>
    <row r="207" spans="2:3">
      <c r="B207" s="30">
        <v>45470</v>
      </c>
      <c r="C207">
        <v>79280.73</v>
      </c>
    </row>
    <row r="208" spans="2:3">
      <c r="B208" s="30">
        <v>45471</v>
      </c>
      <c r="C208">
        <v>15602.34</v>
      </c>
    </row>
    <row r="209" spans="2:3">
      <c r="B209" s="30">
        <v>45472</v>
      </c>
      <c r="C209">
        <v>79479.03</v>
      </c>
    </row>
    <row r="210" spans="2:3">
      <c r="B210" s="30">
        <v>45473</v>
      </c>
      <c r="C210">
        <v>973.56</v>
      </c>
    </row>
    <row r="211" spans="2:3">
      <c r="B211" s="30">
        <v>45474</v>
      </c>
      <c r="C211">
        <v>52257.880000000005</v>
      </c>
    </row>
    <row r="212" spans="2:3">
      <c r="B212" s="30">
        <v>45475</v>
      </c>
      <c r="C212">
        <v>13920.880000000001</v>
      </c>
    </row>
    <row r="213" spans="2:3">
      <c r="B213" s="30">
        <v>45476</v>
      </c>
      <c r="C213">
        <v>47041.369999999995</v>
      </c>
    </row>
    <row r="214" spans="2:3">
      <c r="B214" s="30">
        <v>45477</v>
      </c>
      <c r="C214">
        <v>60404.920000000006</v>
      </c>
    </row>
    <row r="215" spans="2:3">
      <c r="B215" s="30">
        <v>45478</v>
      </c>
      <c r="C215">
        <v>46891.01</v>
      </c>
    </row>
    <row r="216" spans="2:3">
      <c r="B216" s="30">
        <v>45479</v>
      </c>
      <c r="C216">
        <v>113062.29000000001</v>
      </c>
    </row>
    <row r="217" spans="2:3">
      <c r="B217" s="30">
        <v>45480</v>
      </c>
      <c r="C217">
        <v>97800.82</v>
      </c>
    </row>
    <row r="218" spans="2:3">
      <c r="B218" s="30">
        <v>45481</v>
      </c>
      <c r="C218">
        <v>66192.320000000007</v>
      </c>
    </row>
    <row r="219" spans="2:3">
      <c r="B219" s="30">
        <v>45482</v>
      </c>
      <c r="C219">
        <v>42852.480000000003</v>
      </c>
    </row>
    <row r="220" spans="2:3">
      <c r="B220" s="30">
        <v>45483</v>
      </c>
      <c r="C220">
        <v>166113.33000000002</v>
      </c>
    </row>
    <row r="221" spans="2:3">
      <c r="B221" s="30">
        <v>45484</v>
      </c>
      <c r="C221">
        <v>20022.599999999999</v>
      </c>
    </row>
    <row r="222" spans="2:3">
      <c r="B222" s="30">
        <v>45485</v>
      </c>
      <c r="C222">
        <v>46637.279999999999</v>
      </c>
    </row>
    <row r="223" spans="2:3">
      <c r="B223" s="30">
        <v>45486</v>
      </c>
      <c r="C223">
        <v>55427.619999999995</v>
      </c>
    </row>
    <row r="224" spans="2:3">
      <c r="B224" s="30">
        <v>45487</v>
      </c>
      <c r="C224">
        <v>120898.12</v>
      </c>
    </row>
    <row r="225" spans="2:3">
      <c r="B225" s="30">
        <v>45488</v>
      </c>
      <c r="C225">
        <v>76304.040000000008</v>
      </c>
    </row>
    <row r="226" spans="2:3">
      <c r="B226" s="30">
        <v>45489</v>
      </c>
      <c r="C226">
        <v>113089.91</v>
      </c>
    </row>
    <row r="227" spans="2:3">
      <c r="B227" s="30">
        <v>45490</v>
      </c>
      <c r="C227">
        <v>61227.329999999994</v>
      </c>
    </row>
    <row r="228" spans="2:3">
      <c r="B228" s="30">
        <v>45491</v>
      </c>
      <c r="C228">
        <v>48484.03</v>
      </c>
    </row>
    <row r="229" spans="2:3">
      <c r="B229" s="30">
        <v>45492</v>
      </c>
      <c r="C229">
        <v>31630.02</v>
      </c>
    </row>
    <row r="230" spans="2:3">
      <c r="B230" s="30">
        <v>45493</v>
      </c>
      <c r="C230">
        <v>24293.18</v>
      </c>
    </row>
    <row r="231" spans="2:3">
      <c r="B231" s="30">
        <v>45494</v>
      </c>
      <c r="C231">
        <v>32420.81</v>
      </c>
    </row>
    <row r="232" spans="2:3">
      <c r="B232" s="30">
        <v>45495</v>
      </c>
      <c r="C232">
        <v>42818.68</v>
      </c>
    </row>
    <row r="233" spans="2:3">
      <c r="B233" s="30">
        <v>45496</v>
      </c>
      <c r="C233">
        <v>50121.57</v>
      </c>
    </row>
    <row r="234" spans="2:3">
      <c r="B234" s="30">
        <v>45497</v>
      </c>
      <c r="C234">
        <v>55672.340000000004</v>
      </c>
    </row>
    <row r="235" spans="2:3">
      <c r="B235" s="30">
        <v>45498</v>
      </c>
      <c r="C235">
        <v>70880.25</v>
      </c>
    </row>
    <row r="236" spans="2:3">
      <c r="B236" s="30">
        <v>45499</v>
      </c>
      <c r="C236">
        <v>74831.23</v>
      </c>
    </row>
    <row r="237" spans="2:3">
      <c r="B237" s="30">
        <v>45500</v>
      </c>
      <c r="C237">
        <v>129668.85</v>
      </c>
    </row>
    <row r="238" spans="2:3">
      <c r="B238" s="30">
        <v>45501</v>
      </c>
      <c r="C238">
        <v>31740.489999999998</v>
      </c>
    </row>
    <row r="239" spans="2:3">
      <c r="B239" s="30">
        <v>45502</v>
      </c>
      <c r="C239">
        <v>23608.91</v>
      </c>
    </row>
    <row r="240" spans="2:3">
      <c r="B240" s="30">
        <v>45503</v>
      </c>
      <c r="C240">
        <v>37534.11</v>
      </c>
    </row>
    <row r="241" spans="2:3">
      <c r="B241" s="30">
        <v>45504</v>
      </c>
      <c r="C241">
        <v>111165.02</v>
      </c>
    </row>
    <row r="242" spans="2:3">
      <c r="B242" s="30">
        <v>45505</v>
      </c>
      <c r="C242">
        <v>79774.5</v>
      </c>
    </row>
    <row r="243" spans="2:3">
      <c r="B243" s="30">
        <v>45506</v>
      </c>
      <c r="C243">
        <v>56703.72</v>
      </c>
    </row>
    <row r="244" spans="2:3">
      <c r="B244" s="30">
        <v>45507</v>
      </c>
      <c r="C244">
        <v>64926.76</v>
      </c>
    </row>
    <row r="245" spans="2:3">
      <c r="B245" s="30">
        <v>45508</v>
      </c>
      <c r="C245">
        <v>104834.82999999999</v>
      </c>
    </row>
    <row r="246" spans="2:3">
      <c r="B246" s="30">
        <v>45509</v>
      </c>
      <c r="C246">
        <v>76358.13</v>
      </c>
    </row>
    <row r="247" spans="2:3">
      <c r="B247" s="30">
        <v>45510</v>
      </c>
      <c r="C247">
        <v>45461.36</v>
      </c>
    </row>
    <row r="248" spans="2:3">
      <c r="B248" s="30">
        <v>45511</v>
      </c>
      <c r="C248">
        <v>58850.3</v>
      </c>
    </row>
    <row r="249" spans="2:3">
      <c r="B249" s="30">
        <v>45512</v>
      </c>
      <c r="C249">
        <v>52193.4</v>
      </c>
    </row>
    <row r="250" spans="2:3">
      <c r="B250" s="30">
        <v>45513</v>
      </c>
      <c r="C250">
        <v>64139.42</v>
      </c>
    </row>
    <row r="251" spans="2:3">
      <c r="B251" s="30">
        <v>45514</v>
      </c>
      <c r="C251">
        <v>37713.99</v>
      </c>
    </row>
    <row r="252" spans="2:3">
      <c r="B252" s="30">
        <v>45515</v>
      </c>
      <c r="C252">
        <v>103225.18000000001</v>
      </c>
    </row>
    <row r="253" spans="2:3">
      <c r="B253" s="30">
        <v>45516</v>
      </c>
      <c r="C253">
        <v>58569.759999999995</v>
      </c>
    </row>
    <row r="254" spans="2:3">
      <c r="B254" s="30">
        <v>45517</v>
      </c>
      <c r="C254">
        <v>142226.98000000001</v>
      </c>
    </row>
    <row r="255" spans="2:3">
      <c r="B255" s="30">
        <v>45518</v>
      </c>
      <c r="C255">
        <v>76183.72</v>
      </c>
    </row>
    <row r="256" spans="2:3">
      <c r="B256" s="30">
        <v>45519</v>
      </c>
      <c r="C256">
        <v>88697.22</v>
      </c>
    </row>
    <row r="257" spans="2:3">
      <c r="B257" s="30">
        <v>45520</v>
      </c>
      <c r="C257">
        <v>76813.97</v>
      </c>
    </row>
    <row r="258" spans="2:3">
      <c r="B258" s="30">
        <v>45521</v>
      </c>
      <c r="C258">
        <v>110624.01999999999</v>
      </c>
    </row>
    <row r="259" spans="2:3">
      <c r="B259" s="30">
        <v>45522</v>
      </c>
      <c r="C259">
        <v>62688.54</v>
      </c>
    </row>
    <row r="260" spans="2:3">
      <c r="B260" s="30">
        <v>45523</v>
      </c>
      <c r="C260">
        <v>86539.359999999986</v>
      </c>
    </row>
    <row r="261" spans="2:3">
      <c r="B261" s="30">
        <v>45524</v>
      </c>
      <c r="C261">
        <v>120371.87999999999</v>
      </c>
    </row>
    <row r="262" spans="2:3">
      <c r="B262" s="30">
        <v>45525</v>
      </c>
      <c r="C262">
        <v>130398.45999999998</v>
      </c>
    </row>
    <row r="263" spans="2:3">
      <c r="B263" s="30">
        <v>45526</v>
      </c>
      <c r="C263">
        <v>36600.28</v>
      </c>
    </row>
    <row r="264" spans="2:3">
      <c r="B264" s="30">
        <v>45527</v>
      </c>
      <c r="C264">
        <v>48403.240000000005</v>
      </c>
    </row>
    <row r="265" spans="2:3">
      <c r="B265" s="30">
        <v>45528</v>
      </c>
      <c r="C265">
        <v>113458.85</v>
      </c>
    </row>
    <row r="266" spans="2:3">
      <c r="B266" s="30">
        <v>45529</v>
      </c>
      <c r="C266">
        <v>58702.259999999995</v>
      </c>
    </row>
    <row r="267" spans="2:3">
      <c r="B267" s="30">
        <v>45530</v>
      </c>
      <c r="C267">
        <v>76282.180000000008</v>
      </c>
    </row>
    <row r="268" spans="2:3">
      <c r="B268" s="30">
        <v>45531</v>
      </c>
      <c r="C268">
        <v>100051.90999999999</v>
      </c>
    </row>
    <row r="269" spans="2:3">
      <c r="B269" s="30">
        <v>45532</v>
      </c>
      <c r="C269">
        <v>62204.659999999996</v>
      </c>
    </row>
    <row r="270" spans="2:3">
      <c r="B270" s="30">
        <v>45533</v>
      </c>
      <c r="C270">
        <v>85771.31</v>
      </c>
    </row>
    <row r="271" spans="2:3">
      <c r="B271" s="30">
        <v>45534</v>
      </c>
      <c r="C271">
        <v>116612.1</v>
      </c>
    </row>
    <row r="272" spans="2:3">
      <c r="B272" s="30">
        <v>45535</v>
      </c>
      <c r="C272">
        <v>132545.66999999998</v>
      </c>
    </row>
    <row r="273" spans="2:3">
      <c r="B273" s="30">
        <v>45536</v>
      </c>
      <c r="C273">
        <v>37103.46</v>
      </c>
    </row>
    <row r="274" spans="2:3">
      <c r="B274" s="30">
        <v>45537</v>
      </c>
      <c r="C274">
        <v>14254.689999999999</v>
      </c>
    </row>
    <row r="275" spans="2:3">
      <c r="B275" s="30">
        <v>45538</v>
      </c>
      <c r="C275">
        <v>47268.08</v>
      </c>
    </row>
    <row r="276" spans="2:3">
      <c r="B276" s="30">
        <v>45539</v>
      </c>
      <c r="C276">
        <v>40832.53</v>
      </c>
    </row>
    <row r="277" spans="2:3">
      <c r="B277" s="30">
        <v>45540</v>
      </c>
      <c r="C277">
        <v>21572.52</v>
      </c>
    </row>
    <row r="278" spans="2:3">
      <c r="B278" s="30">
        <v>45541</v>
      </c>
      <c r="C278">
        <v>105564.04000000001</v>
      </c>
    </row>
    <row r="279" spans="2:3">
      <c r="B279" s="30">
        <v>45542</v>
      </c>
      <c r="C279">
        <v>113903.04000000001</v>
      </c>
    </row>
    <row r="280" spans="2:3">
      <c r="B280" s="30">
        <v>45543</v>
      </c>
      <c r="C280">
        <v>6610.24</v>
      </c>
    </row>
    <row r="281" spans="2:3">
      <c r="B281" s="30">
        <v>45544</v>
      </c>
      <c r="C281">
        <v>86979.079999999987</v>
      </c>
    </row>
    <row r="282" spans="2:3">
      <c r="B282" s="30">
        <v>45545</v>
      </c>
      <c r="C282">
        <v>61717.279999999999</v>
      </c>
    </row>
    <row r="283" spans="2:3">
      <c r="B283" s="30">
        <v>45546</v>
      </c>
      <c r="C283">
        <v>146966.84</v>
      </c>
    </row>
    <row r="284" spans="2:3">
      <c r="B284" s="30">
        <v>45547</v>
      </c>
      <c r="C284">
        <v>46292.97</v>
      </c>
    </row>
    <row r="285" spans="2:3">
      <c r="B285" s="30">
        <v>45548</v>
      </c>
      <c r="C285">
        <v>68114.58</v>
      </c>
    </row>
    <row r="286" spans="2:3">
      <c r="B286" s="30">
        <v>45549</v>
      </c>
      <c r="C286">
        <v>142828.22999999998</v>
      </c>
    </row>
    <row r="287" spans="2:3">
      <c r="B287" s="30">
        <v>45550</v>
      </c>
      <c r="C287">
        <v>111941.02999999998</v>
      </c>
    </row>
    <row r="288" spans="2:3">
      <c r="B288" s="30">
        <v>45551</v>
      </c>
      <c r="C288">
        <v>36771.35</v>
      </c>
    </row>
    <row r="289" spans="2:3">
      <c r="B289" s="30">
        <v>45552</v>
      </c>
      <c r="C289">
        <v>3065.25</v>
      </c>
    </row>
    <row r="290" spans="2:3">
      <c r="B290" s="30">
        <v>45553</v>
      </c>
      <c r="C290">
        <v>104118.87</v>
      </c>
    </row>
    <row r="291" spans="2:3">
      <c r="B291" s="30">
        <v>45554</v>
      </c>
      <c r="C291">
        <v>117796.36000000002</v>
      </c>
    </row>
    <row r="292" spans="2:3">
      <c r="B292" s="30">
        <v>45555</v>
      </c>
      <c r="C292">
        <v>84049.65</v>
      </c>
    </row>
    <row r="293" spans="2:3">
      <c r="B293" s="30">
        <v>45556</v>
      </c>
      <c r="C293">
        <v>13874.279999999999</v>
      </c>
    </row>
    <row r="294" spans="2:3">
      <c r="B294" s="30">
        <v>45557</v>
      </c>
      <c r="C294">
        <v>17905.259999999998</v>
      </c>
    </row>
    <row r="295" spans="2:3">
      <c r="B295" s="30">
        <v>45558</v>
      </c>
      <c r="C295">
        <v>24961.1</v>
      </c>
    </row>
    <row r="296" spans="2:3">
      <c r="B296" s="30">
        <v>45559</v>
      </c>
      <c r="C296">
        <v>70935.240000000005</v>
      </c>
    </row>
    <row r="297" spans="2:3">
      <c r="B297" s="30">
        <v>45560</v>
      </c>
      <c r="C297">
        <v>181211.70999999996</v>
      </c>
    </row>
    <row r="298" spans="2:3">
      <c r="B298" s="30">
        <v>45561</v>
      </c>
      <c r="C298">
        <v>69490.3</v>
      </c>
    </row>
    <row r="299" spans="2:3">
      <c r="B299" s="30">
        <v>45562</v>
      </c>
      <c r="C299">
        <v>83827.64</v>
      </c>
    </row>
    <row r="300" spans="2:3">
      <c r="B300" s="30">
        <v>45563</v>
      </c>
      <c r="C300">
        <v>71657.31</v>
      </c>
    </row>
    <row r="301" spans="2:3">
      <c r="B301" s="30">
        <v>45564</v>
      </c>
      <c r="C301">
        <v>121630.79999999999</v>
      </c>
    </row>
    <row r="302" spans="2:3">
      <c r="B302" s="30">
        <v>45565</v>
      </c>
      <c r="C302">
        <v>9571.89</v>
      </c>
    </row>
    <row r="303" spans="2:3">
      <c r="B303" s="30">
        <v>45566</v>
      </c>
      <c r="C303">
        <v>64439.8</v>
      </c>
    </row>
    <row r="304" spans="2:3">
      <c r="B304" s="30">
        <v>45567</v>
      </c>
      <c r="C304">
        <v>43777.320000000007</v>
      </c>
    </row>
    <row r="305" spans="2:3">
      <c r="B305" s="30">
        <v>45568</v>
      </c>
      <c r="C305">
        <v>26945.460000000003</v>
      </c>
    </row>
    <row r="306" spans="2:3">
      <c r="B306" s="30">
        <v>45569</v>
      </c>
      <c r="C306">
        <v>86377.04</v>
      </c>
    </row>
    <row r="307" spans="2:3">
      <c r="B307" s="30">
        <v>45570</v>
      </c>
      <c r="C307">
        <v>40526.26</v>
      </c>
    </row>
    <row r="308" spans="2:3">
      <c r="B308" s="30">
        <v>45571</v>
      </c>
      <c r="C308">
        <v>12624.76</v>
      </c>
    </row>
    <row r="309" spans="2:3">
      <c r="B309" s="30">
        <v>45572</v>
      </c>
      <c r="C309">
        <v>128381.70000000001</v>
      </c>
    </row>
    <row r="310" spans="2:3">
      <c r="B310" s="30">
        <v>45573</v>
      </c>
      <c r="C310">
        <v>103923.51000000001</v>
      </c>
    </row>
    <row r="311" spans="2:3">
      <c r="B311" s="30">
        <v>45574</v>
      </c>
      <c r="C311">
        <v>47554.100000000006</v>
      </c>
    </row>
    <row r="312" spans="2:3">
      <c r="B312" s="30">
        <v>45575</v>
      </c>
      <c r="C312">
        <v>46944.57</v>
      </c>
    </row>
    <row r="313" spans="2:3">
      <c r="B313" s="30">
        <v>45576</v>
      </c>
      <c r="C313">
        <v>54189.850000000006</v>
      </c>
    </row>
    <row r="314" spans="2:3">
      <c r="B314" s="30">
        <v>45577</v>
      </c>
      <c r="C314">
        <v>92160.86</v>
      </c>
    </row>
    <row r="315" spans="2:3">
      <c r="B315" s="30">
        <v>45578</v>
      </c>
      <c r="C315">
        <v>128230.73999999999</v>
      </c>
    </row>
    <row r="316" spans="2:3">
      <c r="B316" s="30">
        <v>45579</v>
      </c>
      <c r="C316">
        <v>97608</v>
      </c>
    </row>
    <row r="317" spans="2:3">
      <c r="B317" s="30">
        <v>45580</v>
      </c>
      <c r="C317">
        <v>37785.520000000004</v>
      </c>
    </row>
    <row r="318" spans="2:3">
      <c r="B318" s="30">
        <v>45581</v>
      </c>
      <c r="C318">
        <v>45256.729999999996</v>
      </c>
    </row>
    <row r="319" spans="2:3">
      <c r="B319" s="30">
        <v>45582</v>
      </c>
      <c r="C319">
        <v>38031.68</v>
      </c>
    </row>
    <row r="320" spans="2:3">
      <c r="B320" s="30">
        <v>45583</v>
      </c>
      <c r="C320">
        <v>8197.56</v>
      </c>
    </row>
    <row r="321" spans="2:3">
      <c r="B321" s="30">
        <v>45584</v>
      </c>
      <c r="C321">
        <v>95551.56</v>
      </c>
    </row>
    <row r="322" spans="2:3">
      <c r="B322" s="30">
        <v>45585</v>
      </c>
      <c r="C322">
        <v>92555.31</v>
      </c>
    </row>
    <row r="323" spans="2:3">
      <c r="B323" s="30">
        <v>45586</v>
      </c>
      <c r="C323">
        <v>78039.66</v>
      </c>
    </row>
    <row r="324" spans="2:3">
      <c r="B324" s="30">
        <v>45587</v>
      </c>
      <c r="C324">
        <v>59760.549999999996</v>
      </c>
    </row>
    <row r="325" spans="2:3">
      <c r="B325" s="30">
        <v>45588</v>
      </c>
      <c r="C325">
        <v>118089.92000000001</v>
      </c>
    </row>
    <row r="326" spans="2:3">
      <c r="B326" s="30">
        <v>45589</v>
      </c>
      <c r="C326">
        <v>87882.63</v>
      </c>
    </row>
    <row r="327" spans="2:3">
      <c r="B327" s="30">
        <v>45590</v>
      </c>
      <c r="C327">
        <v>22294.660000000003</v>
      </c>
    </row>
    <row r="328" spans="2:3">
      <c r="B328" s="30">
        <v>45591</v>
      </c>
      <c r="C328">
        <v>46094.83</v>
      </c>
    </row>
    <row r="329" spans="2:3">
      <c r="B329" s="30">
        <v>45592</v>
      </c>
      <c r="C329">
        <v>104317.29999999999</v>
      </c>
    </row>
    <row r="330" spans="2:3">
      <c r="B330" s="30">
        <v>45593</v>
      </c>
      <c r="C330">
        <v>100108.97000000002</v>
      </c>
    </row>
    <row r="331" spans="2:3">
      <c r="B331" s="30">
        <v>45594</v>
      </c>
      <c r="C331">
        <v>22815.35</v>
      </c>
    </row>
    <row r="332" spans="2:3">
      <c r="B332" s="30">
        <v>45595</v>
      </c>
      <c r="C332">
        <v>8330.73</v>
      </c>
    </row>
    <row r="333" spans="2:3">
      <c r="B333" s="30">
        <v>45596</v>
      </c>
      <c r="C333">
        <v>39085.5</v>
      </c>
    </row>
    <row r="334" spans="2:3">
      <c r="B334" s="30">
        <v>45597</v>
      </c>
      <c r="C334">
        <v>97863.83</v>
      </c>
    </row>
    <row r="335" spans="2:3">
      <c r="B335" s="30">
        <v>45598</v>
      </c>
      <c r="C335">
        <v>69675.41</v>
      </c>
    </row>
    <row r="336" spans="2:3">
      <c r="B336" s="30">
        <v>45599</v>
      </c>
      <c r="C336">
        <v>33202.42</v>
      </c>
    </row>
    <row r="337" spans="2:3">
      <c r="B337" s="30">
        <v>45600</v>
      </c>
      <c r="C337">
        <v>107200.70000000001</v>
      </c>
    </row>
    <row r="338" spans="2:3">
      <c r="B338" s="30">
        <v>45601</v>
      </c>
      <c r="C338">
        <v>94003.690000000017</v>
      </c>
    </row>
    <row r="339" spans="2:3">
      <c r="B339" s="30">
        <v>45602</v>
      </c>
      <c r="C339">
        <v>46488.31</v>
      </c>
    </row>
    <row r="340" spans="2:3">
      <c r="B340" s="30">
        <v>45603</v>
      </c>
      <c r="C340">
        <v>67315.399999999994</v>
      </c>
    </row>
    <row r="341" spans="2:3">
      <c r="B341" s="30">
        <v>45604</v>
      </c>
      <c r="C341">
        <v>49720.67</v>
      </c>
    </row>
    <row r="342" spans="2:3">
      <c r="B342" s="30">
        <v>45605</v>
      </c>
      <c r="C342">
        <v>47285.86</v>
      </c>
    </row>
    <row r="343" spans="2:3">
      <c r="B343" s="30">
        <v>45606</v>
      </c>
      <c r="C343">
        <v>82717.22</v>
      </c>
    </row>
    <row r="344" spans="2:3">
      <c r="B344" s="30">
        <v>45607</v>
      </c>
      <c r="C344">
        <v>133945.94</v>
      </c>
    </row>
    <row r="345" spans="2:3">
      <c r="B345" s="30">
        <v>45608</v>
      </c>
      <c r="C345">
        <v>55085.34</v>
      </c>
    </row>
    <row r="346" spans="2:3">
      <c r="B346" s="30">
        <v>45609</v>
      </c>
      <c r="C346">
        <v>70942.22</v>
      </c>
    </row>
    <row r="347" spans="2:3">
      <c r="B347" s="30">
        <v>45610</v>
      </c>
      <c r="C347">
        <v>169560.63999999998</v>
      </c>
    </row>
    <row r="348" spans="2:3">
      <c r="B348" s="30">
        <v>45611</v>
      </c>
      <c r="C348">
        <v>36424.740000000005</v>
      </c>
    </row>
    <row r="349" spans="2:3">
      <c r="B349" s="30">
        <v>45612</v>
      </c>
      <c r="C349">
        <v>62121.85</v>
      </c>
    </row>
    <row r="350" spans="2:3">
      <c r="B350" s="30">
        <v>45613</v>
      </c>
      <c r="C350">
        <v>18232.36</v>
      </c>
    </row>
    <row r="351" spans="2:3">
      <c r="B351" s="30">
        <v>45614</v>
      </c>
      <c r="C351">
        <v>141647.12</v>
      </c>
    </row>
    <row r="352" spans="2:3">
      <c r="B352" s="30">
        <v>45615</v>
      </c>
      <c r="C352">
        <v>51984.56</v>
      </c>
    </row>
    <row r="353" spans="2:3">
      <c r="B353" s="30">
        <v>45616</v>
      </c>
      <c r="C353">
        <v>58653.1</v>
      </c>
    </row>
    <row r="354" spans="2:3">
      <c r="B354" s="30">
        <v>45617</v>
      </c>
      <c r="C354">
        <v>132796.38999999998</v>
      </c>
    </row>
    <row r="355" spans="2:3">
      <c r="B355" s="30">
        <v>45618</v>
      </c>
      <c r="C355">
        <v>82667.290000000008</v>
      </c>
    </row>
    <row r="356" spans="2:3">
      <c r="B356" s="30">
        <v>45619</v>
      </c>
      <c r="C356">
        <v>58825.99</v>
      </c>
    </row>
    <row r="357" spans="2:3">
      <c r="B357" s="30">
        <v>45620</v>
      </c>
      <c r="C357">
        <v>71541.739999999991</v>
      </c>
    </row>
    <row r="358" spans="2:3">
      <c r="B358" s="30">
        <v>45621</v>
      </c>
      <c r="C358">
        <v>24017</v>
      </c>
    </row>
    <row r="359" spans="2:3">
      <c r="B359" s="30">
        <v>45622</v>
      </c>
      <c r="C359">
        <v>110670.37999999999</v>
      </c>
    </row>
    <row r="360" spans="2:3">
      <c r="B360" s="30">
        <v>45623</v>
      </c>
      <c r="C360">
        <v>26732.799999999999</v>
      </c>
    </row>
    <row r="361" spans="2:3">
      <c r="B361" s="30">
        <v>45624</v>
      </c>
      <c r="C361">
        <v>68397.649999999994</v>
      </c>
    </row>
    <row r="362" spans="2:3">
      <c r="B362" s="30">
        <v>45625</v>
      </c>
      <c r="C362">
        <v>76747.950000000012</v>
      </c>
    </row>
    <row r="363" spans="2:3">
      <c r="B363" s="30">
        <v>45626</v>
      </c>
      <c r="C363">
        <v>151168.51</v>
      </c>
    </row>
    <row r="364" spans="2:3">
      <c r="B364" s="30">
        <v>45627</v>
      </c>
      <c r="C364">
        <v>32267.040000000001</v>
      </c>
    </row>
    <row r="365" spans="2:3">
      <c r="B365" s="30">
        <v>45628</v>
      </c>
      <c r="C365">
        <v>74546.080000000002</v>
      </c>
    </row>
    <row r="366" spans="2:3">
      <c r="B366" s="30">
        <v>45629</v>
      </c>
      <c r="C366">
        <v>125695.2</v>
      </c>
    </row>
    <row r="367" spans="2:3">
      <c r="B367" s="30">
        <v>45630</v>
      </c>
      <c r="C367">
        <v>43513.68</v>
      </c>
    </row>
    <row r="368" spans="2:3">
      <c r="B368" s="30">
        <v>45631</v>
      </c>
      <c r="C368">
        <v>51969.840000000004</v>
      </c>
    </row>
    <row r="369" spans="2:3">
      <c r="B369" s="30">
        <v>45632</v>
      </c>
      <c r="C369">
        <v>72383.81</v>
      </c>
    </row>
    <row r="370" spans="2:3">
      <c r="B370" s="30">
        <v>45633</v>
      </c>
      <c r="C370">
        <v>189194.9</v>
      </c>
    </row>
    <row r="371" spans="2:3">
      <c r="B371" s="30">
        <v>45634</v>
      </c>
      <c r="C371">
        <v>96538.599999999991</v>
      </c>
    </row>
    <row r="372" spans="2:3">
      <c r="B372" s="30">
        <v>45635</v>
      </c>
      <c r="C372">
        <v>40096.14</v>
      </c>
    </row>
    <row r="373" spans="2:3">
      <c r="B373" s="30">
        <v>45636</v>
      </c>
      <c r="C373">
        <v>99626.610000000015</v>
      </c>
    </row>
    <row r="374" spans="2:3">
      <c r="B374" s="30">
        <v>45637</v>
      </c>
      <c r="C374">
        <v>12111.27</v>
      </c>
    </row>
    <row r="375" spans="2:3">
      <c r="B375" s="30">
        <v>45638</v>
      </c>
      <c r="C375">
        <v>107308.8</v>
      </c>
    </row>
    <row r="376" spans="2:3">
      <c r="B376" s="30">
        <v>45639</v>
      </c>
      <c r="C376">
        <v>34692.68</v>
      </c>
    </row>
    <row r="377" spans="2:3">
      <c r="B377" s="30">
        <v>45640</v>
      </c>
      <c r="C377">
        <v>130181.78</v>
      </c>
    </row>
    <row r="378" spans="2:3">
      <c r="B378" s="30">
        <v>45641</v>
      </c>
      <c r="C378">
        <v>18956.64</v>
      </c>
    </row>
    <row r="379" spans="2:3">
      <c r="B379" s="30">
        <v>45642</v>
      </c>
      <c r="C379">
        <v>12440.22</v>
      </c>
    </row>
    <row r="380" spans="2:3">
      <c r="B380" s="30">
        <v>45643</v>
      </c>
      <c r="C380">
        <v>100869.64</v>
      </c>
    </row>
    <row r="381" spans="2:3">
      <c r="B381" s="30">
        <v>45644</v>
      </c>
      <c r="C381">
        <v>81415.159999999989</v>
      </c>
    </row>
    <row r="382" spans="2:3">
      <c r="B382" s="30">
        <v>45645</v>
      </c>
      <c r="C382">
        <v>104513.03999999998</v>
      </c>
    </row>
    <row r="383" spans="2:3">
      <c r="B383" s="30">
        <v>45646</v>
      </c>
      <c r="C383">
        <v>62160.74</v>
      </c>
    </row>
    <row r="384" spans="2:3">
      <c r="B384" s="30">
        <v>45647</v>
      </c>
      <c r="C384">
        <v>58251.92</v>
      </c>
    </row>
    <row r="385" spans="2:3">
      <c r="B385" s="30">
        <v>45648</v>
      </c>
      <c r="C385">
        <v>55311.520000000004</v>
      </c>
    </row>
    <row r="386" spans="2:3">
      <c r="B386" s="30">
        <v>45649</v>
      </c>
      <c r="C386">
        <v>129623.82</v>
      </c>
    </row>
    <row r="387" spans="2:3">
      <c r="B387" s="30">
        <v>45650</v>
      </c>
      <c r="C387">
        <v>104085.26999999999</v>
      </c>
    </row>
    <row r="388" spans="2:3">
      <c r="B388" s="30">
        <v>45651</v>
      </c>
      <c r="C388">
        <v>40967.880000000005</v>
      </c>
    </row>
    <row r="389" spans="2:3">
      <c r="B389" s="30">
        <v>45652</v>
      </c>
      <c r="C389">
        <v>12976.560000000001</v>
      </c>
    </row>
    <row r="390" spans="2:3">
      <c r="B390" s="30">
        <v>45653</v>
      </c>
      <c r="C390">
        <v>80867.3</v>
      </c>
    </row>
    <row r="391" spans="2:3">
      <c r="B391" s="30">
        <v>45654</v>
      </c>
      <c r="C391">
        <v>65275.630000000005</v>
      </c>
    </row>
    <row r="392" spans="2:3">
      <c r="B392" s="30">
        <v>45655</v>
      </c>
      <c r="C392">
        <v>78135.450000000012</v>
      </c>
    </row>
    <row r="393" spans="2:3">
      <c r="B393" s="30">
        <v>45656</v>
      </c>
      <c r="C393">
        <v>67946.25</v>
      </c>
    </row>
    <row r="394" spans="2:3">
      <c r="B394" s="30" t="s">
        <v>3036</v>
      </c>
      <c r="C394">
        <v>26572948.199999992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L62"/>
  <sheetViews>
    <sheetView zoomScale="88" workbookViewId="0">
      <pane ySplit="4" topLeftCell="A6" activePane="bottomLeft" state="frozen"/>
      <selection pane="bottomLeft" activeCell="H11" sqref="H11"/>
    </sheetView>
  </sheetViews>
  <sheetFormatPr defaultRowHeight="14.4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  <col min="8" max="8" width="15" customWidth="1"/>
    <col min="9" max="9" width="16" customWidth="1"/>
    <col min="11" max="11" width="15" customWidth="1"/>
    <col min="12" max="12" width="17.21875" customWidth="1"/>
  </cols>
  <sheetData>
    <row r="1" spans="1:12" ht="30" customHeight="1">
      <c r="A1" s="162" t="s">
        <v>3025</v>
      </c>
      <c r="B1" s="161"/>
      <c r="C1" s="161"/>
      <c r="D1" s="161"/>
      <c r="E1" s="161"/>
      <c r="F1" s="161"/>
      <c r="H1" s="43" t="s">
        <v>3035</v>
      </c>
      <c r="I1" s="43" t="s">
        <v>3038</v>
      </c>
      <c r="K1" s="49" t="s">
        <v>3029</v>
      </c>
      <c r="L1" s="50" t="s">
        <v>3041</v>
      </c>
    </row>
    <row r="2" spans="1:12">
      <c r="A2" s="160" t="s">
        <v>2988</v>
      </c>
      <c r="B2" s="161"/>
      <c r="C2" s="161"/>
      <c r="D2" s="161"/>
      <c r="E2" s="161"/>
      <c r="F2" s="161"/>
      <c r="H2" s="44" t="s">
        <v>515</v>
      </c>
      <c r="I2" s="25">
        <v>260395.74</v>
      </c>
      <c r="K2" s="17">
        <v>789849.60000000009</v>
      </c>
      <c r="L2" s="51" t="s">
        <v>2854</v>
      </c>
    </row>
    <row r="3" spans="1:12" ht="15" thickBot="1">
      <c r="H3" s="44" t="s">
        <v>187</v>
      </c>
      <c r="I3" s="25">
        <v>248025.74999999997</v>
      </c>
      <c r="K3" s="17">
        <v>980063.65999999968</v>
      </c>
      <c r="L3" s="51" t="s">
        <v>2856</v>
      </c>
    </row>
    <row r="4" spans="1:12" ht="24" customHeight="1">
      <c r="A4" s="84" t="s">
        <v>2899</v>
      </c>
      <c r="B4" s="85" t="s">
        <v>2900</v>
      </c>
      <c r="C4" s="85" t="s">
        <v>14</v>
      </c>
      <c r="D4" s="85" t="s">
        <v>2901</v>
      </c>
      <c r="E4" s="110" t="s">
        <v>2902</v>
      </c>
      <c r="F4" s="105" t="s">
        <v>2903</v>
      </c>
      <c r="H4" s="44" t="s">
        <v>191</v>
      </c>
      <c r="I4" s="25">
        <v>244351.19999999998</v>
      </c>
      <c r="K4" s="17">
        <v>986692.91</v>
      </c>
      <c r="L4" s="51" t="s">
        <v>2857</v>
      </c>
    </row>
    <row r="5" spans="1:12" ht="42" customHeight="1">
      <c r="A5" s="111" t="s">
        <v>2989</v>
      </c>
      <c r="B5" s="4" t="s">
        <v>2990</v>
      </c>
      <c r="C5" s="5">
        <v>2</v>
      </c>
      <c r="D5" s="31" t="s">
        <v>2991</v>
      </c>
      <c r="E5" s="47" t="str">
        <f>INDEX(Q3_Aggregation!L3:L32, MATCH(7, Q3_Aggregation!M3:M32, 0))</f>
        <v>Amit Singh</v>
      </c>
      <c r="F5" s="112" t="s">
        <v>2911</v>
      </c>
      <c r="H5" s="44" t="s">
        <v>443</v>
      </c>
      <c r="I5" s="25">
        <v>221112.08000000002</v>
      </c>
      <c r="K5" s="17">
        <v>589026.2899999998</v>
      </c>
      <c r="L5" s="51" t="s">
        <v>2858</v>
      </c>
    </row>
    <row r="6" spans="1:12" ht="42" customHeight="1">
      <c r="A6" s="111" t="s">
        <v>2992</v>
      </c>
      <c r="B6" s="4" t="s">
        <v>2993</v>
      </c>
      <c r="C6" s="5">
        <v>2</v>
      </c>
      <c r="D6" s="31" t="s">
        <v>2994</v>
      </c>
      <c r="E6" s="48">
        <f>SUMIFS(Orders!I:I, Orders!B:B, "&lt;="&amp;DATE(2024,8,31))</f>
        <v>18050689.600000005</v>
      </c>
      <c r="F6" s="112" t="s">
        <v>2956</v>
      </c>
      <c r="H6" s="44" t="s">
        <v>248</v>
      </c>
      <c r="I6" s="25">
        <v>198124.65000000002</v>
      </c>
      <c r="K6" s="17">
        <v>782445.33</v>
      </c>
      <c r="L6" s="51" t="s">
        <v>2859</v>
      </c>
    </row>
    <row r="7" spans="1:12" ht="42" customHeight="1">
      <c r="A7" s="111" t="s">
        <v>2995</v>
      </c>
      <c r="B7" s="4" t="s">
        <v>2996</v>
      </c>
      <c r="C7" s="5">
        <v>3</v>
      </c>
      <c r="D7" s="31" t="s">
        <v>2997</v>
      </c>
      <c r="E7" s="109" t="str">
        <f>VLOOKUP(H3, Products!A:B, 2, FALSE)</f>
        <v>Smart Watch</v>
      </c>
      <c r="F7" s="112" t="s">
        <v>2911</v>
      </c>
      <c r="H7" s="44" t="s">
        <v>351</v>
      </c>
      <c r="I7" s="25">
        <v>190994.58000000002</v>
      </c>
      <c r="K7" s="17">
        <v>1138648.73</v>
      </c>
      <c r="L7" s="51" t="s">
        <v>2773</v>
      </c>
    </row>
    <row r="8" spans="1:12" ht="66.599999999999994" customHeight="1">
      <c r="A8" s="111" t="s">
        <v>2998</v>
      </c>
      <c r="B8" s="4" t="s">
        <v>2999</v>
      </c>
      <c r="C8" s="5">
        <v>2</v>
      </c>
      <c r="D8" s="31" t="s">
        <v>3000</v>
      </c>
      <c r="E8" s="52" t="str" cm="1">
        <f t="array" ref="E8">_xlfn.TEXTJOIN(" | ", TRUE, INDEX(L2:L31, MATCH(LARGE(K2:K31, {1,2,3,4,5}), K2:K31, 0)))</f>
        <v>Neha Desai | Shalini Patel | Deepak Shah | Nisha Menon | Arun Iyer</v>
      </c>
      <c r="F8" s="112" t="s">
        <v>2911</v>
      </c>
      <c r="H8" s="44" t="s">
        <v>264</v>
      </c>
      <c r="I8" s="25">
        <v>179739.34000000003</v>
      </c>
      <c r="K8" s="17">
        <v>855749.67999999982</v>
      </c>
      <c r="L8" s="51" t="s">
        <v>2860</v>
      </c>
    </row>
    <row r="9" spans="1:12" ht="42" customHeight="1" thickBot="1">
      <c r="A9" s="113" t="s">
        <v>3001</v>
      </c>
      <c r="B9" s="114" t="s">
        <v>3002</v>
      </c>
      <c r="C9" s="115">
        <v>1</v>
      </c>
      <c r="D9" s="116" t="s">
        <v>3003</v>
      </c>
      <c r="E9" s="117">
        <f>_xlfn.MAXIFS(Orders!I1:I2001,Orders!K1:K2001, "Bengaluru",Orders!L1:L2001, "Grocery")</f>
        <v>22134</v>
      </c>
      <c r="F9" s="118" t="s">
        <v>2956</v>
      </c>
      <c r="H9" s="44" t="s">
        <v>270</v>
      </c>
      <c r="I9" s="25">
        <v>177512.66000000003</v>
      </c>
      <c r="K9" s="17">
        <v>861553.33</v>
      </c>
      <c r="L9" s="51" t="s">
        <v>2762</v>
      </c>
    </row>
    <row r="10" spans="1:12">
      <c r="H10" s="44" t="s">
        <v>157</v>
      </c>
      <c r="I10" s="25">
        <v>167780.40000000002</v>
      </c>
      <c r="K10" s="17">
        <v>914554.71999999986</v>
      </c>
      <c r="L10" s="51" t="s">
        <v>2861</v>
      </c>
    </row>
    <row r="11" spans="1:12">
      <c r="H11" s="44" t="s">
        <v>364</v>
      </c>
      <c r="I11" s="25">
        <v>155358.84</v>
      </c>
      <c r="K11" s="17">
        <v>880345.20000000007</v>
      </c>
      <c r="L11" s="51" t="s">
        <v>2863</v>
      </c>
    </row>
    <row r="12" spans="1:12">
      <c r="H12" s="44" t="s">
        <v>461</v>
      </c>
      <c r="I12" s="25">
        <v>150054.66</v>
      </c>
      <c r="K12" s="17">
        <v>735207.75999999989</v>
      </c>
      <c r="L12" s="51" t="s">
        <v>2864</v>
      </c>
    </row>
    <row r="13" spans="1:12">
      <c r="H13" s="44" t="s">
        <v>452</v>
      </c>
      <c r="I13" s="25">
        <v>145224.29999999999</v>
      </c>
      <c r="K13" s="17">
        <v>901394.32000000007</v>
      </c>
      <c r="L13" s="51" t="s">
        <v>2865</v>
      </c>
    </row>
    <row r="14" spans="1:12">
      <c r="H14" s="44" t="s">
        <v>386</v>
      </c>
      <c r="I14" s="25">
        <v>138799.19</v>
      </c>
      <c r="K14" s="17">
        <v>811524.37999999989</v>
      </c>
      <c r="L14" s="51" t="s">
        <v>2866</v>
      </c>
    </row>
    <row r="15" spans="1:12">
      <c r="H15" s="44" t="s">
        <v>295</v>
      </c>
      <c r="I15" s="25">
        <v>137585.28</v>
      </c>
      <c r="K15" s="17">
        <v>995713.54000000015</v>
      </c>
      <c r="L15" s="51" t="s">
        <v>2867</v>
      </c>
    </row>
    <row r="16" spans="1:12">
      <c r="H16" s="44" t="s">
        <v>241</v>
      </c>
      <c r="I16" s="25">
        <v>124646.08</v>
      </c>
      <c r="K16" s="17">
        <v>1091740.1799999997</v>
      </c>
      <c r="L16" s="51" t="s">
        <v>2868</v>
      </c>
    </row>
    <row r="17" spans="8:12">
      <c r="H17" s="44" t="s">
        <v>106</v>
      </c>
      <c r="I17" s="25">
        <v>121770.6</v>
      </c>
      <c r="K17" s="17">
        <v>814563.7100000002</v>
      </c>
      <c r="L17" s="51" t="s">
        <v>2869</v>
      </c>
    </row>
    <row r="18" spans="8:12">
      <c r="H18" s="44" t="s">
        <v>124</v>
      </c>
      <c r="I18" s="25">
        <v>119445.93</v>
      </c>
      <c r="K18" s="17">
        <v>780384.40999999992</v>
      </c>
      <c r="L18" s="51" t="s">
        <v>2870</v>
      </c>
    </row>
    <row r="19" spans="8:12">
      <c r="H19" s="44" t="s">
        <v>338</v>
      </c>
      <c r="I19" s="25">
        <v>118562.08</v>
      </c>
      <c r="K19" s="17">
        <v>1112289.6400000001</v>
      </c>
      <c r="L19" s="51" t="s">
        <v>2872</v>
      </c>
    </row>
    <row r="20" spans="8:12">
      <c r="H20" s="44" t="s">
        <v>102</v>
      </c>
      <c r="I20" s="25">
        <v>112574.28</v>
      </c>
      <c r="K20" s="17">
        <v>971183.52000000014</v>
      </c>
      <c r="L20" s="51" t="s">
        <v>2873</v>
      </c>
    </row>
    <row r="21" spans="8:12">
      <c r="H21" s="44" t="s">
        <v>195</v>
      </c>
      <c r="I21" s="25">
        <v>109566.59999999999</v>
      </c>
      <c r="K21" s="17">
        <v>906107.71000000008</v>
      </c>
      <c r="L21" s="51" t="s">
        <v>2874</v>
      </c>
    </row>
    <row r="22" spans="8:12">
      <c r="H22" s="44" t="s">
        <v>161</v>
      </c>
      <c r="I22" s="25">
        <v>109233.9</v>
      </c>
      <c r="K22" s="17">
        <v>761507.17000000027</v>
      </c>
      <c r="L22" s="51" t="s">
        <v>2875</v>
      </c>
    </row>
    <row r="23" spans="8:12">
      <c r="H23" s="44" t="s">
        <v>173</v>
      </c>
      <c r="I23" s="25">
        <v>108190.72</v>
      </c>
      <c r="K23" s="17">
        <v>1069570.5400000003</v>
      </c>
      <c r="L23" s="51" t="s">
        <v>2876</v>
      </c>
    </row>
    <row r="24" spans="8:12">
      <c r="H24" s="44" t="s">
        <v>138</v>
      </c>
      <c r="I24" s="25">
        <v>105284.40000000001</v>
      </c>
      <c r="K24" s="17">
        <v>983787.4800000001</v>
      </c>
      <c r="L24" s="51" t="s">
        <v>2877</v>
      </c>
    </row>
    <row r="25" spans="8:12">
      <c r="H25" s="44" t="s">
        <v>167</v>
      </c>
      <c r="I25" s="25">
        <v>104993.28</v>
      </c>
      <c r="K25" s="17">
        <v>819558.58</v>
      </c>
      <c r="L25" s="51" t="s">
        <v>2878</v>
      </c>
    </row>
    <row r="26" spans="8:12">
      <c r="H26" s="44" t="s">
        <v>179</v>
      </c>
      <c r="I26" s="25">
        <v>104386</v>
      </c>
      <c r="K26" s="17">
        <v>901298.89</v>
      </c>
      <c r="L26" s="51" t="s">
        <v>2880</v>
      </c>
    </row>
    <row r="27" spans="8:12">
      <c r="H27" s="44" t="s">
        <v>276</v>
      </c>
      <c r="I27" s="25">
        <v>102894.42000000001</v>
      </c>
      <c r="K27" s="17">
        <v>576305.08000000019</v>
      </c>
      <c r="L27" s="51" t="s">
        <v>2881</v>
      </c>
    </row>
    <row r="28" spans="8:12">
      <c r="H28" s="44" t="s">
        <v>226</v>
      </c>
      <c r="I28" s="25">
        <v>102321.36</v>
      </c>
      <c r="K28" s="17">
        <v>917092.61999999965</v>
      </c>
      <c r="L28" s="51" t="s">
        <v>2882</v>
      </c>
    </row>
    <row r="29" spans="8:12">
      <c r="H29" s="44" t="s">
        <v>408</v>
      </c>
      <c r="I29" s="25">
        <v>100869.75999999999</v>
      </c>
      <c r="K29" s="17">
        <v>880468.05</v>
      </c>
      <c r="L29" s="51" t="s">
        <v>2883</v>
      </c>
    </row>
    <row r="30" spans="8:12">
      <c r="H30" s="44" t="s">
        <v>659</v>
      </c>
      <c r="I30" s="25">
        <v>100288.76000000001</v>
      </c>
      <c r="K30" s="17">
        <v>1016696.8000000002</v>
      </c>
      <c r="L30" s="51" t="s">
        <v>2884</v>
      </c>
    </row>
    <row r="31" spans="8:12">
      <c r="H31" s="44" t="s">
        <v>184</v>
      </c>
      <c r="I31" s="25">
        <v>100035.12</v>
      </c>
      <c r="K31" s="17">
        <v>747624.36999999988</v>
      </c>
      <c r="L31" s="51" t="s">
        <v>2885</v>
      </c>
    </row>
    <row r="32" spans="8:12">
      <c r="H32" s="44" t="s">
        <v>85</v>
      </c>
      <c r="I32" s="25">
        <v>95390.62</v>
      </c>
    </row>
    <row r="33" spans="8:9">
      <c r="H33" s="44" t="s">
        <v>200</v>
      </c>
      <c r="I33" s="25">
        <v>90555.6</v>
      </c>
    </row>
    <row r="34" spans="8:9">
      <c r="H34" s="44" t="s">
        <v>143</v>
      </c>
      <c r="I34" s="25">
        <v>88426</v>
      </c>
    </row>
    <row r="35" spans="8:9">
      <c r="H35" s="44" t="s">
        <v>237</v>
      </c>
      <c r="I35" s="25">
        <v>85543.64</v>
      </c>
    </row>
    <row r="36" spans="8:9">
      <c r="H36" s="44" t="s">
        <v>355</v>
      </c>
      <c r="I36" s="25">
        <v>84699.950000000012</v>
      </c>
    </row>
    <row r="37" spans="8:9">
      <c r="H37" s="44" t="s">
        <v>367</v>
      </c>
      <c r="I37" s="25">
        <v>84480.48000000001</v>
      </c>
    </row>
    <row r="38" spans="8:9">
      <c r="H38" s="44" t="s">
        <v>259</v>
      </c>
      <c r="I38" s="25">
        <v>80488.100000000006</v>
      </c>
    </row>
    <row r="39" spans="8:9">
      <c r="H39" s="44" t="s">
        <v>131</v>
      </c>
      <c r="I39" s="25">
        <v>77055.149999999994</v>
      </c>
    </row>
    <row r="40" spans="8:9">
      <c r="H40" s="44" t="s">
        <v>360</v>
      </c>
      <c r="I40" s="25">
        <v>74614.720000000001</v>
      </c>
    </row>
    <row r="41" spans="8:9">
      <c r="H41" s="44" t="s">
        <v>151</v>
      </c>
      <c r="I41" s="25">
        <v>71771.999999999985</v>
      </c>
    </row>
    <row r="42" spans="8:9">
      <c r="H42" s="44" t="s">
        <v>176</v>
      </c>
      <c r="I42" s="25">
        <v>68328.149999999994</v>
      </c>
    </row>
    <row r="43" spans="8:9">
      <c r="H43" s="44" t="s">
        <v>135</v>
      </c>
      <c r="I43" s="25">
        <v>67393.919999999998</v>
      </c>
    </row>
    <row r="44" spans="8:9">
      <c r="H44" s="44" t="s">
        <v>245</v>
      </c>
      <c r="I44" s="25">
        <v>66299.89</v>
      </c>
    </row>
    <row r="45" spans="8:9">
      <c r="H45" s="44" t="s">
        <v>267</v>
      </c>
      <c r="I45" s="25">
        <v>64207.380000000005</v>
      </c>
    </row>
    <row r="46" spans="8:9">
      <c r="H46" s="44" t="s">
        <v>380</v>
      </c>
      <c r="I46" s="25">
        <v>56751.360000000001</v>
      </c>
    </row>
    <row r="47" spans="8:9">
      <c r="H47" s="44" t="s">
        <v>164</v>
      </c>
      <c r="I47" s="25">
        <v>47831.039999999994</v>
      </c>
    </row>
    <row r="48" spans="8:9">
      <c r="H48" s="44" t="s">
        <v>234</v>
      </c>
      <c r="I48" s="25">
        <v>39599.279999999999</v>
      </c>
    </row>
    <row r="49" spans="8:9">
      <c r="H49" s="44" t="s">
        <v>120</v>
      </c>
      <c r="I49" s="25">
        <v>38531.35</v>
      </c>
    </row>
    <row r="50" spans="8:9">
      <c r="H50" s="44" t="s">
        <v>127</v>
      </c>
      <c r="I50" s="25">
        <v>37405.14</v>
      </c>
    </row>
    <row r="51" spans="8:9">
      <c r="H51" s="44" t="s">
        <v>115</v>
      </c>
      <c r="I51" s="25">
        <v>32451.840000000004</v>
      </c>
    </row>
    <row r="52" spans="8:9">
      <c r="H52" s="44" t="s">
        <v>502</v>
      </c>
      <c r="I52" s="25">
        <v>26929.539999999997</v>
      </c>
    </row>
    <row r="53" spans="8:9">
      <c r="H53" s="44" t="s">
        <v>97</v>
      </c>
      <c r="I53" s="25">
        <v>21160.810000000005</v>
      </c>
    </row>
    <row r="54" spans="8:9">
      <c r="H54" s="44" t="s">
        <v>110</v>
      </c>
      <c r="I54" s="25">
        <v>20402.169999999998</v>
      </c>
    </row>
    <row r="55" spans="8:9">
      <c r="H55" s="44" t="s">
        <v>182</v>
      </c>
      <c r="I55" s="25">
        <v>19529.36</v>
      </c>
    </row>
    <row r="56" spans="8:9">
      <c r="H56" s="44" t="s">
        <v>203</v>
      </c>
      <c r="I56" s="25">
        <v>13841.52</v>
      </c>
    </row>
    <row r="57" spans="8:9">
      <c r="H57" s="44" t="s">
        <v>292</v>
      </c>
      <c r="I57" s="25">
        <v>12964.82</v>
      </c>
    </row>
    <row r="58" spans="8:9">
      <c r="H58" s="44" t="s">
        <v>91</v>
      </c>
      <c r="I58" s="25">
        <v>9173.34</v>
      </c>
    </row>
    <row r="59" spans="8:9">
      <c r="H59" s="44" t="s">
        <v>147</v>
      </c>
      <c r="I59" s="25">
        <v>7838.2599999999984</v>
      </c>
    </row>
    <row r="60" spans="8:9">
      <c r="H60" s="44" t="s">
        <v>279</v>
      </c>
      <c r="I60" s="25">
        <v>7807.1</v>
      </c>
    </row>
    <row r="61" spans="8:9">
      <c r="H61" s="44" t="s">
        <v>282</v>
      </c>
      <c r="I61" s="25">
        <v>7449.9000000000005</v>
      </c>
    </row>
    <row r="62" spans="8:9">
      <c r="H62" s="45" t="s">
        <v>3036</v>
      </c>
      <c r="I62" s="46">
        <v>5859044.3900000006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04AB7-B49E-48B5-A580-F830370AC83D}">
  <dimension ref="A3:AF370"/>
  <sheetViews>
    <sheetView workbookViewId="0">
      <selection activeCell="D13" sqref="D13"/>
    </sheetView>
  </sheetViews>
  <sheetFormatPr defaultRowHeight="14.4"/>
  <cols>
    <col min="1" max="1" width="19" bestFit="1" customWidth="1"/>
    <col min="2" max="2" width="15.5546875" bestFit="1" customWidth="1"/>
    <col min="3" max="6" width="10" bestFit="1" customWidth="1"/>
    <col min="7" max="7" width="11" bestFit="1" customWidth="1"/>
    <col min="8" max="10" width="10" bestFit="1" customWidth="1"/>
    <col min="11" max="11" width="9" bestFit="1" customWidth="1"/>
    <col min="12" max="15" width="10" bestFit="1" customWidth="1"/>
    <col min="16" max="16" width="11" bestFit="1" customWidth="1"/>
    <col min="17" max="18" width="10" bestFit="1" customWidth="1"/>
    <col min="19" max="19" width="11" bestFit="1" customWidth="1"/>
    <col min="20" max="22" width="10" bestFit="1" customWidth="1"/>
    <col min="23" max="23" width="11" bestFit="1" customWidth="1"/>
    <col min="24" max="31" width="10" bestFit="1" customWidth="1"/>
    <col min="32" max="32" width="11" bestFit="1" customWidth="1"/>
    <col min="33" max="33" width="19" bestFit="1" customWidth="1"/>
    <col min="34" max="34" width="20" bestFit="1" customWidth="1"/>
    <col min="35" max="35" width="19" bestFit="1" customWidth="1"/>
    <col min="36" max="36" width="20" bestFit="1" customWidth="1"/>
    <col min="37" max="37" width="19" bestFit="1" customWidth="1"/>
    <col min="38" max="38" width="20" bestFit="1" customWidth="1"/>
    <col min="39" max="39" width="19" bestFit="1" customWidth="1"/>
    <col min="40" max="40" width="20" bestFit="1" customWidth="1"/>
    <col min="41" max="41" width="19" bestFit="1" customWidth="1"/>
    <col min="42" max="42" width="20" bestFit="1" customWidth="1"/>
    <col min="43" max="43" width="19" bestFit="1" customWidth="1"/>
    <col min="44" max="44" width="20" bestFit="1" customWidth="1"/>
    <col min="45" max="45" width="19" bestFit="1" customWidth="1"/>
    <col min="46" max="46" width="20" bestFit="1" customWidth="1"/>
    <col min="47" max="47" width="19" bestFit="1" customWidth="1"/>
    <col min="48" max="48" width="20" bestFit="1" customWidth="1"/>
    <col min="49" max="49" width="19" bestFit="1" customWidth="1"/>
    <col min="50" max="50" width="20" bestFit="1" customWidth="1"/>
    <col min="51" max="51" width="19" bestFit="1" customWidth="1"/>
    <col min="52" max="52" width="20" bestFit="1" customWidth="1"/>
    <col min="53" max="53" width="19" bestFit="1" customWidth="1"/>
    <col min="54" max="54" width="20" bestFit="1" customWidth="1"/>
    <col min="55" max="55" width="19" bestFit="1" customWidth="1"/>
    <col min="56" max="56" width="20" bestFit="1" customWidth="1"/>
    <col min="57" max="57" width="19" bestFit="1" customWidth="1"/>
    <col min="58" max="58" width="20" bestFit="1" customWidth="1"/>
    <col min="59" max="59" width="19" bestFit="1" customWidth="1"/>
    <col min="60" max="60" width="20" bestFit="1" customWidth="1"/>
    <col min="61" max="61" width="19" bestFit="1" customWidth="1"/>
    <col min="62" max="62" width="24.77734375" bestFit="1" customWidth="1"/>
    <col min="63" max="63" width="23.77734375" bestFit="1" customWidth="1"/>
  </cols>
  <sheetData>
    <row r="3" spans="1:32">
      <c r="A3" s="28" t="s">
        <v>3038</v>
      </c>
      <c r="B3" s="28" t="s">
        <v>3037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>
      <c r="A4" s="28" t="s">
        <v>3035</v>
      </c>
      <c r="B4" s="9" t="s">
        <v>215</v>
      </c>
      <c r="C4" s="9" t="s">
        <v>297</v>
      </c>
      <c r="D4" s="9" t="s">
        <v>148</v>
      </c>
      <c r="E4" s="9" t="s">
        <v>139</v>
      </c>
      <c r="F4" s="9" t="s">
        <v>92</v>
      </c>
      <c r="G4" s="9" t="s">
        <v>103</v>
      </c>
      <c r="H4" s="9" t="s">
        <v>86</v>
      </c>
      <c r="I4" s="9" t="s">
        <v>107</v>
      </c>
      <c r="J4" s="9" t="s">
        <v>204</v>
      </c>
      <c r="K4" s="9" t="s">
        <v>132</v>
      </c>
      <c r="L4" s="9" t="s">
        <v>273</v>
      </c>
      <c r="M4" s="9" t="s">
        <v>325</v>
      </c>
      <c r="N4" s="9" t="s">
        <v>252</v>
      </c>
      <c r="O4" s="9" t="s">
        <v>98</v>
      </c>
      <c r="P4" s="9" t="s">
        <v>188</v>
      </c>
      <c r="Q4" s="9" t="s">
        <v>346</v>
      </c>
      <c r="R4" s="9" t="s">
        <v>238</v>
      </c>
      <c r="S4" s="9" t="s">
        <v>303</v>
      </c>
      <c r="T4" s="9" t="s">
        <v>121</v>
      </c>
      <c r="U4" s="9" t="s">
        <v>192</v>
      </c>
      <c r="V4" s="9" t="s">
        <v>158</v>
      </c>
      <c r="W4" s="9" t="s">
        <v>285</v>
      </c>
      <c r="X4" s="9" t="s">
        <v>154</v>
      </c>
      <c r="Y4" s="9" t="s">
        <v>116</v>
      </c>
      <c r="Z4" s="9" t="s">
        <v>111</v>
      </c>
      <c r="AA4" s="9" t="s">
        <v>201</v>
      </c>
      <c r="AB4" s="9" t="s">
        <v>343</v>
      </c>
      <c r="AC4" s="9" t="s">
        <v>128</v>
      </c>
      <c r="AD4" s="9" t="s">
        <v>229</v>
      </c>
      <c r="AE4" s="9" t="s">
        <v>170</v>
      </c>
      <c r="AF4" s="9" t="s">
        <v>3036</v>
      </c>
    </row>
    <row r="5" spans="1:32">
      <c r="A5" s="143">
        <v>45292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>
        <v>4389.76</v>
      </c>
      <c r="P5" s="9">
        <v>19291.560000000001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>
        <v>23681.32</v>
      </c>
    </row>
    <row r="6" spans="1:32">
      <c r="A6" s="143">
        <v>45293</v>
      </c>
      <c r="B6" s="9"/>
      <c r="C6" s="9">
        <v>4650.5200000000004</v>
      </c>
      <c r="D6" s="9"/>
      <c r="E6" s="9"/>
      <c r="F6" s="9"/>
      <c r="G6" s="9"/>
      <c r="H6" s="9"/>
      <c r="I6" s="9">
        <v>3583.48</v>
      </c>
      <c r="J6" s="9"/>
      <c r="K6" s="9"/>
      <c r="L6" s="9"/>
      <c r="M6" s="9"/>
      <c r="N6" s="9"/>
      <c r="O6" s="9">
        <v>27236.16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>
        <v>3503.84</v>
      </c>
      <c r="AF6" s="9">
        <v>38974</v>
      </c>
    </row>
    <row r="7" spans="1:32">
      <c r="A7" s="143">
        <v>45294</v>
      </c>
      <c r="B7" s="9"/>
      <c r="C7" s="9">
        <v>4529.6000000000004</v>
      </c>
      <c r="D7" s="9"/>
      <c r="E7" s="9"/>
      <c r="F7" s="9"/>
      <c r="G7" s="9"/>
      <c r="H7" s="9"/>
      <c r="I7" s="9"/>
      <c r="J7" s="9"/>
      <c r="K7" s="9"/>
      <c r="L7" s="9">
        <v>23517</v>
      </c>
      <c r="M7" s="9">
        <v>13890.52</v>
      </c>
      <c r="N7" s="9"/>
      <c r="O7" s="9"/>
      <c r="P7" s="9"/>
      <c r="Q7" s="9"/>
      <c r="R7" s="9"/>
      <c r="S7" s="9">
        <v>11090.04</v>
      </c>
      <c r="T7" s="9"/>
      <c r="U7" s="9"/>
      <c r="V7" s="9">
        <v>2689.92</v>
      </c>
      <c r="W7" s="9"/>
      <c r="X7" s="9"/>
      <c r="Y7" s="9"/>
      <c r="Z7" s="9"/>
      <c r="AA7" s="9"/>
      <c r="AB7" s="9"/>
      <c r="AC7" s="9"/>
      <c r="AD7" s="9"/>
      <c r="AE7" s="9"/>
      <c r="AF7" s="9">
        <v>55717.079999999994</v>
      </c>
    </row>
    <row r="8" spans="1:32">
      <c r="A8" s="143">
        <v>45295</v>
      </c>
      <c r="B8" s="9"/>
      <c r="C8" s="9">
        <v>15565.2</v>
      </c>
      <c r="D8" s="9"/>
      <c r="E8" s="9"/>
      <c r="F8" s="9"/>
      <c r="G8" s="9"/>
      <c r="H8" s="9">
        <v>25251.75</v>
      </c>
      <c r="I8" s="9">
        <v>23718.400000000001</v>
      </c>
      <c r="J8" s="9"/>
      <c r="K8" s="9"/>
      <c r="L8" s="9"/>
      <c r="M8" s="9"/>
      <c r="N8" s="9"/>
      <c r="O8" s="9"/>
      <c r="P8" s="9"/>
      <c r="Q8" s="9"/>
      <c r="R8" s="9"/>
      <c r="S8" s="9">
        <v>10057.68</v>
      </c>
      <c r="T8" s="9"/>
      <c r="U8" s="9"/>
      <c r="V8" s="9"/>
      <c r="W8" s="9"/>
      <c r="X8" s="9"/>
      <c r="Y8" s="9">
        <v>5599.44</v>
      </c>
      <c r="Z8" s="9"/>
      <c r="AA8" s="9"/>
      <c r="AB8" s="9">
        <v>20460</v>
      </c>
      <c r="AC8" s="9"/>
      <c r="AD8" s="9"/>
      <c r="AE8" s="9"/>
      <c r="AF8" s="9">
        <v>100652.47</v>
      </c>
    </row>
    <row r="9" spans="1:32">
      <c r="A9" s="143">
        <v>45296</v>
      </c>
      <c r="B9" s="9"/>
      <c r="C9" s="9"/>
      <c r="D9" s="9"/>
      <c r="E9" s="9"/>
      <c r="F9" s="9">
        <v>9692.5499999999993</v>
      </c>
      <c r="G9" s="9"/>
      <c r="H9" s="9">
        <v>3201.66</v>
      </c>
      <c r="I9" s="9"/>
      <c r="J9" s="9"/>
      <c r="K9" s="9">
        <v>36377.25</v>
      </c>
      <c r="L9" s="9"/>
      <c r="M9" s="9">
        <v>26945.64</v>
      </c>
      <c r="N9" s="9"/>
      <c r="O9" s="9"/>
      <c r="P9" s="9"/>
      <c r="Q9" s="9"/>
      <c r="R9" s="9">
        <v>7383.9</v>
      </c>
      <c r="S9" s="9"/>
      <c r="T9" s="9"/>
      <c r="U9" s="9">
        <v>932.9</v>
      </c>
      <c r="V9" s="9"/>
      <c r="W9" s="9">
        <v>4242.78</v>
      </c>
      <c r="X9" s="9"/>
      <c r="Y9" s="9"/>
      <c r="Z9" s="9"/>
      <c r="AA9" s="9"/>
      <c r="AB9" s="9"/>
      <c r="AC9" s="9"/>
      <c r="AD9" s="9"/>
      <c r="AE9" s="9"/>
      <c r="AF9" s="9">
        <v>88776.68</v>
      </c>
    </row>
    <row r="10" spans="1:32">
      <c r="A10" s="143">
        <v>45297</v>
      </c>
      <c r="B10" s="9"/>
      <c r="C10" s="9"/>
      <c r="D10" s="9">
        <v>42000.4</v>
      </c>
      <c r="E10" s="9"/>
      <c r="F10" s="9"/>
      <c r="G10" s="9">
        <v>16374.96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>
        <v>8522.4</v>
      </c>
      <c r="V10" s="9"/>
      <c r="W10" s="9"/>
      <c r="X10" s="9"/>
      <c r="Y10" s="9">
        <v>2734.08</v>
      </c>
      <c r="Z10" s="9"/>
      <c r="AA10" s="9"/>
      <c r="AB10" s="9"/>
      <c r="AC10" s="9"/>
      <c r="AD10" s="9"/>
      <c r="AE10" s="9"/>
      <c r="AF10" s="9">
        <v>69631.839999999997</v>
      </c>
    </row>
    <row r="11" spans="1:32">
      <c r="A11" s="143">
        <v>45298</v>
      </c>
      <c r="B11" s="9">
        <v>15657.8</v>
      </c>
      <c r="C11" s="9"/>
      <c r="D11" s="9"/>
      <c r="E11" s="9">
        <v>5178.24</v>
      </c>
      <c r="F11" s="9"/>
      <c r="G11" s="9">
        <v>9791.1</v>
      </c>
      <c r="H11" s="9"/>
      <c r="I11" s="9"/>
      <c r="J11" s="9"/>
      <c r="K11" s="9"/>
      <c r="L11" s="9"/>
      <c r="M11" s="9"/>
      <c r="N11" s="9">
        <v>14858.76</v>
      </c>
      <c r="O11" s="9"/>
      <c r="P11" s="9"/>
      <c r="Q11" s="9"/>
      <c r="R11" s="9"/>
      <c r="S11" s="9"/>
      <c r="T11" s="9"/>
      <c r="U11" s="9"/>
      <c r="V11" s="9"/>
      <c r="W11" s="9">
        <v>16896.240000000002</v>
      </c>
      <c r="X11" s="9"/>
      <c r="Y11" s="9">
        <v>4080</v>
      </c>
      <c r="Z11" s="9"/>
      <c r="AA11" s="9"/>
      <c r="AB11" s="9"/>
      <c r="AC11" s="9"/>
      <c r="AD11" s="9"/>
      <c r="AE11" s="9"/>
      <c r="AF11" s="9">
        <v>66462.14</v>
      </c>
    </row>
    <row r="12" spans="1:32">
      <c r="A12" s="143">
        <v>45299</v>
      </c>
      <c r="B12" s="9"/>
      <c r="C12" s="9"/>
      <c r="D12" s="9"/>
      <c r="E12" s="9"/>
      <c r="F12" s="9">
        <v>12395.04</v>
      </c>
      <c r="G12" s="9"/>
      <c r="H12" s="9"/>
      <c r="I12" s="9">
        <v>16197.54</v>
      </c>
      <c r="J12" s="9"/>
      <c r="K12" s="9"/>
      <c r="L12" s="9">
        <v>6073.92</v>
      </c>
      <c r="M12" s="9"/>
      <c r="N12" s="9"/>
      <c r="O12" s="9"/>
      <c r="P12" s="9">
        <v>6372.4</v>
      </c>
      <c r="Q12" s="9"/>
      <c r="R12" s="9">
        <v>24078.6</v>
      </c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>
        <v>12916.89</v>
      </c>
      <c r="AE12" s="9"/>
      <c r="AF12" s="9">
        <v>78034.39</v>
      </c>
    </row>
    <row r="13" spans="1:32">
      <c r="A13" s="143">
        <v>45300</v>
      </c>
      <c r="B13" s="9"/>
      <c r="C13" s="9">
        <v>10028.200000000001</v>
      </c>
      <c r="D13" s="9">
        <v>12306.6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>
        <v>21574</v>
      </c>
      <c r="Q13" s="9"/>
      <c r="R13" s="9"/>
      <c r="S13" s="9"/>
      <c r="T13" s="9"/>
      <c r="U13" s="9">
        <v>8344.52</v>
      </c>
      <c r="V13" s="9"/>
      <c r="W13" s="9"/>
      <c r="X13" s="9">
        <v>4945.08</v>
      </c>
      <c r="Y13" s="9"/>
      <c r="Z13" s="9">
        <v>38120.32</v>
      </c>
      <c r="AA13" s="9"/>
      <c r="AB13" s="9"/>
      <c r="AC13" s="9">
        <v>13123.8</v>
      </c>
      <c r="AD13" s="9"/>
      <c r="AE13" s="9"/>
      <c r="AF13" s="9">
        <v>108442.52</v>
      </c>
    </row>
    <row r="14" spans="1:32">
      <c r="A14" s="143">
        <v>45301</v>
      </c>
      <c r="B14" s="9"/>
      <c r="C14" s="9"/>
      <c r="D14" s="9"/>
      <c r="E14" s="9"/>
      <c r="F14" s="9"/>
      <c r="G14" s="9"/>
      <c r="H14" s="9">
        <v>2577</v>
      </c>
      <c r="I14" s="9"/>
      <c r="J14" s="9"/>
      <c r="K14" s="9"/>
      <c r="L14" s="9"/>
      <c r="M14" s="9"/>
      <c r="N14" s="9">
        <v>15646.8</v>
      </c>
      <c r="O14" s="9">
        <v>2671.5</v>
      </c>
      <c r="P14" s="9"/>
      <c r="Q14" s="9"/>
      <c r="R14" s="9">
        <v>3736.26</v>
      </c>
      <c r="S14" s="9"/>
      <c r="T14" s="9"/>
      <c r="U14" s="9"/>
      <c r="V14" s="9"/>
      <c r="W14" s="9"/>
      <c r="X14" s="9">
        <v>3024.56</v>
      </c>
      <c r="Y14" s="9"/>
      <c r="Z14" s="9"/>
      <c r="AA14" s="9"/>
      <c r="AB14" s="9"/>
      <c r="AC14" s="9"/>
      <c r="AD14" s="9"/>
      <c r="AE14" s="9"/>
      <c r="AF14" s="9">
        <v>27656.12</v>
      </c>
    </row>
    <row r="15" spans="1:32">
      <c r="A15" s="143">
        <v>45302</v>
      </c>
      <c r="B15" s="9"/>
      <c r="C15" s="9">
        <v>13759.2</v>
      </c>
      <c r="D15" s="9"/>
      <c r="E15" s="9"/>
      <c r="F15" s="9">
        <v>21969.599999999999</v>
      </c>
      <c r="G15" s="9"/>
      <c r="H15" s="9"/>
      <c r="I15" s="9"/>
      <c r="J15" s="9">
        <v>26290.799999999999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>
        <v>18162.900000000001</v>
      </c>
      <c r="AE15" s="9">
        <v>36984.870000000003</v>
      </c>
      <c r="AF15" s="9">
        <v>117167.37</v>
      </c>
    </row>
    <row r="16" spans="1:32">
      <c r="A16" s="143">
        <v>45303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>
        <v>38432.639999999999</v>
      </c>
      <c r="P16" s="9"/>
      <c r="Q16" s="9"/>
      <c r="R16" s="9">
        <v>5368.89</v>
      </c>
      <c r="S16" s="9"/>
      <c r="T16" s="9"/>
      <c r="U16" s="9"/>
      <c r="V16" s="9"/>
      <c r="W16" s="9">
        <v>32489.1</v>
      </c>
      <c r="X16" s="9"/>
      <c r="Y16" s="9"/>
      <c r="Z16" s="9"/>
      <c r="AA16" s="9"/>
      <c r="AB16" s="9"/>
      <c r="AC16" s="9"/>
      <c r="AD16" s="9"/>
      <c r="AE16" s="9"/>
      <c r="AF16" s="9">
        <v>76290.63</v>
      </c>
    </row>
    <row r="17" spans="1:32">
      <c r="A17" s="143">
        <v>45304</v>
      </c>
      <c r="B17" s="9"/>
      <c r="C17" s="9"/>
      <c r="D17" s="9"/>
      <c r="E17" s="9"/>
      <c r="F17" s="9"/>
      <c r="G17" s="9"/>
      <c r="H17" s="9"/>
      <c r="I17" s="9"/>
      <c r="J17" s="9">
        <v>9821</v>
      </c>
      <c r="K17" s="9"/>
      <c r="L17" s="9"/>
      <c r="M17" s="9"/>
      <c r="N17" s="9"/>
      <c r="O17" s="9"/>
      <c r="P17" s="9"/>
      <c r="Q17" s="9">
        <v>6973.04</v>
      </c>
      <c r="R17" s="9"/>
      <c r="S17" s="9"/>
      <c r="T17" s="9"/>
      <c r="U17" s="9"/>
      <c r="V17" s="9"/>
      <c r="W17" s="9"/>
      <c r="X17" s="9"/>
      <c r="Y17" s="9">
        <v>12523.56</v>
      </c>
      <c r="Z17" s="9"/>
      <c r="AA17" s="9"/>
      <c r="AB17" s="9"/>
      <c r="AC17" s="9"/>
      <c r="AD17" s="9"/>
      <c r="AE17" s="9"/>
      <c r="AF17" s="9">
        <v>29317.599999999999</v>
      </c>
    </row>
    <row r="18" spans="1:32">
      <c r="A18" s="143">
        <v>45305</v>
      </c>
      <c r="B18" s="9"/>
      <c r="C18" s="9"/>
      <c r="D18" s="9"/>
      <c r="E18" s="9"/>
      <c r="F18" s="9"/>
      <c r="G18" s="9">
        <v>12868.56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>
        <v>2208.8000000000002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>
        <v>15077.36</v>
      </c>
    </row>
    <row r="19" spans="1:32">
      <c r="A19" s="143">
        <v>45306</v>
      </c>
      <c r="B19" s="9"/>
      <c r="C19" s="9">
        <v>3174.6</v>
      </c>
      <c r="D19" s="9"/>
      <c r="E19" s="9"/>
      <c r="F19" s="9">
        <v>2867.5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>
        <v>14938.56</v>
      </c>
      <c r="S19" s="9"/>
      <c r="T19" s="9"/>
      <c r="U19" s="9">
        <v>2347.36</v>
      </c>
      <c r="V19" s="9"/>
      <c r="W19" s="9"/>
      <c r="X19" s="9"/>
      <c r="Y19" s="9"/>
      <c r="Z19" s="9"/>
      <c r="AA19" s="9"/>
      <c r="AB19" s="9">
        <v>4076.92</v>
      </c>
      <c r="AC19" s="9"/>
      <c r="AD19" s="9">
        <v>961.26</v>
      </c>
      <c r="AE19" s="9"/>
      <c r="AF19" s="9">
        <v>28366.2</v>
      </c>
    </row>
    <row r="20" spans="1:32">
      <c r="A20" s="143">
        <v>45307</v>
      </c>
      <c r="B20" s="9"/>
      <c r="C20" s="9"/>
      <c r="D20" s="9"/>
      <c r="E20" s="9">
        <v>2132.65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>
        <v>9715.84</v>
      </c>
      <c r="Q20" s="9"/>
      <c r="R20" s="9">
        <v>13994.82</v>
      </c>
      <c r="S20" s="9">
        <v>29078.6</v>
      </c>
      <c r="T20" s="9"/>
      <c r="U20" s="9"/>
      <c r="V20" s="9"/>
      <c r="W20" s="9"/>
      <c r="X20" s="9">
        <v>31550.38</v>
      </c>
      <c r="Y20" s="9"/>
      <c r="Z20" s="9">
        <v>10909.08</v>
      </c>
      <c r="AA20" s="9"/>
      <c r="AB20" s="9"/>
      <c r="AC20" s="9">
        <v>22738.080000000002</v>
      </c>
      <c r="AD20" s="9"/>
      <c r="AE20" s="9"/>
      <c r="AF20" s="9">
        <v>120119.45</v>
      </c>
    </row>
    <row r="21" spans="1:32">
      <c r="A21" s="143">
        <v>45308</v>
      </c>
      <c r="B21" s="9"/>
      <c r="C21" s="9"/>
      <c r="D21" s="9"/>
      <c r="E21" s="9"/>
      <c r="F21" s="9">
        <v>9056.64</v>
      </c>
      <c r="G21" s="9"/>
      <c r="H21" s="9">
        <v>18921.5</v>
      </c>
      <c r="I21" s="9"/>
      <c r="J21" s="9">
        <v>37881.54</v>
      </c>
      <c r="K21" s="9"/>
      <c r="L21" s="9"/>
      <c r="M21" s="9"/>
      <c r="N21" s="9"/>
      <c r="O21" s="9"/>
      <c r="P21" s="9"/>
      <c r="Q21" s="9">
        <v>30153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>
        <v>96012.68</v>
      </c>
    </row>
    <row r="22" spans="1:32">
      <c r="A22" s="143">
        <v>45309</v>
      </c>
      <c r="B22" s="9">
        <v>8266.56</v>
      </c>
      <c r="C22" s="9"/>
      <c r="D22" s="9"/>
      <c r="E22" s="9">
        <v>40566.6</v>
      </c>
      <c r="F22" s="9">
        <v>8261.1200000000008</v>
      </c>
      <c r="G22" s="9"/>
      <c r="H22" s="9"/>
      <c r="I22" s="9"/>
      <c r="J22" s="9"/>
      <c r="K22" s="9"/>
      <c r="L22" s="9"/>
      <c r="M22" s="9"/>
      <c r="N22" s="9"/>
      <c r="O22" s="9">
        <v>6583.68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>
        <v>63677.96</v>
      </c>
    </row>
    <row r="23" spans="1:32">
      <c r="A23" s="143">
        <v>45310</v>
      </c>
      <c r="B23" s="9">
        <v>19726.2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>
        <v>9460.5</v>
      </c>
      <c r="T23" s="9"/>
      <c r="U23" s="9">
        <v>6074.88</v>
      </c>
      <c r="V23" s="9"/>
      <c r="W23" s="9"/>
      <c r="X23" s="9"/>
      <c r="Y23" s="9"/>
      <c r="Z23" s="9"/>
      <c r="AA23" s="9"/>
      <c r="AB23" s="9"/>
      <c r="AC23" s="9">
        <v>712.12</v>
      </c>
      <c r="AD23" s="9"/>
      <c r="AE23" s="9"/>
      <c r="AF23" s="9">
        <v>35973.700000000004</v>
      </c>
    </row>
    <row r="24" spans="1:32">
      <c r="A24" s="143">
        <v>45311</v>
      </c>
      <c r="B24" s="9"/>
      <c r="C24" s="9"/>
      <c r="D24" s="9"/>
      <c r="E24" s="9"/>
      <c r="F24" s="9"/>
      <c r="G24" s="9"/>
      <c r="H24" s="9">
        <v>35295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>
        <v>13147.38</v>
      </c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>
        <v>48442.38</v>
      </c>
    </row>
    <row r="25" spans="1:32">
      <c r="A25" s="143">
        <v>45312</v>
      </c>
      <c r="B25" s="9"/>
      <c r="C25" s="9"/>
      <c r="D25" s="9"/>
      <c r="E25" s="9"/>
      <c r="F25" s="9"/>
      <c r="G25" s="9">
        <v>35732.32</v>
      </c>
      <c r="H25" s="9"/>
      <c r="I25" s="9"/>
      <c r="J25" s="9"/>
      <c r="K25" s="9">
        <v>5530.56</v>
      </c>
      <c r="L25" s="9"/>
      <c r="M25" s="9">
        <v>6661.62</v>
      </c>
      <c r="N25" s="9"/>
      <c r="O25" s="9"/>
      <c r="P25" s="9">
        <v>31060.26</v>
      </c>
      <c r="Q25" s="9"/>
      <c r="R25" s="9"/>
      <c r="S25" s="9"/>
      <c r="T25" s="9"/>
      <c r="U25" s="9">
        <v>2921.52</v>
      </c>
      <c r="V25" s="9"/>
      <c r="W25" s="9"/>
      <c r="X25" s="9"/>
      <c r="Y25" s="9"/>
      <c r="Z25" s="9"/>
      <c r="AA25" s="9">
        <v>2040.18</v>
      </c>
      <c r="AB25" s="9"/>
      <c r="AC25" s="9"/>
      <c r="AD25" s="9"/>
      <c r="AE25" s="9">
        <v>18682.099999999999</v>
      </c>
      <c r="AF25" s="9">
        <v>102628.56</v>
      </c>
    </row>
    <row r="26" spans="1:32">
      <c r="A26" s="143">
        <v>45313</v>
      </c>
      <c r="B26" s="9"/>
      <c r="C26" s="9"/>
      <c r="D26" s="9"/>
      <c r="E26" s="9"/>
      <c r="F26" s="9"/>
      <c r="G26" s="9"/>
      <c r="H26" s="9"/>
      <c r="I26" s="9"/>
      <c r="J26" s="9">
        <v>43962</v>
      </c>
      <c r="K26" s="9"/>
      <c r="L26" s="9"/>
      <c r="M26" s="9">
        <v>1059.06</v>
      </c>
      <c r="N26" s="9"/>
      <c r="O26" s="9"/>
      <c r="P26" s="9"/>
      <c r="Q26" s="9"/>
      <c r="R26" s="9"/>
      <c r="S26" s="9">
        <v>21390.080000000002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>
        <v>66411.14</v>
      </c>
    </row>
    <row r="27" spans="1:32">
      <c r="A27" s="143">
        <v>45314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>
        <v>2449.7600000000002</v>
      </c>
      <c r="S27" s="9"/>
      <c r="T27" s="9"/>
      <c r="U27" s="9"/>
      <c r="V27" s="9"/>
      <c r="W27" s="9"/>
      <c r="X27" s="9"/>
      <c r="Y27" s="9"/>
      <c r="Z27" s="9">
        <v>7012.44</v>
      </c>
      <c r="AA27" s="9"/>
      <c r="AB27" s="9"/>
      <c r="AC27" s="9"/>
      <c r="AD27" s="9"/>
      <c r="AE27" s="9"/>
      <c r="AF27" s="9">
        <v>9462.2000000000007</v>
      </c>
    </row>
    <row r="28" spans="1:32">
      <c r="A28" s="143">
        <v>45315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>
        <v>16229.12</v>
      </c>
      <c r="N28" s="9">
        <v>11122.38</v>
      </c>
      <c r="O28" s="9">
        <v>8184</v>
      </c>
      <c r="P28" s="9"/>
      <c r="Q28" s="9"/>
      <c r="R28" s="9"/>
      <c r="S28" s="9"/>
      <c r="T28" s="9"/>
      <c r="U28" s="9"/>
      <c r="V28" s="9"/>
      <c r="W28" s="9"/>
      <c r="X28" s="9">
        <v>10556.7</v>
      </c>
      <c r="Y28" s="9"/>
      <c r="Z28" s="9"/>
      <c r="AA28" s="9"/>
      <c r="AB28" s="9"/>
      <c r="AC28" s="9"/>
      <c r="AD28" s="9"/>
      <c r="AE28" s="9"/>
      <c r="AF28" s="9">
        <v>46092.2</v>
      </c>
    </row>
    <row r="29" spans="1:32">
      <c r="A29" s="143">
        <v>45316</v>
      </c>
      <c r="B29" s="9"/>
      <c r="C29" s="9"/>
      <c r="D29" s="9"/>
      <c r="E29" s="9">
        <v>10014.620000000001</v>
      </c>
      <c r="F29" s="9"/>
      <c r="G29" s="9"/>
      <c r="H29" s="9"/>
      <c r="I29" s="9"/>
      <c r="J29" s="9"/>
      <c r="K29" s="9"/>
      <c r="L29" s="9">
        <v>33782.400000000001</v>
      </c>
      <c r="M29" s="9"/>
      <c r="N29" s="9"/>
      <c r="O29" s="9"/>
      <c r="P29" s="9"/>
      <c r="Q29" s="9">
        <v>25069.8</v>
      </c>
      <c r="R29" s="9"/>
      <c r="S29" s="9"/>
      <c r="T29" s="9"/>
      <c r="U29" s="9"/>
      <c r="V29" s="9"/>
      <c r="W29" s="9"/>
      <c r="X29" s="9">
        <v>2724.48</v>
      </c>
      <c r="Y29" s="9"/>
      <c r="Z29" s="9"/>
      <c r="AA29" s="9"/>
      <c r="AB29" s="9">
        <v>26109.599999999999</v>
      </c>
      <c r="AC29" s="9"/>
      <c r="AD29" s="9"/>
      <c r="AE29" s="9"/>
      <c r="AF29" s="9">
        <v>97700.9</v>
      </c>
    </row>
    <row r="30" spans="1:32">
      <c r="A30" s="143">
        <v>45317</v>
      </c>
      <c r="B30" s="9"/>
      <c r="C30" s="9"/>
      <c r="D30" s="9"/>
      <c r="E30" s="9"/>
      <c r="F30" s="9"/>
      <c r="G30" s="9"/>
      <c r="H30" s="9">
        <v>6783</v>
      </c>
      <c r="I30" s="9">
        <v>18057.599999999999</v>
      </c>
      <c r="J30" s="9"/>
      <c r="K30" s="9"/>
      <c r="L30" s="9"/>
      <c r="M30" s="9"/>
      <c r="N30" s="9">
        <v>2796.6</v>
      </c>
      <c r="O30" s="9"/>
      <c r="P30" s="9"/>
      <c r="Q30" s="9"/>
      <c r="R30" s="9"/>
      <c r="S30" s="9"/>
      <c r="T30" s="9"/>
      <c r="U30" s="9"/>
      <c r="V30" s="9"/>
      <c r="W30" s="9">
        <v>21463.200000000001</v>
      </c>
      <c r="X30" s="9"/>
      <c r="Y30" s="9"/>
      <c r="Z30" s="9"/>
      <c r="AA30" s="9"/>
      <c r="AB30" s="9"/>
      <c r="AC30" s="9"/>
      <c r="AD30" s="9"/>
      <c r="AE30" s="9"/>
      <c r="AF30" s="9">
        <v>49100.399999999994</v>
      </c>
    </row>
    <row r="31" spans="1:32">
      <c r="A31" s="143">
        <v>45318</v>
      </c>
      <c r="B31" s="9"/>
      <c r="C31" s="9"/>
      <c r="D31" s="9"/>
      <c r="E31" s="9"/>
      <c r="F31" s="9">
        <v>6423.06</v>
      </c>
      <c r="G31" s="9"/>
      <c r="H31" s="9"/>
      <c r="I31" s="9"/>
      <c r="J31" s="9"/>
      <c r="K31" s="9"/>
      <c r="L31" s="9">
        <v>25418.400000000001</v>
      </c>
      <c r="M31" s="9"/>
      <c r="N31" s="9"/>
      <c r="O31" s="9"/>
      <c r="P31" s="9"/>
      <c r="Q31" s="9"/>
      <c r="R31" s="9"/>
      <c r="S31" s="9"/>
      <c r="T31" s="9">
        <v>15931</v>
      </c>
      <c r="U31" s="9"/>
      <c r="V31" s="9"/>
      <c r="W31" s="9">
        <v>19299.419999999998</v>
      </c>
      <c r="X31" s="9"/>
      <c r="Y31" s="9"/>
      <c r="Z31" s="9"/>
      <c r="AA31" s="9"/>
      <c r="AB31" s="9">
        <v>14967.44</v>
      </c>
      <c r="AC31" s="9"/>
      <c r="AD31" s="9"/>
      <c r="AE31" s="9"/>
      <c r="AF31" s="9">
        <v>82039.320000000007</v>
      </c>
    </row>
    <row r="32" spans="1:32">
      <c r="A32" s="143">
        <v>45319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>
        <v>5894.07</v>
      </c>
      <c r="N32" s="9">
        <v>7184.58</v>
      </c>
      <c r="O32" s="9"/>
      <c r="P32" s="9"/>
      <c r="Q32" s="9"/>
      <c r="R32" s="9">
        <v>1905.6</v>
      </c>
      <c r="S32" s="9"/>
      <c r="T32" s="9"/>
      <c r="U32" s="9">
        <v>10392.06</v>
      </c>
      <c r="V32" s="9"/>
      <c r="W32" s="9"/>
      <c r="X32" s="9"/>
      <c r="Y32" s="9"/>
      <c r="Z32" s="9"/>
      <c r="AA32" s="9"/>
      <c r="AB32" s="9">
        <v>8496</v>
      </c>
      <c r="AC32" s="9"/>
      <c r="AD32" s="9">
        <v>13328.1</v>
      </c>
      <c r="AE32" s="9"/>
      <c r="AF32" s="9">
        <v>47200.409999999996</v>
      </c>
    </row>
    <row r="33" spans="1:32">
      <c r="A33" s="143">
        <v>45320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>
        <v>20561.599999999999</v>
      </c>
      <c r="T33" s="9"/>
      <c r="U33" s="9"/>
      <c r="V33" s="9"/>
      <c r="W33" s="9">
        <v>31937</v>
      </c>
      <c r="X33" s="9"/>
      <c r="Y33" s="9"/>
      <c r="Z33" s="9"/>
      <c r="AA33" s="9"/>
      <c r="AB33" s="9"/>
      <c r="AC33" s="9"/>
      <c r="AD33" s="9"/>
      <c r="AE33" s="9"/>
      <c r="AF33" s="9">
        <v>52498.6</v>
      </c>
    </row>
    <row r="34" spans="1:32">
      <c r="A34" s="143">
        <v>45321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>
        <v>30887</v>
      </c>
      <c r="Q34" s="9"/>
      <c r="R34" s="9"/>
      <c r="S34" s="9"/>
      <c r="T34" s="9"/>
      <c r="U34" s="9"/>
      <c r="V34" s="9"/>
      <c r="W34" s="9">
        <v>31880.1</v>
      </c>
      <c r="X34" s="9"/>
      <c r="Y34" s="9"/>
      <c r="Z34" s="9"/>
      <c r="AA34" s="9">
        <v>10727.64</v>
      </c>
      <c r="AB34" s="9"/>
      <c r="AC34" s="9"/>
      <c r="AD34" s="9"/>
      <c r="AE34" s="9"/>
      <c r="AF34" s="9">
        <v>73494.739999999991</v>
      </c>
    </row>
    <row r="35" spans="1:32">
      <c r="A35" s="143">
        <v>45322</v>
      </c>
      <c r="B35" s="9"/>
      <c r="C35" s="9"/>
      <c r="D35" s="9"/>
      <c r="E35" s="9"/>
      <c r="F35" s="9"/>
      <c r="G35" s="9">
        <v>10201.620000000001</v>
      </c>
      <c r="H35" s="9"/>
      <c r="I35" s="9"/>
      <c r="J35" s="9">
        <v>7592.2</v>
      </c>
      <c r="K35" s="9">
        <v>1170.4000000000001</v>
      </c>
      <c r="L35" s="9"/>
      <c r="M35" s="9"/>
      <c r="N35" s="9"/>
      <c r="O35" s="9"/>
      <c r="P35" s="9"/>
      <c r="Q35" s="9"/>
      <c r="R35" s="9"/>
      <c r="S35" s="9"/>
      <c r="T35" s="9">
        <v>1816.8</v>
      </c>
      <c r="U35" s="9"/>
      <c r="V35" s="9"/>
      <c r="W35" s="9"/>
      <c r="X35" s="9">
        <v>1804.86</v>
      </c>
      <c r="Y35" s="9"/>
      <c r="Z35" s="9"/>
      <c r="AA35" s="9"/>
      <c r="AB35" s="9">
        <v>3459.2</v>
      </c>
      <c r="AC35" s="9"/>
      <c r="AD35" s="9"/>
      <c r="AE35" s="9"/>
      <c r="AF35" s="9">
        <v>26045.08</v>
      </c>
    </row>
    <row r="36" spans="1:32">
      <c r="A36" s="143">
        <v>45323</v>
      </c>
      <c r="B36" s="9"/>
      <c r="C36" s="9"/>
      <c r="D36" s="9"/>
      <c r="E36" s="9"/>
      <c r="F36" s="9"/>
      <c r="G36" s="9"/>
      <c r="H36" s="9"/>
      <c r="I36" s="9"/>
      <c r="J36" s="9"/>
      <c r="K36" s="9">
        <v>21630.6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>
        <v>27008.73</v>
      </c>
      <c r="Y36" s="9"/>
      <c r="Z36" s="9"/>
      <c r="AA36" s="9"/>
      <c r="AB36" s="9"/>
      <c r="AC36" s="9">
        <v>17165.68</v>
      </c>
      <c r="AD36" s="9"/>
      <c r="AE36" s="9">
        <v>3129.84</v>
      </c>
      <c r="AF36" s="9">
        <v>68934.850000000006</v>
      </c>
    </row>
    <row r="37" spans="1:32">
      <c r="A37" s="143">
        <v>45324</v>
      </c>
      <c r="B37" s="9"/>
      <c r="C37" s="9">
        <v>4181.5200000000004</v>
      </c>
      <c r="D37" s="9">
        <v>32452</v>
      </c>
      <c r="E37" s="9">
        <v>29842.5</v>
      </c>
      <c r="F37" s="9"/>
      <c r="G37" s="9"/>
      <c r="H37" s="9"/>
      <c r="I37" s="9"/>
      <c r="J37" s="9"/>
      <c r="K37" s="9"/>
      <c r="L37" s="9">
        <v>3590.46</v>
      </c>
      <c r="M37" s="9"/>
      <c r="N37" s="9"/>
      <c r="O37" s="9">
        <v>15743.7</v>
      </c>
      <c r="P37" s="9">
        <v>15753</v>
      </c>
      <c r="Q37" s="9">
        <v>1073.1600000000001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>
        <v>10403.879999999999</v>
      </c>
      <c r="AC37" s="9"/>
      <c r="AD37" s="9"/>
      <c r="AE37" s="9"/>
      <c r="AF37" s="9">
        <v>113040.22000000002</v>
      </c>
    </row>
    <row r="38" spans="1:32">
      <c r="A38" s="143">
        <v>45325</v>
      </c>
      <c r="B38" s="9"/>
      <c r="C38" s="9"/>
      <c r="D38" s="9"/>
      <c r="E38" s="9">
        <v>6070.1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>
        <v>21915.119999999999</v>
      </c>
      <c r="Y38" s="9"/>
      <c r="Z38" s="9">
        <v>14162.3</v>
      </c>
      <c r="AA38" s="9"/>
      <c r="AB38" s="9"/>
      <c r="AC38" s="9"/>
      <c r="AD38" s="9"/>
      <c r="AE38" s="9"/>
      <c r="AF38" s="9">
        <v>42147.520000000004</v>
      </c>
    </row>
    <row r="39" spans="1:32">
      <c r="A39" s="143">
        <v>45326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>
        <v>23543.759999999998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>
        <v>6855.42</v>
      </c>
      <c r="AC39" s="9"/>
      <c r="AD39" s="9"/>
      <c r="AE39" s="9">
        <v>5779.4</v>
      </c>
      <c r="AF39" s="9">
        <v>36178.58</v>
      </c>
    </row>
    <row r="40" spans="1:32">
      <c r="A40" s="143">
        <v>45327</v>
      </c>
      <c r="B40" s="9"/>
      <c r="C40" s="9"/>
      <c r="D40" s="9"/>
      <c r="E40" s="9"/>
      <c r="F40" s="9"/>
      <c r="G40" s="9"/>
      <c r="H40" s="9"/>
      <c r="I40" s="9"/>
      <c r="J40" s="9"/>
      <c r="K40" s="9">
        <v>20327.400000000001</v>
      </c>
      <c r="L40" s="9"/>
      <c r="M40" s="9"/>
      <c r="N40" s="9"/>
      <c r="O40" s="9"/>
      <c r="P40" s="9"/>
      <c r="Q40" s="9"/>
      <c r="R40" s="9"/>
      <c r="S40" s="9">
        <v>10580.32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>
        <v>42625.66</v>
      </c>
      <c r="AE40" s="9"/>
      <c r="AF40" s="9">
        <v>73533.38</v>
      </c>
    </row>
    <row r="41" spans="1:32">
      <c r="A41" s="143">
        <v>45328</v>
      </c>
      <c r="B41" s="9">
        <v>37696.879999999997</v>
      </c>
      <c r="C41" s="9"/>
      <c r="D41" s="9"/>
      <c r="E41" s="9"/>
      <c r="F41" s="9">
        <v>18772.900000000001</v>
      </c>
      <c r="G41" s="9"/>
      <c r="H41" s="9"/>
      <c r="I41" s="9"/>
      <c r="J41" s="9"/>
      <c r="K41" s="9"/>
      <c r="L41" s="9">
        <v>2616</v>
      </c>
      <c r="M41" s="9">
        <v>6329.4</v>
      </c>
      <c r="N41" s="9"/>
      <c r="O41" s="9">
        <v>16107.84</v>
      </c>
      <c r="P41" s="9"/>
      <c r="Q41" s="9"/>
      <c r="R41" s="9">
        <v>5857.16</v>
      </c>
      <c r="S41" s="9"/>
      <c r="T41" s="9"/>
      <c r="U41" s="9"/>
      <c r="V41" s="9"/>
      <c r="W41" s="9"/>
      <c r="X41" s="9"/>
      <c r="Y41" s="9">
        <v>19214.080000000002</v>
      </c>
      <c r="Z41" s="9">
        <v>2883.29</v>
      </c>
      <c r="AA41" s="9"/>
      <c r="AB41" s="9">
        <v>1516.96</v>
      </c>
      <c r="AC41" s="9"/>
      <c r="AD41" s="9">
        <v>22134</v>
      </c>
      <c r="AE41" s="9"/>
      <c r="AF41" s="9">
        <v>133128.51</v>
      </c>
    </row>
    <row r="42" spans="1:32">
      <c r="A42" s="143">
        <v>45329</v>
      </c>
      <c r="B42" s="9">
        <v>9507.42</v>
      </c>
      <c r="C42" s="9"/>
      <c r="D42" s="9"/>
      <c r="E42" s="9"/>
      <c r="F42" s="9">
        <v>19519.28</v>
      </c>
      <c r="G42" s="9"/>
      <c r="H42" s="9">
        <v>19637.7</v>
      </c>
      <c r="I42" s="9">
        <v>2762.1</v>
      </c>
      <c r="J42" s="9"/>
      <c r="K42" s="9"/>
      <c r="L42" s="9"/>
      <c r="M42" s="9"/>
      <c r="N42" s="9">
        <v>2791.05</v>
      </c>
      <c r="O42" s="9"/>
      <c r="P42" s="9"/>
      <c r="Q42" s="9"/>
      <c r="R42" s="9"/>
      <c r="S42" s="9"/>
      <c r="T42" s="9">
        <v>17439.900000000001</v>
      </c>
      <c r="U42" s="9"/>
      <c r="V42" s="9">
        <v>15856.2</v>
      </c>
      <c r="W42" s="9">
        <v>2271.64</v>
      </c>
      <c r="X42" s="9"/>
      <c r="Y42" s="9"/>
      <c r="Z42" s="9"/>
      <c r="AA42" s="9"/>
      <c r="AB42" s="9"/>
      <c r="AC42" s="9"/>
      <c r="AD42" s="9"/>
      <c r="AE42" s="9"/>
      <c r="AF42" s="9">
        <v>89785.29</v>
      </c>
    </row>
    <row r="43" spans="1:32">
      <c r="A43" s="143">
        <v>45330</v>
      </c>
      <c r="B43" s="9">
        <v>16126.88</v>
      </c>
      <c r="C43" s="9"/>
      <c r="D43" s="9"/>
      <c r="E43" s="9"/>
      <c r="F43" s="9"/>
      <c r="G43" s="9"/>
      <c r="H43" s="9"/>
      <c r="I43" s="9"/>
      <c r="J43" s="9"/>
      <c r="K43" s="9">
        <v>9634.6</v>
      </c>
      <c r="L43" s="9"/>
      <c r="M43" s="9"/>
      <c r="N43" s="9">
        <v>30031.200000000001</v>
      </c>
      <c r="O43" s="9"/>
      <c r="P43" s="9"/>
      <c r="Q43" s="9"/>
      <c r="R43" s="9"/>
      <c r="S43" s="9">
        <v>6029.24</v>
      </c>
      <c r="T43" s="9">
        <v>8160.6</v>
      </c>
      <c r="U43" s="9"/>
      <c r="V43" s="9"/>
      <c r="W43" s="9"/>
      <c r="X43" s="9"/>
      <c r="Y43" s="9"/>
      <c r="Z43" s="9">
        <v>14794.08</v>
      </c>
      <c r="AA43" s="9"/>
      <c r="AB43" s="9"/>
      <c r="AC43" s="9"/>
      <c r="AD43" s="9"/>
      <c r="AE43" s="9"/>
      <c r="AF43" s="9">
        <v>84776.6</v>
      </c>
    </row>
    <row r="44" spans="1:32">
      <c r="A44" s="143">
        <v>45331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>
        <v>7670.56</v>
      </c>
      <c r="R44" s="9"/>
      <c r="S44" s="9"/>
      <c r="T44" s="9"/>
      <c r="U44" s="9"/>
      <c r="V44" s="9"/>
      <c r="W44" s="9"/>
      <c r="X44" s="9"/>
      <c r="Y44" s="9">
        <v>3705.4</v>
      </c>
      <c r="Z44" s="9"/>
      <c r="AA44" s="9"/>
      <c r="AB44" s="9"/>
      <c r="AC44" s="9"/>
      <c r="AD44" s="9"/>
      <c r="AE44" s="9"/>
      <c r="AF44" s="9">
        <v>11375.960000000001</v>
      </c>
    </row>
    <row r="45" spans="1:32">
      <c r="A45" s="143">
        <v>45332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>
        <v>9503.5</v>
      </c>
      <c r="M45" s="9"/>
      <c r="N45" s="9">
        <v>11101.52</v>
      </c>
      <c r="O45" s="9"/>
      <c r="P45" s="9">
        <v>6149.78</v>
      </c>
      <c r="Q45" s="9"/>
      <c r="R45" s="9"/>
      <c r="S45" s="9"/>
      <c r="T45" s="9">
        <v>28032.2</v>
      </c>
      <c r="U45" s="9"/>
      <c r="V45" s="9"/>
      <c r="W45" s="9">
        <v>7086.16</v>
      </c>
      <c r="X45" s="9"/>
      <c r="Y45" s="9">
        <v>18604.080000000002</v>
      </c>
      <c r="Z45" s="9"/>
      <c r="AA45" s="9"/>
      <c r="AB45" s="9"/>
      <c r="AC45" s="9"/>
      <c r="AD45" s="9">
        <v>24423.75</v>
      </c>
      <c r="AE45" s="9">
        <v>4801.05</v>
      </c>
      <c r="AF45" s="9">
        <v>109702.04000000001</v>
      </c>
    </row>
    <row r="46" spans="1:32">
      <c r="A46" s="143">
        <v>45333</v>
      </c>
      <c r="B46" s="9">
        <v>30879.09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>
        <v>9894.6</v>
      </c>
      <c r="S46" s="9"/>
      <c r="T46" s="9"/>
      <c r="U46" s="9"/>
      <c r="V46" s="9"/>
      <c r="W46" s="9"/>
      <c r="X46" s="9">
        <v>23960.799999999999</v>
      </c>
      <c r="Y46" s="9"/>
      <c r="Z46" s="9"/>
      <c r="AA46" s="9"/>
      <c r="AB46" s="9"/>
      <c r="AC46" s="9">
        <v>32439.480000000003</v>
      </c>
      <c r="AD46" s="9"/>
      <c r="AE46" s="9"/>
      <c r="AF46" s="9">
        <v>97173.97</v>
      </c>
    </row>
    <row r="47" spans="1:32">
      <c r="A47" s="143">
        <v>45334</v>
      </c>
      <c r="B47" s="9"/>
      <c r="C47" s="9"/>
      <c r="D47" s="9"/>
      <c r="E47" s="9"/>
      <c r="F47" s="9"/>
      <c r="G47" s="9"/>
      <c r="H47" s="9"/>
      <c r="I47" s="9"/>
      <c r="J47" s="9"/>
      <c r="K47" s="9">
        <v>740.24</v>
      </c>
      <c r="L47" s="9"/>
      <c r="M47" s="9"/>
      <c r="N47" s="9"/>
      <c r="O47" s="9"/>
      <c r="P47" s="9"/>
      <c r="Q47" s="9"/>
      <c r="R47" s="9"/>
      <c r="S47" s="9">
        <v>7011.84</v>
      </c>
      <c r="T47" s="9"/>
      <c r="U47" s="9"/>
      <c r="V47" s="9"/>
      <c r="W47" s="9">
        <v>23787.54</v>
      </c>
      <c r="X47" s="9"/>
      <c r="Y47" s="9"/>
      <c r="Z47" s="9">
        <v>1556.1</v>
      </c>
      <c r="AA47" s="9"/>
      <c r="AB47" s="9">
        <v>40618.71</v>
      </c>
      <c r="AC47" s="9"/>
      <c r="AD47" s="9"/>
      <c r="AE47" s="9"/>
      <c r="AF47" s="9">
        <v>73714.429999999993</v>
      </c>
    </row>
    <row r="48" spans="1:32">
      <c r="A48" s="143">
        <v>45335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>
        <v>9870.4</v>
      </c>
      <c r="M48" s="9"/>
      <c r="N48" s="9"/>
      <c r="O48" s="9"/>
      <c r="P48" s="9"/>
      <c r="Q48" s="9"/>
      <c r="R48" s="9"/>
      <c r="S48" s="9">
        <v>34394.239999999998</v>
      </c>
      <c r="T48" s="9">
        <v>17821.439999999999</v>
      </c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>
        <v>62086.080000000002</v>
      </c>
    </row>
    <row r="49" spans="1:32">
      <c r="A49" s="143">
        <v>45336</v>
      </c>
      <c r="B49" s="9"/>
      <c r="C49" s="9">
        <v>27216.22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>
        <v>2497.7399999999998</v>
      </c>
      <c r="O49" s="9">
        <v>14760.48</v>
      </c>
      <c r="P49" s="9">
        <v>10448.200000000001</v>
      </c>
      <c r="Q49" s="9"/>
      <c r="R49" s="9"/>
      <c r="S49" s="9"/>
      <c r="T49" s="9">
        <v>26059.200000000001</v>
      </c>
      <c r="U49" s="9"/>
      <c r="V49" s="9">
        <v>25160.15</v>
      </c>
      <c r="W49" s="9">
        <v>179.17</v>
      </c>
      <c r="X49" s="9"/>
      <c r="Y49" s="9"/>
      <c r="Z49" s="9">
        <v>2783.8</v>
      </c>
      <c r="AA49" s="9"/>
      <c r="AB49" s="9"/>
      <c r="AC49" s="9"/>
      <c r="AD49" s="9"/>
      <c r="AE49" s="9"/>
      <c r="AF49" s="9">
        <v>109104.95999999999</v>
      </c>
    </row>
    <row r="50" spans="1:32">
      <c r="A50" s="143">
        <v>45337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>
        <v>12097.8</v>
      </c>
      <c r="M50" s="9">
        <v>15007.5</v>
      </c>
      <c r="N50" s="9"/>
      <c r="O50" s="9"/>
      <c r="P50" s="9"/>
      <c r="Q50" s="9">
        <v>1640.1</v>
      </c>
      <c r="R50" s="9"/>
      <c r="S50" s="9"/>
      <c r="T50" s="9"/>
      <c r="U50" s="9"/>
      <c r="V50" s="9"/>
      <c r="W50" s="9"/>
      <c r="X50" s="9">
        <v>1766.06</v>
      </c>
      <c r="Y50" s="9"/>
      <c r="Z50" s="9"/>
      <c r="AA50" s="9">
        <v>18592.259999999998</v>
      </c>
      <c r="AB50" s="9"/>
      <c r="AC50" s="9"/>
      <c r="AD50" s="9">
        <v>34510.14</v>
      </c>
      <c r="AE50" s="9"/>
      <c r="AF50" s="9">
        <v>83613.86</v>
      </c>
    </row>
    <row r="51" spans="1:32">
      <c r="A51" s="143">
        <v>45338</v>
      </c>
      <c r="B51" s="9">
        <v>3257.1</v>
      </c>
      <c r="C51" s="9"/>
      <c r="D51" s="9"/>
      <c r="E51" s="9"/>
      <c r="F51" s="9"/>
      <c r="G51" s="9">
        <v>16925.12</v>
      </c>
      <c r="H51" s="9"/>
      <c r="I51" s="9">
        <v>5232</v>
      </c>
      <c r="J51" s="9"/>
      <c r="K51" s="9"/>
      <c r="L51" s="9"/>
      <c r="M51" s="9"/>
      <c r="N51" s="9">
        <v>35727.5</v>
      </c>
      <c r="O51" s="9"/>
      <c r="P51" s="9"/>
      <c r="Q51" s="9"/>
      <c r="R51" s="9"/>
      <c r="S51" s="9"/>
      <c r="T51" s="9"/>
      <c r="U51" s="9">
        <v>9361.56</v>
      </c>
      <c r="V51" s="9"/>
      <c r="W51" s="9"/>
      <c r="X51" s="9">
        <v>22014.9</v>
      </c>
      <c r="Y51" s="9"/>
      <c r="Z51" s="9"/>
      <c r="AA51" s="9"/>
      <c r="AB51" s="9"/>
      <c r="AC51" s="9"/>
      <c r="AD51" s="9"/>
      <c r="AE51" s="9"/>
      <c r="AF51" s="9">
        <v>92518.18</v>
      </c>
    </row>
    <row r="52" spans="1:32">
      <c r="A52" s="143">
        <v>45339</v>
      </c>
      <c r="B52" s="9"/>
      <c r="C52" s="9"/>
      <c r="D52" s="9"/>
      <c r="E52" s="9"/>
      <c r="F52" s="9"/>
      <c r="G52" s="9"/>
      <c r="H52" s="9">
        <v>44995.86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>
        <v>5734.3</v>
      </c>
      <c r="AA52" s="9"/>
      <c r="AB52" s="9"/>
      <c r="AC52" s="9"/>
      <c r="AD52" s="9"/>
      <c r="AE52" s="9"/>
      <c r="AF52" s="9">
        <v>50730.16</v>
      </c>
    </row>
    <row r="53" spans="1:32">
      <c r="A53" s="143">
        <v>45340</v>
      </c>
      <c r="B53" s="9"/>
      <c r="C53" s="9">
        <v>18676</v>
      </c>
      <c r="D53" s="9"/>
      <c r="E53" s="9"/>
      <c r="F53" s="9">
        <v>1462.88</v>
      </c>
      <c r="G53" s="9">
        <v>3410.32</v>
      </c>
      <c r="H53" s="9"/>
      <c r="I53" s="9"/>
      <c r="J53" s="9"/>
      <c r="K53" s="9"/>
      <c r="L53" s="9"/>
      <c r="M53" s="9"/>
      <c r="N53" s="9"/>
      <c r="O53" s="9"/>
      <c r="P53" s="9"/>
      <c r="Q53" s="9">
        <v>3590.4</v>
      </c>
      <c r="R53" s="9">
        <v>11546.08</v>
      </c>
      <c r="S53" s="9"/>
      <c r="T53" s="9"/>
      <c r="U53" s="9"/>
      <c r="V53" s="9"/>
      <c r="W53" s="9"/>
      <c r="X53" s="9"/>
      <c r="Y53" s="9"/>
      <c r="Z53" s="9"/>
      <c r="AA53" s="9"/>
      <c r="AB53" s="9"/>
      <c r="AC53" s="9">
        <v>9157.32</v>
      </c>
      <c r="AD53" s="9"/>
      <c r="AE53" s="9"/>
      <c r="AF53" s="9">
        <v>47843</v>
      </c>
    </row>
    <row r="54" spans="1:32">
      <c r="A54" s="143">
        <v>45341</v>
      </c>
      <c r="B54" s="9"/>
      <c r="C54" s="9">
        <v>33147</v>
      </c>
      <c r="D54" s="9"/>
      <c r="E54" s="9"/>
      <c r="F54" s="9"/>
      <c r="G54" s="9"/>
      <c r="H54" s="9"/>
      <c r="I54" s="9"/>
      <c r="J54" s="9"/>
      <c r="K54" s="9">
        <v>2019.6</v>
      </c>
      <c r="L54" s="9"/>
      <c r="M54" s="9"/>
      <c r="N54" s="9">
        <v>35101.599999999999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>
        <v>8202.06</v>
      </c>
      <c r="AC54" s="9"/>
      <c r="AD54" s="9"/>
      <c r="AE54" s="9"/>
      <c r="AF54" s="9">
        <v>78470.259999999995</v>
      </c>
    </row>
    <row r="55" spans="1:32">
      <c r="A55" s="143">
        <v>45342</v>
      </c>
      <c r="B55" s="9">
        <v>4938.8999999999996</v>
      </c>
      <c r="C55" s="9"/>
      <c r="D55" s="9"/>
      <c r="E55" s="9"/>
      <c r="F55" s="9"/>
      <c r="G55" s="9"/>
      <c r="H55" s="9"/>
      <c r="I55" s="9">
        <v>8601.6</v>
      </c>
      <c r="J55" s="9"/>
      <c r="K55" s="9"/>
      <c r="L55" s="9">
        <v>12084.8</v>
      </c>
      <c r="M55" s="9"/>
      <c r="N55" s="9"/>
      <c r="O55" s="9"/>
      <c r="P55" s="9">
        <v>15826.44</v>
      </c>
      <c r="Q55" s="9"/>
      <c r="R55" s="9"/>
      <c r="S55" s="9"/>
      <c r="T55" s="9"/>
      <c r="U55" s="9"/>
      <c r="V55" s="9">
        <v>3796</v>
      </c>
      <c r="W55" s="9"/>
      <c r="X55" s="9">
        <v>23454.76</v>
      </c>
      <c r="Y55" s="9"/>
      <c r="Z55" s="9"/>
      <c r="AA55" s="9"/>
      <c r="AB55" s="9"/>
      <c r="AC55" s="9"/>
      <c r="AD55" s="9"/>
      <c r="AE55" s="9"/>
      <c r="AF55" s="9">
        <v>68702.5</v>
      </c>
    </row>
    <row r="56" spans="1:32">
      <c r="A56" s="143">
        <v>45343</v>
      </c>
      <c r="B56" s="9">
        <v>15830.1</v>
      </c>
      <c r="C56" s="9"/>
      <c r="D56" s="9"/>
      <c r="E56" s="9"/>
      <c r="F56" s="9"/>
      <c r="G56" s="9"/>
      <c r="H56" s="9"/>
      <c r="I56" s="9">
        <v>1181.04</v>
      </c>
      <c r="J56" s="9">
        <v>5392.2</v>
      </c>
      <c r="K56" s="9"/>
      <c r="L56" s="9"/>
      <c r="M56" s="9"/>
      <c r="N56" s="9"/>
      <c r="O56" s="9"/>
      <c r="P56" s="9">
        <v>32451.3</v>
      </c>
      <c r="Q56" s="9">
        <v>42018.69</v>
      </c>
      <c r="R56" s="9"/>
      <c r="S56" s="9">
        <v>3488.28</v>
      </c>
      <c r="T56" s="9"/>
      <c r="U56" s="9"/>
      <c r="V56" s="9"/>
      <c r="W56" s="9"/>
      <c r="X56" s="9"/>
      <c r="Y56" s="9">
        <v>29719.200000000001</v>
      </c>
      <c r="Z56" s="9"/>
      <c r="AA56" s="9"/>
      <c r="AB56" s="9"/>
      <c r="AC56" s="9"/>
      <c r="AD56" s="9">
        <v>18440.52</v>
      </c>
      <c r="AE56" s="9"/>
      <c r="AF56" s="9">
        <v>148521.32999999999</v>
      </c>
    </row>
    <row r="57" spans="1:32">
      <c r="A57" s="143">
        <v>45344</v>
      </c>
      <c r="B57" s="9"/>
      <c r="C57" s="9">
        <v>17315.84</v>
      </c>
      <c r="D57" s="9"/>
      <c r="E57" s="9"/>
      <c r="F57" s="9">
        <v>18159.75</v>
      </c>
      <c r="G57" s="9"/>
      <c r="H57" s="9">
        <v>33098</v>
      </c>
      <c r="I57" s="9"/>
      <c r="J57" s="9">
        <v>9701.1200000000008</v>
      </c>
      <c r="K57" s="9"/>
      <c r="L57" s="9">
        <v>29450.7</v>
      </c>
      <c r="M57" s="9"/>
      <c r="N57" s="9"/>
      <c r="O57" s="9"/>
      <c r="P57" s="9"/>
      <c r="Q57" s="9">
        <v>25457.25</v>
      </c>
      <c r="R57" s="9"/>
      <c r="S57" s="9"/>
      <c r="T57" s="9"/>
      <c r="U57" s="9"/>
      <c r="V57" s="9"/>
      <c r="W57" s="9"/>
      <c r="X57" s="9"/>
      <c r="Y57" s="9">
        <v>7789.98</v>
      </c>
      <c r="Z57" s="9"/>
      <c r="AA57" s="9"/>
      <c r="AB57" s="9">
        <v>12787.5</v>
      </c>
      <c r="AC57" s="9"/>
      <c r="AD57" s="9"/>
      <c r="AE57" s="9"/>
      <c r="AF57" s="9">
        <v>153760.13999999998</v>
      </c>
    </row>
    <row r="58" spans="1:32">
      <c r="A58" s="143">
        <v>45345</v>
      </c>
      <c r="B58" s="9"/>
      <c r="C58" s="9"/>
      <c r="D58" s="9"/>
      <c r="E58" s="9"/>
      <c r="F58" s="9"/>
      <c r="G58" s="9"/>
      <c r="H58" s="9"/>
      <c r="I58" s="9"/>
      <c r="J58" s="9"/>
      <c r="K58" s="9">
        <v>20203.2</v>
      </c>
      <c r="L58" s="9"/>
      <c r="M58" s="9"/>
      <c r="N58" s="9">
        <v>297.89999999999998</v>
      </c>
      <c r="O58" s="9"/>
      <c r="P58" s="9"/>
      <c r="Q58" s="9"/>
      <c r="R58" s="9"/>
      <c r="S58" s="9"/>
      <c r="T58" s="9"/>
      <c r="U58" s="9"/>
      <c r="V58" s="9"/>
      <c r="W58" s="9">
        <v>13494.6</v>
      </c>
      <c r="X58" s="9"/>
      <c r="Y58" s="9"/>
      <c r="Z58" s="9"/>
      <c r="AA58" s="9"/>
      <c r="AB58" s="9"/>
      <c r="AC58" s="9"/>
      <c r="AD58" s="9"/>
      <c r="AE58" s="9"/>
      <c r="AF58" s="9">
        <v>33995.700000000004</v>
      </c>
    </row>
    <row r="59" spans="1:32">
      <c r="A59" s="143">
        <v>45346</v>
      </c>
      <c r="B59" s="9">
        <v>4258.3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>
        <v>1789.44</v>
      </c>
      <c r="N59" s="9"/>
      <c r="O59" s="9"/>
      <c r="P59" s="9"/>
      <c r="Q59" s="9"/>
      <c r="R59" s="9"/>
      <c r="S59" s="9"/>
      <c r="T59" s="9"/>
      <c r="U59" s="9">
        <v>1823.6</v>
      </c>
      <c r="V59" s="9">
        <v>43017.64</v>
      </c>
      <c r="W59" s="9"/>
      <c r="X59" s="9"/>
      <c r="Y59" s="9">
        <v>1113</v>
      </c>
      <c r="Z59" s="9"/>
      <c r="AA59" s="9"/>
      <c r="AB59" s="9"/>
      <c r="AC59" s="9"/>
      <c r="AD59" s="9"/>
      <c r="AE59" s="9">
        <v>3564</v>
      </c>
      <c r="AF59" s="9">
        <v>55565.979999999996</v>
      </c>
    </row>
    <row r="60" spans="1:32">
      <c r="A60" s="143">
        <v>45347</v>
      </c>
      <c r="B60" s="9"/>
      <c r="C60" s="9"/>
      <c r="D60" s="9"/>
      <c r="E60" s="9">
        <v>22905.96</v>
      </c>
      <c r="F60" s="9"/>
      <c r="G60" s="9"/>
      <c r="H60" s="9"/>
      <c r="I60" s="9"/>
      <c r="J60" s="9"/>
      <c r="K60" s="9"/>
      <c r="L60" s="9"/>
      <c r="M60" s="9"/>
      <c r="N60" s="9">
        <v>2972.43</v>
      </c>
      <c r="O60" s="9"/>
      <c r="P60" s="9"/>
      <c r="Q60" s="9"/>
      <c r="R60" s="9"/>
      <c r="S60" s="9"/>
      <c r="T60" s="9"/>
      <c r="U60" s="9">
        <v>2670.66</v>
      </c>
      <c r="V60" s="9">
        <v>16832.060000000001</v>
      </c>
      <c r="W60" s="9"/>
      <c r="X60" s="9"/>
      <c r="Y60" s="9">
        <v>17688</v>
      </c>
      <c r="Z60" s="9"/>
      <c r="AA60" s="9"/>
      <c r="AB60" s="9"/>
      <c r="AC60" s="9">
        <v>4416</v>
      </c>
      <c r="AD60" s="9"/>
      <c r="AE60" s="9"/>
      <c r="AF60" s="9">
        <v>67485.11</v>
      </c>
    </row>
    <row r="61" spans="1:32">
      <c r="A61" s="143">
        <v>45348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>
        <v>18351.900000000001</v>
      </c>
      <c r="M61" s="9">
        <v>20424.509999999998</v>
      </c>
      <c r="N61" s="9"/>
      <c r="O61" s="9"/>
      <c r="P61" s="9"/>
      <c r="Q61" s="9"/>
      <c r="R61" s="9"/>
      <c r="S61" s="9">
        <v>27948.06</v>
      </c>
      <c r="T61" s="9"/>
      <c r="U61" s="9"/>
      <c r="V61" s="9"/>
      <c r="W61" s="9"/>
      <c r="X61" s="9">
        <v>262.5</v>
      </c>
      <c r="Y61" s="9"/>
      <c r="Z61" s="9"/>
      <c r="AA61" s="9"/>
      <c r="AB61" s="9"/>
      <c r="AC61" s="9"/>
      <c r="AD61" s="9"/>
      <c r="AE61" s="9"/>
      <c r="AF61" s="9">
        <v>66986.97</v>
      </c>
    </row>
    <row r="62" spans="1:32">
      <c r="A62" s="143">
        <v>45349</v>
      </c>
      <c r="B62" s="9">
        <v>4510.5</v>
      </c>
      <c r="C62" s="9"/>
      <c r="D62" s="9"/>
      <c r="E62" s="9"/>
      <c r="F62" s="9"/>
      <c r="G62" s="9">
        <v>14246.55</v>
      </c>
      <c r="H62" s="9"/>
      <c r="I62" s="9"/>
      <c r="J62" s="9">
        <v>10842.23</v>
      </c>
      <c r="K62" s="9"/>
      <c r="L62" s="9"/>
      <c r="M62" s="9"/>
      <c r="N62" s="9"/>
      <c r="O62" s="9"/>
      <c r="P62" s="9"/>
      <c r="Q62" s="9"/>
      <c r="R62" s="9"/>
      <c r="S62" s="9">
        <v>21522.06</v>
      </c>
      <c r="T62" s="9"/>
      <c r="U62" s="9"/>
      <c r="V62" s="9"/>
      <c r="W62" s="9"/>
      <c r="X62" s="9"/>
      <c r="Y62" s="9"/>
      <c r="Z62" s="9">
        <v>2064.6</v>
      </c>
      <c r="AA62" s="9"/>
      <c r="AB62" s="9"/>
      <c r="AC62" s="9"/>
      <c r="AD62" s="9"/>
      <c r="AE62" s="9"/>
      <c r="AF62" s="9">
        <v>53185.939999999995</v>
      </c>
    </row>
    <row r="63" spans="1:32">
      <c r="A63" s="143">
        <v>45350</v>
      </c>
      <c r="B63" s="9"/>
      <c r="C63" s="9">
        <v>24651.200000000001</v>
      </c>
      <c r="D63" s="9"/>
      <c r="E63" s="9"/>
      <c r="F63" s="9"/>
      <c r="G63" s="9"/>
      <c r="H63" s="9"/>
      <c r="I63" s="9">
        <v>5686.56</v>
      </c>
      <c r="J63" s="9"/>
      <c r="K63" s="9"/>
      <c r="L63" s="9">
        <v>15328.5</v>
      </c>
      <c r="M63" s="9">
        <v>43100.85</v>
      </c>
      <c r="N63" s="9"/>
      <c r="O63" s="9">
        <v>4595.28</v>
      </c>
      <c r="P63" s="9">
        <v>9025.9599999999991</v>
      </c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>
        <v>102388.35</v>
      </c>
    </row>
    <row r="64" spans="1:32">
      <c r="A64" s="143">
        <v>45351</v>
      </c>
      <c r="B64" s="9"/>
      <c r="C64" s="9"/>
      <c r="D64" s="9"/>
      <c r="E64" s="9"/>
      <c r="F64" s="9"/>
      <c r="G64" s="9"/>
      <c r="H64" s="9">
        <v>32544.480000000003</v>
      </c>
      <c r="I64" s="9"/>
      <c r="J64" s="9"/>
      <c r="K64" s="9"/>
      <c r="L64" s="9"/>
      <c r="M64" s="9"/>
      <c r="N64" s="9">
        <v>18697.14</v>
      </c>
      <c r="O64" s="9">
        <v>28280.7</v>
      </c>
      <c r="P64" s="9"/>
      <c r="Q64" s="9">
        <v>9133.08</v>
      </c>
      <c r="R64" s="9"/>
      <c r="S64" s="9">
        <v>10388.4</v>
      </c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>
        <v>99043.8</v>
      </c>
    </row>
    <row r="65" spans="1:32">
      <c r="A65" s="143">
        <v>45352</v>
      </c>
      <c r="B65" s="9"/>
      <c r="C65" s="9">
        <v>3286.92</v>
      </c>
      <c r="D65" s="9"/>
      <c r="E65" s="9"/>
      <c r="F65" s="9"/>
      <c r="G65" s="9"/>
      <c r="H65" s="9"/>
      <c r="I65" s="9">
        <v>56568.959999999999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>
        <v>53952.73</v>
      </c>
      <c r="V65" s="9"/>
      <c r="W65" s="9"/>
      <c r="X65" s="9"/>
      <c r="Y65" s="9">
        <v>1306.5</v>
      </c>
      <c r="Z65" s="9"/>
      <c r="AA65" s="9">
        <v>12337.92</v>
      </c>
      <c r="AB65" s="9"/>
      <c r="AC65" s="9"/>
      <c r="AD65" s="9"/>
      <c r="AE65" s="9"/>
      <c r="AF65" s="9">
        <v>127453.03</v>
      </c>
    </row>
    <row r="66" spans="1:32">
      <c r="A66" s="143">
        <v>45353</v>
      </c>
      <c r="B66" s="9"/>
      <c r="C66" s="9"/>
      <c r="D66" s="9"/>
      <c r="E66" s="9"/>
      <c r="F66" s="9">
        <v>12186.05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>
        <v>23286.42</v>
      </c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>
        <v>35472.47</v>
      </c>
    </row>
    <row r="67" spans="1:32">
      <c r="A67" s="143">
        <v>45354</v>
      </c>
      <c r="B67" s="9"/>
      <c r="C67" s="9"/>
      <c r="D67" s="9"/>
      <c r="E67" s="9"/>
      <c r="F67" s="9"/>
      <c r="G67" s="9"/>
      <c r="H67" s="9">
        <v>24360.959999999999</v>
      </c>
      <c r="I67" s="9"/>
      <c r="J67" s="9"/>
      <c r="K67" s="9"/>
      <c r="L67" s="9"/>
      <c r="M67" s="9"/>
      <c r="N67" s="9"/>
      <c r="O67" s="9">
        <v>8769.2800000000007</v>
      </c>
      <c r="P67" s="9"/>
      <c r="Q67" s="9"/>
      <c r="R67" s="9"/>
      <c r="S67" s="9"/>
      <c r="T67" s="9">
        <v>19493.759999999998</v>
      </c>
      <c r="U67" s="9">
        <v>28024.5</v>
      </c>
      <c r="V67" s="9"/>
      <c r="W67" s="9"/>
      <c r="X67" s="9"/>
      <c r="Y67" s="9"/>
      <c r="Z67" s="9"/>
      <c r="AA67" s="9"/>
      <c r="AB67" s="9"/>
      <c r="AC67" s="9"/>
      <c r="AD67" s="9"/>
      <c r="AE67" s="9">
        <v>9802</v>
      </c>
      <c r="AF67" s="9">
        <v>90450.5</v>
      </c>
    </row>
    <row r="68" spans="1:32">
      <c r="A68" s="143">
        <v>45355</v>
      </c>
      <c r="B68" s="9"/>
      <c r="C68" s="9"/>
      <c r="D68" s="9"/>
      <c r="E68" s="9"/>
      <c r="F68" s="9"/>
      <c r="G68" s="9"/>
      <c r="H68" s="9"/>
      <c r="I68" s="9"/>
      <c r="J68" s="9">
        <v>5547.6</v>
      </c>
      <c r="K68" s="9"/>
      <c r="L68" s="9"/>
      <c r="M68" s="9"/>
      <c r="N68" s="9"/>
      <c r="O68" s="9">
        <v>2422.42</v>
      </c>
      <c r="P68" s="9">
        <v>14011.2</v>
      </c>
      <c r="Q68" s="9"/>
      <c r="R68" s="9"/>
      <c r="S68" s="9"/>
      <c r="T68" s="9"/>
      <c r="U68" s="9">
        <v>5285.28</v>
      </c>
      <c r="V68" s="9"/>
      <c r="W68" s="9"/>
      <c r="X68" s="9"/>
      <c r="Y68" s="9"/>
      <c r="Z68" s="9"/>
      <c r="AA68" s="9"/>
      <c r="AB68" s="9"/>
      <c r="AC68" s="9">
        <v>3864.48</v>
      </c>
      <c r="AD68" s="9"/>
      <c r="AE68" s="9"/>
      <c r="AF68" s="9">
        <v>31130.98</v>
      </c>
    </row>
    <row r="69" spans="1:32">
      <c r="A69" s="143">
        <v>45356</v>
      </c>
      <c r="B69" s="9"/>
      <c r="C69" s="9"/>
      <c r="D69" s="9">
        <v>2085.81</v>
      </c>
      <c r="E69" s="9"/>
      <c r="F69" s="9"/>
      <c r="G69" s="9"/>
      <c r="H69" s="9"/>
      <c r="I69" s="9"/>
      <c r="J69" s="9"/>
      <c r="K69" s="9"/>
      <c r="L69" s="9">
        <v>15713.02</v>
      </c>
      <c r="M69" s="9"/>
      <c r="N69" s="9"/>
      <c r="O69" s="9"/>
      <c r="P69" s="9"/>
      <c r="Q69" s="9"/>
      <c r="R69" s="9"/>
      <c r="S69" s="9">
        <v>25461</v>
      </c>
      <c r="T69" s="9"/>
      <c r="U69" s="9"/>
      <c r="V69" s="9"/>
      <c r="W69" s="9"/>
      <c r="X69" s="9"/>
      <c r="Y69" s="9"/>
      <c r="Z69" s="9">
        <v>28249.48</v>
      </c>
      <c r="AA69" s="9"/>
      <c r="AB69" s="9"/>
      <c r="AC69" s="9"/>
      <c r="AD69" s="9"/>
      <c r="AE69" s="9"/>
      <c r="AF69" s="9">
        <v>71509.31</v>
      </c>
    </row>
    <row r="70" spans="1:32">
      <c r="A70" s="143">
        <v>45357</v>
      </c>
      <c r="B70" s="9"/>
      <c r="C70" s="9">
        <v>12099.2</v>
      </c>
      <c r="D70" s="9"/>
      <c r="E70" s="9"/>
      <c r="F70" s="9"/>
      <c r="G70" s="9"/>
      <c r="H70" s="9"/>
      <c r="I70" s="9"/>
      <c r="J70" s="9">
        <v>5231.9400000000005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>
        <v>15397.2</v>
      </c>
      <c r="X70" s="9"/>
      <c r="Y70" s="9"/>
      <c r="Z70" s="9"/>
      <c r="AA70" s="9"/>
      <c r="AB70" s="9"/>
      <c r="AC70" s="9"/>
      <c r="AD70" s="9">
        <v>5337.36</v>
      </c>
      <c r="AE70" s="9"/>
      <c r="AF70" s="9">
        <v>38065.699999999997</v>
      </c>
    </row>
    <row r="71" spans="1:32">
      <c r="A71" s="143">
        <v>45358</v>
      </c>
      <c r="B71" s="9"/>
      <c r="C71" s="9"/>
      <c r="D71" s="9">
        <v>16773.900000000001</v>
      </c>
      <c r="E71" s="9"/>
      <c r="F71" s="9">
        <v>35444.160000000003</v>
      </c>
      <c r="G71" s="9">
        <v>32428</v>
      </c>
      <c r="H71" s="9"/>
      <c r="I71" s="9">
        <v>30486.78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>
        <v>15572.75</v>
      </c>
      <c r="W71" s="9"/>
      <c r="X71" s="9"/>
      <c r="Y71" s="9"/>
      <c r="Z71" s="9">
        <v>29213.360000000001</v>
      </c>
      <c r="AA71" s="9">
        <v>6646.56</v>
      </c>
      <c r="AB71" s="9"/>
      <c r="AC71" s="9"/>
      <c r="AD71" s="9"/>
      <c r="AE71" s="9">
        <v>20049.75</v>
      </c>
      <c r="AF71" s="9">
        <v>186615.26</v>
      </c>
    </row>
    <row r="72" spans="1:32">
      <c r="A72" s="143">
        <v>45359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>
        <v>4884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>
        <v>4884</v>
      </c>
    </row>
    <row r="73" spans="1:32">
      <c r="A73" s="143">
        <v>45360</v>
      </c>
      <c r="B73" s="9"/>
      <c r="C73" s="9"/>
      <c r="D73" s="9"/>
      <c r="E73" s="9"/>
      <c r="F73" s="9"/>
      <c r="G73" s="9"/>
      <c r="H73" s="9"/>
      <c r="I73" s="9">
        <v>5537.28</v>
      </c>
      <c r="J73" s="9"/>
      <c r="K73" s="9"/>
      <c r="L73" s="9">
        <v>10273.83</v>
      </c>
      <c r="M73" s="9"/>
      <c r="N73" s="9"/>
      <c r="O73" s="9"/>
      <c r="P73" s="9">
        <v>38749.1</v>
      </c>
      <c r="Q73" s="9">
        <v>9377.68</v>
      </c>
      <c r="R73" s="9">
        <v>8559.32</v>
      </c>
      <c r="S73" s="9"/>
      <c r="T73" s="9"/>
      <c r="U73" s="9"/>
      <c r="V73" s="9"/>
      <c r="W73" s="9">
        <v>16501.68</v>
      </c>
      <c r="X73" s="9"/>
      <c r="Y73" s="9">
        <v>29525.16</v>
      </c>
      <c r="Z73" s="9"/>
      <c r="AA73" s="9"/>
      <c r="AB73" s="9"/>
      <c r="AC73" s="9"/>
      <c r="AD73" s="9"/>
      <c r="AE73" s="9">
        <v>17171.7</v>
      </c>
      <c r="AF73" s="9">
        <v>135695.75</v>
      </c>
    </row>
    <row r="74" spans="1:32">
      <c r="A74" s="143">
        <v>45361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>
        <v>30785.58</v>
      </c>
      <c r="W74" s="9"/>
      <c r="X74" s="9"/>
      <c r="Y74" s="9"/>
      <c r="Z74" s="9">
        <v>3083.67</v>
      </c>
      <c r="AA74" s="9"/>
      <c r="AB74" s="9"/>
      <c r="AC74" s="9"/>
      <c r="AD74" s="9"/>
      <c r="AE74" s="9"/>
      <c r="AF74" s="9">
        <v>33869.25</v>
      </c>
    </row>
    <row r="75" spans="1:32">
      <c r="A75" s="143">
        <v>45362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>
        <v>13261.8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>
        <v>10444.719999999999</v>
      </c>
      <c r="AB75" s="9"/>
      <c r="AC75" s="9"/>
      <c r="AD75" s="9">
        <v>19785.599999999999</v>
      </c>
      <c r="AE75" s="9"/>
      <c r="AF75" s="9">
        <v>43492.119999999995</v>
      </c>
    </row>
    <row r="76" spans="1:32">
      <c r="A76" s="143">
        <v>45363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>
        <v>5941.4</v>
      </c>
      <c r="N76" s="9"/>
      <c r="O76" s="9"/>
      <c r="P76" s="9"/>
      <c r="Q76" s="9"/>
      <c r="R76" s="9"/>
      <c r="S76" s="9"/>
      <c r="T76" s="9"/>
      <c r="U76" s="9">
        <v>38234.699999999997</v>
      </c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>
        <v>44176.1</v>
      </c>
    </row>
    <row r="77" spans="1:32">
      <c r="A77" s="143">
        <v>45364</v>
      </c>
      <c r="B77" s="9"/>
      <c r="C77" s="9"/>
      <c r="D77" s="9"/>
      <c r="E77" s="9"/>
      <c r="F77" s="9"/>
      <c r="G77" s="9">
        <v>33850.81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>
        <v>10114.719999999999</v>
      </c>
      <c r="S77" s="9"/>
      <c r="T77" s="9"/>
      <c r="U77" s="9"/>
      <c r="V77" s="9"/>
      <c r="W77" s="9"/>
      <c r="X77" s="9">
        <v>19947.900000000001</v>
      </c>
      <c r="Y77" s="9"/>
      <c r="Z77" s="9">
        <v>2374.56</v>
      </c>
      <c r="AA77" s="9">
        <v>4632.5</v>
      </c>
      <c r="AB77" s="9"/>
      <c r="AC77" s="9">
        <v>18574.5</v>
      </c>
      <c r="AD77" s="9"/>
      <c r="AE77" s="9"/>
      <c r="AF77" s="9">
        <v>89494.99</v>
      </c>
    </row>
    <row r="78" spans="1:32">
      <c r="A78" s="143">
        <v>45365</v>
      </c>
      <c r="B78" s="9"/>
      <c r="C78" s="9"/>
      <c r="D78" s="9">
        <v>150.66999999999999</v>
      </c>
      <c r="E78" s="9"/>
      <c r="F78" s="9"/>
      <c r="G78" s="9"/>
      <c r="H78" s="9"/>
      <c r="I78" s="9">
        <v>13627.39</v>
      </c>
      <c r="J78" s="9">
        <v>6137.19</v>
      </c>
      <c r="K78" s="9"/>
      <c r="L78" s="9">
        <v>6237.96</v>
      </c>
      <c r="M78" s="9"/>
      <c r="N78" s="9"/>
      <c r="O78" s="9"/>
      <c r="P78" s="9">
        <v>949.44</v>
      </c>
      <c r="Q78" s="9"/>
      <c r="R78" s="9">
        <v>9707.0400000000009</v>
      </c>
      <c r="S78" s="9">
        <v>3569.32</v>
      </c>
      <c r="T78" s="9"/>
      <c r="U78" s="9"/>
      <c r="V78" s="9"/>
      <c r="W78" s="9"/>
      <c r="X78" s="9"/>
      <c r="Y78" s="9">
        <v>3163.86</v>
      </c>
      <c r="Z78" s="9"/>
      <c r="AA78" s="9"/>
      <c r="AB78" s="9"/>
      <c r="AC78" s="9"/>
      <c r="AD78" s="9"/>
      <c r="AE78" s="9"/>
      <c r="AF78" s="9">
        <v>43542.87</v>
      </c>
    </row>
    <row r="79" spans="1:32">
      <c r="A79" s="143">
        <v>45366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>
        <v>14127.75</v>
      </c>
      <c r="Q79" s="9"/>
      <c r="R79" s="9">
        <v>44798.400000000001</v>
      </c>
      <c r="S79" s="9"/>
      <c r="T79" s="9"/>
      <c r="U79" s="9">
        <v>24966.720000000001</v>
      </c>
      <c r="V79" s="9"/>
      <c r="W79" s="9"/>
      <c r="X79" s="9"/>
      <c r="Y79" s="9"/>
      <c r="Z79" s="9"/>
      <c r="AA79" s="9"/>
      <c r="AB79" s="9"/>
      <c r="AC79" s="9"/>
      <c r="AD79" s="9"/>
      <c r="AE79" s="9">
        <v>9412.5</v>
      </c>
      <c r="AF79" s="9">
        <v>93305.37</v>
      </c>
    </row>
    <row r="80" spans="1:32">
      <c r="A80" s="143">
        <v>45367</v>
      </c>
      <c r="B80" s="9"/>
      <c r="C80" s="9"/>
      <c r="D80" s="9"/>
      <c r="E80" s="9"/>
      <c r="F80" s="9">
        <v>6366.36</v>
      </c>
      <c r="G80" s="9">
        <v>18627.84</v>
      </c>
      <c r="H80" s="9"/>
      <c r="I80" s="9">
        <v>6975.98</v>
      </c>
      <c r="J80" s="9">
        <v>2213.66</v>
      </c>
      <c r="K80" s="9"/>
      <c r="L80" s="9">
        <v>7194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>
        <v>31191.16</v>
      </c>
      <c r="AC80" s="9"/>
      <c r="AD80" s="9"/>
      <c r="AE80" s="9"/>
      <c r="AF80" s="9">
        <v>72569</v>
      </c>
    </row>
    <row r="81" spans="1:32">
      <c r="A81" s="143">
        <v>45368</v>
      </c>
      <c r="B81" s="9"/>
      <c r="C81" s="9"/>
      <c r="D81" s="9"/>
      <c r="E81" s="9"/>
      <c r="F81" s="9"/>
      <c r="G81" s="9">
        <v>20257.52</v>
      </c>
      <c r="H81" s="9">
        <v>34231.68</v>
      </c>
      <c r="I81" s="9"/>
      <c r="J81" s="9"/>
      <c r="K81" s="9"/>
      <c r="L81" s="9"/>
      <c r="M81" s="9"/>
      <c r="N81" s="9"/>
      <c r="O81" s="9"/>
      <c r="P81" s="9"/>
      <c r="Q81" s="9">
        <v>21058.799999999999</v>
      </c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>
        <v>75548</v>
      </c>
    </row>
    <row r="82" spans="1:32">
      <c r="A82" s="143">
        <v>45369</v>
      </c>
      <c r="B82" s="9">
        <v>40784.85</v>
      </c>
      <c r="C82" s="9"/>
      <c r="D82" s="9"/>
      <c r="E82" s="9">
        <v>14394.38</v>
      </c>
      <c r="F82" s="9"/>
      <c r="G82" s="9"/>
      <c r="H82" s="9"/>
      <c r="I82" s="9"/>
      <c r="J82" s="9"/>
      <c r="K82" s="9"/>
      <c r="L82" s="9"/>
      <c r="M82" s="9"/>
      <c r="N82" s="9"/>
      <c r="O82" s="9">
        <v>6106.24</v>
      </c>
      <c r="P82" s="9"/>
      <c r="Q82" s="9"/>
      <c r="R82" s="9"/>
      <c r="S82" s="9">
        <v>11345.46</v>
      </c>
      <c r="T82" s="9"/>
      <c r="U82" s="9"/>
      <c r="V82" s="9">
        <v>37017.96</v>
      </c>
      <c r="W82" s="9"/>
      <c r="X82" s="9"/>
      <c r="Y82" s="9"/>
      <c r="Z82" s="9">
        <v>4520.2</v>
      </c>
      <c r="AA82" s="9">
        <v>3990.6</v>
      </c>
      <c r="AB82" s="9"/>
      <c r="AC82" s="9"/>
      <c r="AD82" s="9"/>
      <c r="AE82" s="9"/>
      <c r="AF82" s="9">
        <v>118159.68999999999</v>
      </c>
    </row>
    <row r="83" spans="1:32">
      <c r="A83" s="143">
        <v>45370</v>
      </c>
      <c r="B83" s="9"/>
      <c r="C83" s="9"/>
      <c r="D83" s="9">
        <v>36771.839999999997</v>
      </c>
      <c r="E83" s="9"/>
      <c r="F83" s="9">
        <v>30330.720000000001</v>
      </c>
      <c r="G83" s="9"/>
      <c r="H83" s="9"/>
      <c r="I83" s="9">
        <v>27428.7</v>
      </c>
      <c r="J83" s="9"/>
      <c r="K83" s="9"/>
      <c r="L83" s="9"/>
      <c r="M83" s="9">
        <v>2627.88</v>
      </c>
      <c r="N83" s="9">
        <v>14432.32</v>
      </c>
      <c r="O83" s="9"/>
      <c r="P83" s="9"/>
      <c r="Q83" s="9">
        <v>25475.52</v>
      </c>
      <c r="R83" s="9"/>
      <c r="S83" s="9">
        <v>11219.84</v>
      </c>
      <c r="T83" s="9">
        <v>13047.9</v>
      </c>
      <c r="U83" s="9">
        <v>1454.4</v>
      </c>
      <c r="V83" s="9"/>
      <c r="W83" s="9"/>
      <c r="X83" s="9"/>
      <c r="Y83" s="9"/>
      <c r="Z83" s="9">
        <v>16001.1</v>
      </c>
      <c r="AA83" s="9"/>
      <c r="AB83" s="9"/>
      <c r="AC83" s="9"/>
      <c r="AD83" s="9">
        <v>13501.53</v>
      </c>
      <c r="AE83" s="9"/>
      <c r="AF83" s="9">
        <v>192291.74999999997</v>
      </c>
    </row>
    <row r="84" spans="1:32">
      <c r="A84" s="143">
        <v>45371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>
        <v>3635.92</v>
      </c>
      <c r="P84" s="9"/>
      <c r="Q84" s="9"/>
      <c r="R84" s="9">
        <v>18678.849999999999</v>
      </c>
      <c r="S84" s="9"/>
      <c r="T84" s="9"/>
      <c r="U84" s="9"/>
      <c r="V84" s="9"/>
      <c r="W84" s="9"/>
      <c r="X84" s="9">
        <v>8639.68</v>
      </c>
      <c r="Y84" s="9"/>
      <c r="Z84" s="9">
        <v>1321.17</v>
      </c>
      <c r="AA84" s="9"/>
      <c r="AB84" s="9"/>
      <c r="AC84" s="9">
        <v>22440.6</v>
      </c>
      <c r="AD84" s="9"/>
      <c r="AE84" s="9"/>
      <c r="AF84" s="9">
        <v>54716.219999999994</v>
      </c>
    </row>
    <row r="85" spans="1:32">
      <c r="A85" s="143">
        <v>45372</v>
      </c>
      <c r="B85" s="9"/>
      <c r="C85" s="9">
        <v>2499.84</v>
      </c>
      <c r="D85" s="9"/>
      <c r="E85" s="9"/>
      <c r="F85" s="9">
        <v>1526.14</v>
      </c>
      <c r="G85" s="9">
        <v>39687.760000000002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>
        <v>12534.48</v>
      </c>
      <c r="Y85" s="9">
        <v>1584</v>
      </c>
      <c r="Z85" s="9"/>
      <c r="AA85" s="9"/>
      <c r="AB85" s="9"/>
      <c r="AC85" s="9"/>
      <c r="AD85" s="9"/>
      <c r="AE85" s="9"/>
      <c r="AF85" s="9">
        <v>57832.22</v>
      </c>
    </row>
    <row r="86" spans="1:32">
      <c r="A86" s="143">
        <v>45373</v>
      </c>
      <c r="B86" s="9"/>
      <c r="C86" s="9"/>
      <c r="D86" s="9">
        <v>16181.1</v>
      </c>
      <c r="E86" s="9"/>
      <c r="F86" s="9"/>
      <c r="G86" s="9"/>
      <c r="H86" s="9">
        <v>21304.400000000001</v>
      </c>
      <c r="I86" s="9"/>
      <c r="J86" s="9"/>
      <c r="K86" s="9"/>
      <c r="L86" s="9"/>
      <c r="M86" s="9"/>
      <c r="N86" s="9">
        <v>40736.519999999997</v>
      </c>
      <c r="O86" s="9"/>
      <c r="P86" s="9"/>
      <c r="Q86" s="9">
        <v>36844</v>
      </c>
      <c r="R86" s="9"/>
      <c r="S86" s="9"/>
      <c r="T86" s="9">
        <v>4101.92</v>
      </c>
      <c r="U86" s="9"/>
      <c r="V86" s="9">
        <v>12824.63</v>
      </c>
      <c r="W86" s="9"/>
      <c r="X86" s="9"/>
      <c r="Y86" s="9"/>
      <c r="Z86" s="9">
        <v>13002</v>
      </c>
      <c r="AA86" s="9"/>
      <c r="AB86" s="9">
        <v>5372.64</v>
      </c>
      <c r="AC86" s="9">
        <v>20618</v>
      </c>
      <c r="AD86" s="9"/>
      <c r="AE86" s="9"/>
      <c r="AF86" s="9">
        <v>170985.21</v>
      </c>
    </row>
    <row r="87" spans="1:32">
      <c r="A87" s="143">
        <v>45374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>
        <v>26637.66</v>
      </c>
      <c r="P87" s="9"/>
      <c r="Q87" s="9">
        <v>48920.4</v>
      </c>
      <c r="R87" s="9"/>
      <c r="S87" s="9"/>
      <c r="T87" s="9">
        <v>1877.76</v>
      </c>
      <c r="U87" s="9"/>
      <c r="V87" s="9"/>
      <c r="W87" s="9">
        <v>3996.72</v>
      </c>
      <c r="X87" s="9">
        <v>15733.12</v>
      </c>
      <c r="Y87" s="9"/>
      <c r="Z87" s="9"/>
      <c r="AA87" s="9"/>
      <c r="AB87" s="9"/>
      <c r="AC87" s="9"/>
      <c r="AD87" s="9"/>
      <c r="AE87" s="9"/>
      <c r="AF87" s="9">
        <v>97165.659999999989</v>
      </c>
    </row>
    <row r="88" spans="1:32">
      <c r="A88" s="143">
        <v>45375</v>
      </c>
      <c r="B88" s="9"/>
      <c r="C88" s="9"/>
      <c r="D88" s="9">
        <v>19190.82</v>
      </c>
      <c r="E88" s="9"/>
      <c r="F88" s="9"/>
      <c r="G88" s="9"/>
      <c r="H88" s="9"/>
      <c r="I88" s="9">
        <v>13355.2</v>
      </c>
      <c r="J88" s="9"/>
      <c r="K88" s="9"/>
      <c r="L88" s="9"/>
      <c r="M88" s="9"/>
      <c r="N88" s="9"/>
      <c r="O88" s="9"/>
      <c r="P88" s="9"/>
      <c r="Q88" s="9">
        <v>1671.6</v>
      </c>
      <c r="R88" s="9"/>
      <c r="S88" s="9"/>
      <c r="T88" s="9"/>
      <c r="U88" s="9">
        <v>29119.95</v>
      </c>
      <c r="V88" s="9">
        <v>4484.7</v>
      </c>
      <c r="W88" s="9">
        <v>13264.56</v>
      </c>
      <c r="X88" s="9"/>
      <c r="Y88" s="9"/>
      <c r="Z88" s="9"/>
      <c r="AA88" s="9"/>
      <c r="AB88" s="9"/>
      <c r="AC88" s="9"/>
      <c r="AD88" s="9"/>
      <c r="AE88" s="9"/>
      <c r="AF88" s="9">
        <v>81086.83</v>
      </c>
    </row>
    <row r="89" spans="1:32">
      <c r="A89" s="143">
        <v>45376</v>
      </c>
      <c r="B89" s="9"/>
      <c r="C89" s="9"/>
      <c r="D89" s="9">
        <v>3987.06</v>
      </c>
      <c r="E89" s="9"/>
      <c r="F89" s="9"/>
      <c r="G89" s="9">
        <v>583.20000000000005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>
        <v>18806.2</v>
      </c>
      <c r="U89" s="9"/>
      <c r="V89" s="9"/>
      <c r="W89" s="9"/>
      <c r="X89" s="9"/>
      <c r="Y89" s="9"/>
      <c r="Z89" s="9"/>
      <c r="AA89" s="9">
        <v>26944.5</v>
      </c>
      <c r="AB89" s="9"/>
      <c r="AC89" s="9"/>
      <c r="AD89" s="9"/>
      <c r="AE89" s="9"/>
      <c r="AF89" s="9">
        <v>50320.959999999999</v>
      </c>
    </row>
    <row r="90" spans="1:32">
      <c r="A90" s="143">
        <v>45377</v>
      </c>
      <c r="B90" s="9"/>
      <c r="C90" s="9"/>
      <c r="D90" s="9">
        <v>7068</v>
      </c>
      <c r="E90" s="9"/>
      <c r="F90" s="9"/>
      <c r="G90" s="9"/>
      <c r="H90" s="9">
        <v>19469.79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>
        <v>11627</v>
      </c>
      <c r="U90" s="9"/>
      <c r="V90" s="9"/>
      <c r="W90" s="9"/>
      <c r="X90" s="9"/>
      <c r="Y90" s="9"/>
      <c r="Z90" s="9"/>
      <c r="AA90" s="9"/>
      <c r="AB90" s="9"/>
      <c r="AC90" s="9"/>
      <c r="AD90" s="9">
        <v>14378</v>
      </c>
      <c r="AE90" s="9">
        <v>63457.83</v>
      </c>
      <c r="AF90" s="9">
        <v>116000.62</v>
      </c>
    </row>
    <row r="91" spans="1:32">
      <c r="A91" s="143">
        <v>45378</v>
      </c>
      <c r="B91" s="9"/>
      <c r="C91" s="9"/>
      <c r="D91" s="9">
        <v>5280.03</v>
      </c>
      <c r="E91" s="9"/>
      <c r="F91" s="9"/>
      <c r="G91" s="9"/>
      <c r="H91" s="9"/>
      <c r="I91" s="9"/>
      <c r="J91" s="9"/>
      <c r="K91" s="9"/>
      <c r="L91" s="9"/>
      <c r="M91" s="9"/>
      <c r="N91" s="9">
        <v>19971.599999999999</v>
      </c>
      <c r="O91" s="9">
        <v>2103.92</v>
      </c>
      <c r="P91" s="9"/>
      <c r="Q91" s="9"/>
      <c r="R91" s="9">
        <v>1973.53</v>
      </c>
      <c r="S91" s="9"/>
      <c r="T91" s="9"/>
      <c r="U91" s="9">
        <v>11091.6</v>
      </c>
      <c r="V91" s="9"/>
      <c r="W91" s="9">
        <v>2167.1999999999998</v>
      </c>
      <c r="X91" s="9"/>
      <c r="Y91" s="9">
        <v>28404.53</v>
      </c>
      <c r="Z91" s="9"/>
      <c r="AA91" s="9"/>
      <c r="AB91" s="9"/>
      <c r="AC91" s="9"/>
      <c r="AD91" s="9"/>
      <c r="AE91" s="9"/>
      <c r="AF91" s="9">
        <v>70992.409999999989</v>
      </c>
    </row>
    <row r="92" spans="1:32">
      <c r="A92" s="143">
        <v>45379</v>
      </c>
      <c r="B92" s="9"/>
      <c r="C92" s="9"/>
      <c r="D92" s="9"/>
      <c r="E92" s="9"/>
      <c r="F92" s="9"/>
      <c r="G92" s="9"/>
      <c r="H92" s="9">
        <v>6123</v>
      </c>
      <c r="I92" s="9">
        <v>10634.76</v>
      </c>
      <c r="J92" s="9"/>
      <c r="K92" s="9"/>
      <c r="L92" s="9">
        <v>31176.2</v>
      </c>
      <c r="M92" s="9"/>
      <c r="N92" s="9"/>
      <c r="O92" s="9"/>
      <c r="P92" s="9"/>
      <c r="Q92" s="9">
        <v>10486.45</v>
      </c>
      <c r="R92" s="9"/>
      <c r="S92" s="9"/>
      <c r="T92" s="9"/>
      <c r="U92" s="9"/>
      <c r="V92" s="9"/>
      <c r="W92" s="9"/>
      <c r="X92" s="9">
        <v>6789.12</v>
      </c>
      <c r="Y92" s="9"/>
      <c r="Z92" s="9"/>
      <c r="AA92" s="9"/>
      <c r="AB92" s="9"/>
      <c r="AC92" s="9"/>
      <c r="AD92" s="9"/>
      <c r="AE92" s="9"/>
      <c r="AF92" s="9">
        <v>65209.530000000006</v>
      </c>
    </row>
    <row r="93" spans="1:32">
      <c r="A93" s="143">
        <v>45380</v>
      </c>
      <c r="B93" s="9">
        <v>17423.64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>
        <v>22674.6</v>
      </c>
      <c r="P93" s="9"/>
      <c r="Q93" s="9"/>
      <c r="R93" s="9">
        <v>26461.8</v>
      </c>
      <c r="S93" s="9"/>
      <c r="T93" s="9"/>
      <c r="U93" s="9"/>
      <c r="V93" s="9"/>
      <c r="W93" s="9"/>
      <c r="X93" s="9">
        <v>13701.5</v>
      </c>
      <c r="Y93" s="9"/>
      <c r="Z93" s="9">
        <v>2072.98</v>
      </c>
      <c r="AA93" s="9"/>
      <c r="AB93" s="9"/>
      <c r="AC93" s="9"/>
      <c r="AD93" s="9">
        <v>10728.48</v>
      </c>
      <c r="AE93" s="9">
        <v>2147.2800000000002</v>
      </c>
      <c r="AF93" s="9">
        <v>95210.279999999984</v>
      </c>
    </row>
    <row r="94" spans="1:32">
      <c r="A94" s="143">
        <v>45381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>
        <v>5574.8</v>
      </c>
      <c r="Y94" s="9"/>
      <c r="Z94" s="9">
        <v>9316.23</v>
      </c>
      <c r="AA94" s="9">
        <v>1762.56</v>
      </c>
      <c r="AB94" s="9"/>
      <c r="AC94" s="9"/>
      <c r="AD94" s="9"/>
      <c r="AE94" s="9"/>
      <c r="AF94" s="9">
        <v>16653.59</v>
      </c>
    </row>
    <row r="95" spans="1:32">
      <c r="A95" s="143">
        <v>45382</v>
      </c>
      <c r="B95" s="9"/>
      <c r="C95" s="9">
        <v>35647.040000000001</v>
      </c>
      <c r="D95" s="9"/>
      <c r="E95" s="9"/>
      <c r="F95" s="9"/>
      <c r="G95" s="9"/>
      <c r="H95" s="9"/>
      <c r="I95" s="9"/>
      <c r="J95" s="9"/>
      <c r="K95" s="9"/>
      <c r="L95" s="9">
        <v>7296.75</v>
      </c>
      <c r="M95" s="9">
        <v>11880.96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>
        <v>21598.2</v>
      </c>
      <c r="AA95" s="9"/>
      <c r="AB95" s="9"/>
      <c r="AC95" s="9"/>
      <c r="AD95" s="9"/>
      <c r="AE95" s="9"/>
      <c r="AF95" s="9">
        <v>76422.95</v>
      </c>
    </row>
    <row r="96" spans="1:32">
      <c r="A96" s="143">
        <v>45383</v>
      </c>
      <c r="B96" s="9"/>
      <c r="C96" s="9"/>
      <c r="D96" s="9"/>
      <c r="E96" s="9">
        <v>662.3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>
        <v>38120.32</v>
      </c>
      <c r="Q96" s="9"/>
      <c r="R96" s="9"/>
      <c r="S96" s="9">
        <v>12108.18</v>
      </c>
      <c r="T96" s="9"/>
      <c r="U96" s="9"/>
      <c r="V96" s="9">
        <v>957.93</v>
      </c>
      <c r="W96" s="9">
        <v>14578.2</v>
      </c>
      <c r="X96" s="9"/>
      <c r="Y96" s="9"/>
      <c r="Z96" s="9">
        <v>1988.52</v>
      </c>
      <c r="AA96" s="9"/>
      <c r="AB96" s="9"/>
      <c r="AC96" s="9">
        <v>10276.5</v>
      </c>
      <c r="AD96" s="9"/>
      <c r="AE96" s="9"/>
      <c r="AF96" s="9">
        <v>78691.950000000012</v>
      </c>
    </row>
    <row r="97" spans="1:32">
      <c r="A97" s="143">
        <v>45384</v>
      </c>
      <c r="B97" s="9"/>
      <c r="C97" s="9"/>
      <c r="D97" s="9"/>
      <c r="E97" s="9"/>
      <c r="F97" s="9"/>
      <c r="G97" s="9">
        <v>15594.6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>
        <v>14610.82</v>
      </c>
      <c r="Y97" s="9"/>
      <c r="Z97" s="9"/>
      <c r="AA97" s="9"/>
      <c r="AB97" s="9"/>
      <c r="AC97" s="9"/>
      <c r="AD97" s="9">
        <v>23404.799999999999</v>
      </c>
      <c r="AE97" s="9"/>
      <c r="AF97" s="9">
        <v>53610.22</v>
      </c>
    </row>
    <row r="98" spans="1:32">
      <c r="A98" s="143">
        <v>45385</v>
      </c>
      <c r="B98" s="9"/>
      <c r="C98" s="9"/>
      <c r="D98" s="9"/>
      <c r="E98" s="9"/>
      <c r="F98" s="9">
        <v>1407.48</v>
      </c>
      <c r="G98" s="9">
        <v>5122.13</v>
      </c>
      <c r="H98" s="9"/>
      <c r="I98" s="9"/>
      <c r="J98" s="9"/>
      <c r="K98" s="9"/>
      <c r="L98" s="9"/>
      <c r="M98" s="9"/>
      <c r="N98" s="9"/>
      <c r="O98" s="9"/>
      <c r="P98" s="9">
        <v>25498.55</v>
      </c>
      <c r="Q98" s="9">
        <v>19751.599999999999</v>
      </c>
      <c r="R98" s="9"/>
      <c r="S98" s="9">
        <v>24808.95</v>
      </c>
      <c r="T98" s="9"/>
      <c r="U98" s="9"/>
      <c r="V98" s="9"/>
      <c r="W98" s="9"/>
      <c r="X98" s="9"/>
      <c r="Y98" s="9"/>
      <c r="Z98" s="9">
        <v>16557.66</v>
      </c>
      <c r="AA98" s="9"/>
      <c r="AB98" s="9"/>
      <c r="AC98" s="9"/>
      <c r="AD98" s="9">
        <v>11597.4</v>
      </c>
      <c r="AE98" s="9"/>
      <c r="AF98" s="9">
        <v>104743.76999999999</v>
      </c>
    </row>
    <row r="99" spans="1:32">
      <c r="A99" s="143">
        <v>45386</v>
      </c>
      <c r="B99" s="9"/>
      <c r="C99" s="9"/>
      <c r="D99" s="9"/>
      <c r="E99" s="9"/>
      <c r="F99" s="9"/>
      <c r="G99" s="9">
        <v>1739</v>
      </c>
      <c r="H99" s="9"/>
      <c r="I99" s="9"/>
      <c r="J99" s="9"/>
      <c r="K99" s="9"/>
      <c r="L99" s="9">
        <v>781.46</v>
      </c>
      <c r="M99" s="9"/>
      <c r="N99" s="9">
        <v>10967.8</v>
      </c>
      <c r="O99" s="9">
        <v>25188.799999999999</v>
      </c>
      <c r="P99" s="9"/>
      <c r="Q99" s="9"/>
      <c r="R99" s="9"/>
      <c r="S99" s="9"/>
      <c r="T99" s="9"/>
      <c r="U99" s="9"/>
      <c r="V99" s="9"/>
      <c r="W99" s="9"/>
      <c r="X99" s="9"/>
      <c r="Y99" s="9">
        <v>9615.2000000000007</v>
      </c>
      <c r="Z99" s="9"/>
      <c r="AA99" s="9"/>
      <c r="AB99" s="9"/>
      <c r="AC99" s="9"/>
      <c r="AD99" s="9"/>
      <c r="AE99" s="9">
        <v>6927.3</v>
      </c>
      <c r="AF99" s="9">
        <v>55219.56</v>
      </c>
    </row>
    <row r="100" spans="1:32">
      <c r="A100" s="143">
        <v>45387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>
        <v>9417.6</v>
      </c>
      <c r="Y100" s="9">
        <v>17816.2</v>
      </c>
      <c r="Z100" s="9"/>
      <c r="AA100" s="9">
        <v>10726.1</v>
      </c>
      <c r="AB100" s="9"/>
      <c r="AC100" s="9"/>
      <c r="AD100" s="9"/>
      <c r="AE100" s="9"/>
      <c r="AF100" s="9">
        <v>37959.9</v>
      </c>
    </row>
    <row r="101" spans="1:32">
      <c r="A101" s="143">
        <v>45388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>
        <v>8759</v>
      </c>
      <c r="T101" s="9">
        <v>19002.599999999999</v>
      </c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>
        <v>6091.2</v>
      </c>
      <c r="AF101" s="9">
        <v>33852.799999999996</v>
      </c>
    </row>
    <row r="102" spans="1:32">
      <c r="A102" s="143">
        <v>45389</v>
      </c>
      <c r="B102" s="9"/>
      <c r="C102" s="9"/>
      <c r="D102" s="9">
        <v>28610.400000000001</v>
      </c>
      <c r="E102" s="9">
        <v>4611.6000000000004</v>
      </c>
      <c r="F102" s="9"/>
      <c r="G102" s="9"/>
      <c r="H102" s="9">
        <v>9641.7999999999993</v>
      </c>
      <c r="I102" s="9"/>
      <c r="J102" s="9"/>
      <c r="K102" s="9"/>
      <c r="L102" s="9"/>
      <c r="M102" s="9"/>
      <c r="N102" s="9"/>
      <c r="O102" s="9">
        <v>12136.56</v>
      </c>
      <c r="P102" s="9"/>
      <c r="Q102" s="9"/>
      <c r="R102" s="9"/>
      <c r="S102" s="9">
        <v>8122.92</v>
      </c>
      <c r="T102" s="9">
        <v>4436.32</v>
      </c>
      <c r="U102" s="9"/>
      <c r="V102" s="9"/>
      <c r="W102" s="9"/>
      <c r="X102" s="9"/>
      <c r="Y102" s="9"/>
      <c r="Z102" s="9"/>
      <c r="AA102" s="9"/>
      <c r="AB102" s="9"/>
      <c r="AC102" s="9"/>
      <c r="AD102" s="9">
        <v>19919.099999999999</v>
      </c>
      <c r="AE102" s="9">
        <v>9009.2000000000007</v>
      </c>
      <c r="AF102" s="9">
        <v>96487.900000000009</v>
      </c>
    </row>
    <row r="103" spans="1:32">
      <c r="A103" s="143">
        <v>45390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>
        <v>9494.4</v>
      </c>
      <c r="R103" s="9"/>
      <c r="S103" s="9"/>
      <c r="T103" s="9"/>
      <c r="U103" s="9"/>
      <c r="V103" s="9"/>
      <c r="W103" s="9">
        <v>4470.08</v>
      </c>
      <c r="X103" s="9">
        <v>30392.46</v>
      </c>
      <c r="Y103" s="9"/>
      <c r="Z103" s="9"/>
      <c r="AA103" s="9"/>
      <c r="AB103" s="9"/>
      <c r="AC103" s="9">
        <v>9942.6</v>
      </c>
      <c r="AD103" s="9"/>
      <c r="AE103" s="9"/>
      <c r="AF103" s="9">
        <v>54299.54</v>
      </c>
    </row>
    <row r="104" spans="1:32">
      <c r="A104" s="143">
        <v>45391</v>
      </c>
      <c r="B104" s="9"/>
      <c r="C104" s="9"/>
      <c r="D104" s="9"/>
      <c r="E104" s="9"/>
      <c r="F104" s="9"/>
      <c r="G104" s="9"/>
      <c r="H104" s="9"/>
      <c r="I104" s="9"/>
      <c r="J104" s="9"/>
      <c r="K104" s="9">
        <v>2886.1</v>
      </c>
      <c r="L104" s="9"/>
      <c r="M104" s="9"/>
      <c r="N104" s="9"/>
      <c r="O104" s="9"/>
      <c r="P104" s="9"/>
      <c r="Q104" s="9"/>
      <c r="R104" s="9">
        <v>5270.15</v>
      </c>
      <c r="S104" s="9">
        <v>45308.160000000003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>
        <v>53464.41</v>
      </c>
    </row>
    <row r="105" spans="1:32">
      <c r="A105" s="143">
        <v>45392</v>
      </c>
      <c r="B105" s="9"/>
      <c r="C105" s="9">
        <v>1293.52</v>
      </c>
      <c r="D105" s="9"/>
      <c r="E105" s="9"/>
      <c r="F105" s="9"/>
      <c r="G105" s="9"/>
      <c r="H105" s="9"/>
      <c r="I105" s="9">
        <v>4783.68</v>
      </c>
      <c r="J105" s="9"/>
      <c r="K105" s="9"/>
      <c r="L105" s="9"/>
      <c r="M105" s="9">
        <v>24950.800000000003</v>
      </c>
      <c r="N105" s="9"/>
      <c r="O105" s="9"/>
      <c r="P105" s="9">
        <v>13592.88</v>
      </c>
      <c r="Q105" s="9"/>
      <c r="R105" s="9"/>
      <c r="S105" s="9">
        <v>3669.76</v>
      </c>
      <c r="T105" s="9">
        <v>35863.119999999995</v>
      </c>
      <c r="U105" s="9"/>
      <c r="V105" s="9"/>
      <c r="W105" s="9">
        <v>4172.4799999999996</v>
      </c>
      <c r="X105" s="9"/>
      <c r="Y105" s="9"/>
      <c r="Z105" s="9"/>
      <c r="AA105" s="9"/>
      <c r="AB105" s="9"/>
      <c r="AC105" s="9"/>
      <c r="AD105" s="9"/>
      <c r="AE105" s="9"/>
      <c r="AF105" s="9">
        <v>88326.24</v>
      </c>
    </row>
    <row r="106" spans="1:32">
      <c r="A106" s="143">
        <v>45393</v>
      </c>
      <c r="B106" s="9">
        <v>14317.92</v>
      </c>
      <c r="C106" s="9">
        <v>3954.44</v>
      </c>
      <c r="D106" s="9"/>
      <c r="E106" s="9"/>
      <c r="F106" s="9"/>
      <c r="G106" s="9">
        <v>16129.82</v>
      </c>
      <c r="H106" s="9"/>
      <c r="I106" s="9"/>
      <c r="J106" s="9"/>
      <c r="K106" s="9">
        <v>26192.400000000001</v>
      </c>
      <c r="L106" s="9">
        <v>936.27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>
        <v>11400.48</v>
      </c>
      <c r="Y106" s="9"/>
      <c r="Z106" s="9"/>
      <c r="AA106" s="9"/>
      <c r="AB106" s="9"/>
      <c r="AC106" s="9"/>
      <c r="AD106" s="9"/>
      <c r="AE106" s="9"/>
      <c r="AF106" s="9">
        <v>72931.33</v>
      </c>
    </row>
    <row r="107" spans="1:32">
      <c r="A107" s="143">
        <v>45394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>
        <v>31114.880000000001</v>
      </c>
      <c r="T107" s="9">
        <v>23691.15</v>
      </c>
      <c r="U107" s="9"/>
      <c r="V107" s="9">
        <v>14821.2</v>
      </c>
      <c r="W107" s="9"/>
      <c r="X107" s="9">
        <v>27323.82</v>
      </c>
      <c r="Y107" s="9"/>
      <c r="Z107" s="9">
        <v>4040.14</v>
      </c>
      <c r="AA107" s="9">
        <v>1525.2</v>
      </c>
      <c r="AB107" s="9">
        <v>2841.6</v>
      </c>
      <c r="AC107" s="9"/>
      <c r="AD107" s="9"/>
      <c r="AE107" s="9"/>
      <c r="AF107" s="9">
        <v>105357.98999999999</v>
      </c>
    </row>
    <row r="108" spans="1:32">
      <c r="A108" s="143">
        <v>45395</v>
      </c>
      <c r="B108" s="9"/>
      <c r="C108" s="9"/>
      <c r="D108" s="9"/>
      <c r="E108" s="9"/>
      <c r="F108" s="9"/>
      <c r="G108" s="9"/>
      <c r="H108" s="9"/>
      <c r="I108" s="9"/>
      <c r="J108" s="9">
        <v>9939.6</v>
      </c>
      <c r="K108" s="9"/>
      <c r="L108" s="9"/>
      <c r="M108" s="9"/>
      <c r="N108" s="9"/>
      <c r="O108" s="9"/>
      <c r="P108" s="9"/>
      <c r="Q108" s="9">
        <v>10060.68</v>
      </c>
      <c r="R108" s="9"/>
      <c r="S108" s="9"/>
      <c r="T108" s="9"/>
      <c r="U108" s="9"/>
      <c r="V108" s="9">
        <v>5747.7</v>
      </c>
      <c r="W108" s="9">
        <v>1809.4</v>
      </c>
      <c r="X108" s="9">
        <v>21243.760000000002</v>
      </c>
      <c r="Y108" s="9"/>
      <c r="Z108" s="9"/>
      <c r="AA108" s="9"/>
      <c r="AB108" s="9"/>
      <c r="AC108" s="9"/>
      <c r="AD108" s="9"/>
      <c r="AE108" s="9"/>
      <c r="AF108" s="9">
        <v>48801.14</v>
      </c>
    </row>
    <row r="109" spans="1:32">
      <c r="A109" s="143">
        <v>45396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>
        <v>17423.64</v>
      </c>
      <c r="AB109" s="9"/>
      <c r="AC109" s="9">
        <v>2875.08</v>
      </c>
      <c r="AD109" s="9">
        <v>10943.4</v>
      </c>
      <c r="AE109" s="9"/>
      <c r="AF109" s="9">
        <v>31242.120000000003</v>
      </c>
    </row>
    <row r="110" spans="1:32">
      <c r="A110" s="143">
        <v>45397</v>
      </c>
      <c r="B110" s="9"/>
      <c r="C110" s="9">
        <v>1965.46</v>
      </c>
      <c r="D110" s="9"/>
      <c r="E110" s="9"/>
      <c r="F110" s="9">
        <v>13208.72</v>
      </c>
      <c r="G110" s="9">
        <v>22492.959999999999</v>
      </c>
      <c r="H110" s="9"/>
      <c r="I110" s="9"/>
      <c r="J110" s="9"/>
      <c r="K110" s="9"/>
      <c r="L110" s="9"/>
      <c r="M110" s="9"/>
      <c r="N110" s="9"/>
      <c r="O110" s="9">
        <v>20342.400000000001</v>
      </c>
      <c r="P110" s="9">
        <v>6619.32</v>
      </c>
      <c r="Q110" s="9"/>
      <c r="R110" s="9">
        <v>4176.5200000000004</v>
      </c>
      <c r="S110" s="9"/>
      <c r="T110" s="9">
        <v>29516.85</v>
      </c>
      <c r="U110" s="9"/>
      <c r="V110" s="9">
        <v>7484.4</v>
      </c>
      <c r="W110" s="9"/>
      <c r="X110" s="9">
        <v>15947.36</v>
      </c>
      <c r="Y110" s="9"/>
      <c r="Z110" s="9"/>
      <c r="AA110" s="9"/>
      <c r="AB110" s="9">
        <v>20474.72</v>
      </c>
      <c r="AC110" s="9"/>
      <c r="AD110" s="9"/>
      <c r="AE110" s="9"/>
      <c r="AF110" s="9">
        <v>142228.71000000002</v>
      </c>
    </row>
    <row r="111" spans="1:32">
      <c r="A111" s="143">
        <v>45398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>
        <v>905.76</v>
      </c>
      <c r="T111" s="9"/>
      <c r="U111" s="9"/>
      <c r="V111" s="9"/>
      <c r="W111" s="9"/>
      <c r="X111" s="9">
        <v>26903.84</v>
      </c>
      <c r="Y111" s="9"/>
      <c r="Z111" s="9"/>
      <c r="AA111" s="9"/>
      <c r="AB111" s="9"/>
      <c r="AC111" s="9"/>
      <c r="AD111" s="9"/>
      <c r="AE111" s="9">
        <v>1963.01</v>
      </c>
      <c r="AF111" s="9">
        <v>29772.609999999997</v>
      </c>
    </row>
    <row r="112" spans="1:32">
      <c r="A112" s="143">
        <v>45399</v>
      </c>
      <c r="B112" s="9"/>
      <c r="C112" s="9"/>
      <c r="D112" s="9"/>
      <c r="E112" s="9"/>
      <c r="F112" s="9"/>
      <c r="G112" s="9"/>
      <c r="H112" s="9"/>
      <c r="I112" s="9"/>
      <c r="J112" s="9">
        <v>17339.7</v>
      </c>
      <c r="K112" s="9"/>
      <c r="L112" s="9"/>
      <c r="M112" s="9"/>
      <c r="N112" s="9"/>
      <c r="O112" s="9"/>
      <c r="P112" s="9"/>
      <c r="Q112" s="9"/>
      <c r="R112" s="9"/>
      <c r="S112" s="9">
        <v>23926.5</v>
      </c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>
        <v>10542.72</v>
      </c>
      <c r="AE112" s="9"/>
      <c r="AF112" s="9">
        <v>51808.92</v>
      </c>
    </row>
    <row r="113" spans="1:32">
      <c r="A113" s="143">
        <v>45400</v>
      </c>
      <c r="B113" s="9"/>
      <c r="C113" s="9"/>
      <c r="D113" s="9"/>
      <c r="E113" s="9">
        <v>14065.8</v>
      </c>
      <c r="F113" s="9"/>
      <c r="G113" s="9"/>
      <c r="H113" s="9"/>
      <c r="I113" s="9"/>
      <c r="J113" s="9"/>
      <c r="K113" s="9"/>
      <c r="L113" s="9"/>
      <c r="M113" s="9"/>
      <c r="N113" s="9">
        <v>4689.18</v>
      </c>
      <c r="O113" s="9"/>
      <c r="P113" s="9"/>
      <c r="Q113" s="9"/>
      <c r="R113" s="9"/>
      <c r="S113" s="9"/>
      <c r="T113" s="9"/>
      <c r="U113" s="9"/>
      <c r="V113" s="9">
        <v>2434.6</v>
      </c>
      <c r="W113" s="9"/>
      <c r="X113" s="9">
        <v>37122.11</v>
      </c>
      <c r="Y113" s="9"/>
      <c r="Z113" s="9"/>
      <c r="AA113" s="9"/>
      <c r="AB113" s="9"/>
      <c r="AC113" s="9">
        <v>13089.65</v>
      </c>
      <c r="AD113" s="9">
        <v>32121.27</v>
      </c>
      <c r="AE113" s="9"/>
      <c r="AF113" s="9">
        <v>103522.61</v>
      </c>
    </row>
    <row r="114" spans="1:32">
      <c r="A114" s="143">
        <v>45401</v>
      </c>
      <c r="B114" s="9"/>
      <c r="C114" s="9"/>
      <c r="D114" s="9"/>
      <c r="E114" s="9"/>
      <c r="F114" s="9">
        <v>2161.04</v>
      </c>
      <c r="G114" s="9">
        <v>18641.599999999999</v>
      </c>
      <c r="H114" s="9"/>
      <c r="I114" s="9"/>
      <c r="J114" s="9">
        <v>4780.28</v>
      </c>
      <c r="K114" s="9"/>
      <c r="L114" s="9"/>
      <c r="M114" s="9"/>
      <c r="N114" s="9">
        <v>2319.4499999999998</v>
      </c>
      <c r="O114" s="9"/>
      <c r="P114" s="9"/>
      <c r="Q114" s="9">
        <v>6601.16</v>
      </c>
      <c r="R114" s="9"/>
      <c r="S114" s="9"/>
      <c r="T114" s="9"/>
      <c r="U114" s="9"/>
      <c r="V114" s="9"/>
      <c r="W114" s="9"/>
      <c r="X114" s="9">
        <v>2634.4</v>
      </c>
      <c r="Y114" s="9"/>
      <c r="Z114" s="9"/>
      <c r="AA114" s="9">
        <v>43737.880000000005</v>
      </c>
      <c r="AB114" s="9"/>
      <c r="AC114" s="9"/>
      <c r="AD114" s="9"/>
      <c r="AE114" s="9"/>
      <c r="AF114" s="9">
        <v>80875.81</v>
      </c>
    </row>
    <row r="115" spans="1:32">
      <c r="A115" s="143">
        <v>45402</v>
      </c>
      <c r="B115" s="9"/>
      <c r="C115" s="9"/>
      <c r="D115" s="9">
        <v>5171.58</v>
      </c>
      <c r="E115" s="9"/>
      <c r="F115" s="9"/>
      <c r="G115" s="9">
        <v>2995.38</v>
      </c>
      <c r="H115" s="9">
        <v>9810.8799999999992</v>
      </c>
      <c r="I115" s="9"/>
      <c r="J115" s="9">
        <v>10132.4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>
        <v>15015</v>
      </c>
      <c r="X115" s="9"/>
      <c r="Y115" s="9"/>
      <c r="Z115" s="9"/>
      <c r="AA115" s="9">
        <v>7110.72</v>
      </c>
      <c r="AB115" s="9"/>
      <c r="AC115" s="9"/>
      <c r="AD115" s="9"/>
      <c r="AE115" s="9"/>
      <c r="AF115" s="9">
        <v>50235.96</v>
      </c>
    </row>
    <row r="116" spans="1:32">
      <c r="A116" s="143">
        <v>45403</v>
      </c>
      <c r="B116" s="9"/>
      <c r="C116" s="9"/>
      <c r="D116" s="9"/>
      <c r="E116" s="9"/>
      <c r="F116" s="9"/>
      <c r="G116" s="9"/>
      <c r="H116" s="9"/>
      <c r="I116" s="9"/>
      <c r="J116" s="9">
        <v>13674.48</v>
      </c>
      <c r="K116" s="9"/>
      <c r="L116" s="9"/>
      <c r="M116" s="9"/>
      <c r="N116" s="9">
        <v>19929.87</v>
      </c>
      <c r="O116" s="9">
        <v>26029.919999999998</v>
      </c>
      <c r="P116" s="9"/>
      <c r="Q116" s="9"/>
      <c r="R116" s="9">
        <v>20847.36</v>
      </c>
      <c r="S116" s="9"/>
      <c r="T116" s="9"/>
      <c r="U116" s="9"/>
      <c r="V116" s="9">
        <v>36962.75</v>
      </c>
      <c r="W116" s="9"/>
      <c r="X116" s="9">
        <v>5392.32</v>
      </c>
      <c r="Y116" s="9"/>
      <c r="Z116" s="9"/>
      <c r="AA116" s="9">
        <v>8198.4</v>
      </c>
      <c r="AB116" s="9">
        <v>46381.56</v>
      </c>
      <c r="AC116" s="9"/>
      <c r="AD116" s="9"/>
      <c r="AE116" s="9"/>
      <c r="AF116" s="9">
        <v>177416.66</v>
      </c>
    </row>
    <row r="117" spans="1:32">
      <c r="A117" s="143">
        <v>45404</v>
      </c>
      <c r="B117" s="9"/>
      <c r="C117" s="9">
        <v>15655.56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>
        <v>19073.88</v>
      </c>
      <c r="Q117" s="9"/>
      <c r="R117" s="9"/>
      <c r="S117" s="9">
        <v>2498.6</v>
      </c>
      <c r="T117" s="9"/>
      <c r="U117" s="9"/>
      <c r="V117" s="9"/>
      <c r="W117" s="9"/>
      <c r="X117" s="9"/>
      <c r="Y117" s="9">
        <v>3922.84</v>
      </c>
      <c r="Z117" s="9"/>
      <c r="AA117" s="9">
        <v>11456.64</v>
      </c>
      <c r="AB117" s="9"/>
      <c r="AC117" s="9"/>
      <c r="AD117" s="9"/>
      <c r="AE117" s="9"/>
      <c r="AF117" s="9">
        <v>52607.520000000004</v>
      </c>
    </row>
    <row r="118" spans="1:32">
      <c r="A118" s="143">
        <v>45405</v>
      </c>
      <c r="B118" s="9">
        <v>17138.560000000001</v>
      </c>
      <c r="C118" s="9">
        <v>17853.919999999998</v>
      </c>
      <c r="D118" s="9">
        <v>7287</v>
      </c>
      <c r="E118" s="9"/>
      <c r="F118" s="9"/>
      <c r="G118" s="9"/>
      <c r="H118" s="9"/>
      <c r="I118" s="9"/>
      <c r="J118" s="9">
        <v>18698.7</v>
      </c>
      <c r="K118" s="9"/>
      <c r="L118" s="9"/>
      <c r="M118" s="9"/>
      <c r="N118" s="9"/>
      <c r="O118" s="9"/>
      <c r="P118" s="9"/>
      <c r="Q118" s="9"/>
      <c r="R118" s="9"/>
      <c r="S118" s="9">
        <v>7866.24</v>
      </c>
      <c r="T118" s="9"/>
      <c r="U118" s="9">
        <v>28386.959999999999</v>
      </c>
      <c r="V118" s="9"/>
      <c r="W118" s="9"/>
      <c r="X118" s="9">
        <v>2693.9</v>
      </c>
      <c r="Y118" s="9">
        <v>2562.84</v>
      </c>
      <c r="Z118" s="9">
        <v>26308.799999999999</v>
      </c>
      <c r="AA118" s="9"/>
      <c r="AB118" s="9"/>
      <c r="AC118" s="9"/>
      <c r="AD118" s="9"/>
      <c r="AE118" s="9"/>
      <c r="AF118" s="9">
        <v>128796.92</v>
      </c>
    </row>
    <row r="119" spans="1:32">
      <c r="A119" s="143">
        <v>45406</v>
      </c>
      <c r="B119" s="9"/>
      <c r="C119" s="9">
        <v>444.62</v>
      </c>
      <c r="D119" s="9"/>
      <c r="E119" s="9"/>
      <c r="F119" s="9">
        <v>21576</v>
      </c>
      <c r="G119" s="9"/>
      <c r="H119" s="9"/>
      <c r="I119" s="9"/>
      <c r="J119" s="9"/>
      <c r="K119" s="9">
        <v>12319.56</v>
      </c>
      <c r="L119" s="9"/>
      <c r="M119" s="9"/>
      <c r="N119" s="9">
        <v>940.31</v>
      </c>
      <c r="O119" s="9"/>
      <c r="P119" s="9">
        <v>1394.49</v>
      </c>
      <c r="Q119" s="9">
        <v>29187</v>
      </c>
      <c r="R119" s="9"/>
      <c r="S119" s="9"/>
      <c r="T119" s="9"/>
      <c r="U119" s="9"/>
      <c r="V119" s="9"/>
      <c r="W119" s="9"/>
      <c r="X119" s="9"/>
      <c r="Y119" s="9"/>
      <c r="Z119" s="9">
        <v>1050.8</v>
      </c>
      <c r="AA119" s="9"/>
      <c r="AB119" s="9"/>
      <c r="AC119" s="9"/>
      <c r="AD119" s="9"/>
      <c r="AE119" s="9"/>
      <c r="AF119" s="9">
        <v>66912.78</v>
      </c>
    </row>
    <row r="120" spans="1:32">
      <c r="A120" s="143">
        <v>45407</v>
      </c>
      <c r="B120" s="9">
        <v>2187</v>
      </c>
      <c r="C120" s="9">
        <v>5119.3999999999996</v>
      </c>
      <c r="D120" s="9">
        <v>13833.18</v>
      </c>
      <c r="E120" s="9"/>
      <c r="F120" s="9"/>
      <c r="G120" s="9">
        <v>46095.48</v>
      </c>
      <c r="H120" s="9"/>
      <c r="I120" s="9"/>
      <c r="J120" s="9"/>
      <c r="K120" s="9"/>
      <c r="L120" s="9">
        <v>12896</v>
      </c>
      <c r="M120" s="9"/>
      <c r="N120" s="9"/>
      <c r="O120" s="9"/>
      <c r="P120" s="9"/>
      <c r="Q120" s="9"/>
      <c r="R120" s="9">
        <v>1918.62</v>
      </c>
      <c r="S120" s="9">
        <v>6274.38</v>
      </c>
      <c r="T120" s="9"/>
      <c r="U120" s="9"/>
      <c r="V120" s="9"/>
      <c r="W120" s="9">
        <v>23140.26</v>
      </c>
      <c r="X120" s="9"/>
      <c r="Y120" s="9"/>
      <c r="Z120" s="9"/>
      <c r="AA120" s="9"/>
      <c r="AB120" s="9"/>
      <c r="AC120" s="9"/>
      <c r="AD120" s="9"/>
      <c r="AE120" s="9">
        <v>12360.15</v>
      </c>
      <c r="AF120" s="9">
        <v>123824.46999999999</v>
      </c>
    </row>
    <row r="121" spans="1:32">
      <c r="A121" s="143">
        <v>45408</v>
      </c>
      <c r="B121" s="9"/>
      <c r="C121" s="9"/>
      <c r="D121" s="9">
        <v>41447.699999999997</v>
      </c>
      <c r="E121" s="9"/>
      <c r="F121" s="9"/>
      <c r="G121" s="9">
        <v>34164.9</v>
      </c>
      <c r="H121" s="9"/>
      <c r="I121" s="9"/>
      <c r="J121" s="9"/>
      <c r="K121" s="9"/>
      <c r="L121" s="9"/>
      <c r="M121" s="9"/>
      <c r="N121" s="9">
        <v>2574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>
        <v>78186.600000000006</v>
      </c>
    </row>
    <row r="122" spans="1:32">
      <c r="A122" s="143">
        <v>45409</v>
      </c>
      <c r="B122" s="9"/>
      <c r="C122" s="9"/>
      <c r="D122" s="9"/>
      <c r="E122" s="9">
        <v>3696.84</v>
      </c>
      <c r="F122" s="9"/>
      <c r="G122" s="9">
        <v>7964.04</v>
      </c>
      <c r="H122" s="9"/>
      <c r="I122" s="9"/>
      <c r="J122" s="9"/>
      <c r="K122" s="9"/>
      <c r="L122" s="9"/>
      <c r="M122" s="9"/>
      <c r="N122" s="9"/>
      <c r="O122" s="9">
        <v>10089.9</v>
      </c>
      <c r="P122" s="9">
        <v>3327.16</v>
      </c>
      <c r="Q122" s="9"/>
      <c r="R122" s="9"/>
      <c r="S122" s="9"/>
      <c r="T122" s="9"/>
      <c r="U122" s="9"/>
      <c r="V122" s="9"/>
      <c r="W122" s="9"/>
      <c r="X122" s="9">
        <v>11338.65</v>
      </c>
      <c r="Y122" s="9">
        <v>3614.3</v>
      </c>
      <c r="Z122" s="9"/>
      <c r="AA122" s="9">
        <v>7602.96</v>
      </c>
      <c r="AB122" s="9"/>
      <c r="AC122" s="9"/>
      <c r="AD122" s="9"/>
      <c r="AE122" s="9"/>
      <c r="AF122" s="9">
        <v>47633.85</v>
      </c>
    </row>
    <row r="123" spans="1:32">
      <c r="A123" s="143">
        <v>45410</v>
      </c>
      <c r="B123" s="9"/>
      <c r="C123" s="9"/>
      <c r="D123" s="9"/>
      <c r="E123" s="9"/>
      <c r="F123" s="9">
        <v>7672.32</v>
      </c>
      <c r="G123" s="9"/>
      <c r="H123" s="9">
        <v>29083.5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>
        <v>888.52</v>
      </c>
      <c r="W123" s="9"/>
      <c r="X123" s="9"/>
      <c r="Y123" s="9"/>
      <c r="Z123" s="9"/>
      <c r="AA123" s="9"/>
      <c r="AB123" s="9">
        <v>8408.4</v>
      </c>
      <c r="AC123" s="9">
        <v>9393.9</v>
      </c>
      <c r="AD123" s="9"/>
      <c r="AE123" s="9"/>
      <c r="AF123" s="9">
        <v>55446.64</v>
      </c>
    </row>
    <row r="124" spans="1:32">
      <c r="A124" s="143">
        <v>45411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>
        <v>15935.37</v>
      </c>
      <c r="M124" s="9"/>
      <c r="N124" s="9"/>
      <c r="O124" s="9">
        <v>7729.59</v>
      </c>
      <c r="P124" s="9"/>
      <c r="Q124" s="9"/>
      <c r="R124" s="9"/>
      <c r="S124" s="9">
        <v>25389.84</v>
      </c>
      <c r="T124" s="9"/>
      <c r="U124" s="9"/>
      <c r="V124" s="9"/>
      <c r="W124" s="9">
        <v>30117.599999999999</v>
      </c>
      <c r="X124" s="9"/>
      <c r="Y124" s="9"/>
      <c r="Z124" s="9"/>
      <c r="AA124" s="9"/>
      <c r="AB124" s="9"/>
      <c r="AC124" s="9"/>
      <c r="AD124" s="9"/>
      <c r="AE124" s="9"/>
      <c r="AF124" s="9">
        <v>79172.399999999994</v>
      </c>
    </row>
    <row r="125" spans="1:32">
      <c r="A125" s="143">
        <v>45412</v>
      </c>
      <c r="B125" s="9"/>
      <c r="C125" s="9"/>
      <c r="D125" s="9"/>
      <c r="E125" s="9"/>
      <c r="F125" s="9"/>
      <c r="G125" s="9"/>
      <c r="H125" s="9"/>
      <c r="I125" s="9">
        <v>7260.88</v>
      </c>
      <c r="J125" s="9"/>
      <c r="K125" s="9"/>
      <c r="L125" s="9"/>
      <c r="M125" s="9"/>
      <c r="N125" s="9"/>
      <c r="O125" s="9"/>
      <c r="P125" s="9"/>
      <c r="Q125" s="9"/>
      <c r="R125" s="9"/>
      <c r="S125" s="9">
        <v>9860.76</v>
      </c>
      <c r="T125" s="9"/>
      <c r="U125" s="9">
        <v>21534.240000000002</v>
      </c>
      <c r="V125" s="9">
        <v>1757.7</v>
      </c>
      <c r="W125" s="9"/>
      <c r="X125" s="9"/>
      <c r="Y125" s="9">
        <v>19205.12</v>
      </c>
      <c r="Z125" s="9"/>
      <c r="AA125" s="9">
        <v>23351.34</v>
      </c>
      <c r="AB125" s="9"/>
      <c r="AC125" s="9"/>
      <c r="AD125" s="9">
        <v>16052.76</v>
      </c>
      <c r="AE125" s="9"/>
      <c r="AF125" s="9">
        <v>99022.799999999988</v>
      </c>
    </row>
    <row r="126" spans="1:32">
      <c r="A126" s="143">
        <v>45413</v>
      </c>
      <c r="B126" s="9"/>
      <c r="C126" s="9"/>
      <c r="D126" s="9"/>
      <c r="E126" s="9"/>
      <c r="F126" s="9"/>
      <c r="G126" s="9">
        <v>3085.38</v>
      </c>
      <c r="H126" s="9"/>
      <c r="I126" s="9"/>
      <c r="J126" s="9">
        <v>26228.93</v>
      </c>
      <c r="K126" s="9"/>
      <c r="L126" s="9"/>
      <c r="M126" s="9"/>
      <c r="N126" s="9"/>
      <c r="O126" s="9"/>
      <c r="P126" s="9">
        <v>25068.959999999999</v>
      </c>
      <c r="Q126" s="9"/>
      <c r="R126" s="9">
        <v>13822.68</v>
      </c>
      <c r="S126" s="9">
        <v>9509.1200000000008</v>
      </c>
      <c r="T126" s="9"/>
      <c r="U126" s="9"/>
      <c r="V126" s="9"/>
      <c r="W126" s="9"/>
      <c r="X126" s="9"/>
      <c r="Y126" s="9">
        <v>31667.7</v>
      </c>
      <c r="Z126" s="9"/>
      <c r="AA126" s="9"/>
      <c r="AB126" s="9"/>
      <c r="AC126" s="9">
        <v>901.43</v>
      </c>
      <c r="AD126" s="9">
        <v>4088.28</v>
      </c>
      <c r="AE126" s="9"/>
      <c r="AF126" s="9">
        <v>114372.48</v>
      </c>
    </row>
    <row r="127" spans="1:32">
      <c r="A127" s="143">
        <v>45414</v>
      </c>
      <c r="B127" s="9"/>
      <c r="C127" s="9"/>
      <c r="D127" s="9"/>
      <c r="E127" s="9"/>
      <c r="F127" s="9"/>
      <c r="G127" s="9"/>
      <c r="H127" s="9"/>
      <c r="I127" s="9"/>
      <c r="J127" s="9"/>
      <c r="K127" s="9">
        <v>21969.599999999999</v>
      </c>
      <c r="L127" s="9">
        <v>2607</v>
      </c>
      <c r="M127" s="9"/>
      <c r="N127" s="9"/>
      <c r="O127" s="9"/>
      <c r="P127" s="9">
        <v>6475.36</v>
      </c>
      <c r="Q127" s="9">
        <v>4969.2</v>
      </c>
      <c r="R127" s="9"/>
      <c r="S127" s="9"/>
      <c r="T127" s="9"/>
      <c r="U127" s="9"/>
      <c r="V127" s="9">
        <v>8273.2800000000007</v>
      </c>
      <c r="W127" s="9"/>
      <c r="X127" s="9"/>
      <c r="Y127" s="9"/>
      <c r="Z127" s="9">
        <v>3612.42</v>
      </c>
      <c r="AA127" s="9"/>
      <c r="AB127" s="9"/>
      <c r="AC127" s="9"/>
      <c r="AD127" s="9"/>
      <c r="AE127" s="9"/>
      <c r="AF127" s="9">
        <v>47906.859999999993</v>
      </c>
    </row>
    <row r="128" spans="1:32">
      <c r="A128" s="143">
        <v>45415</v>
      </c>
      <c r="B128" s="9"/>
      <c r="C128" s="9"/>
      <c r="D128" s="9"/>
      <c r="E128" s="9"/>
      <c r="F128" s="9"/>
      <c r="G128" s="9"/>
      <c r="H128" s="9"/>
      <c r="I128" s="9"/>
      <c r="J128" s="9">
        <v>16776.45</v>
      </c>
      <c r="K128" s="9"/>
      <c r="L128" s="9"/>
      <c r="M128" s="9"/>
      <c r="N128" s="9"/>
      <c r="O128" s="9"/>
      <c r="P128" s="9"/>
      <c r="Q128" s="9"/>
      <c r="R128" s="9"/>
      <c r="S128" s="9"/>
      <c r="T128" s="9">
        <v>35111.599999999999</v>
      </c>
      <c r="U128" s="9">
        <v>17939.88</v>
      </c>
      <c r="V128" s="9"/>
      <c r="W128" s="9"/>
      <c r="X128" s="9">
        <v>32426.73</v>
      </c>
      <c r="Y128" s="9"/>
      <c r="Z128" s="9"/>
      <c r="AA128" s="9"/>
      <c r="AB128" s="9"/>
      <c r="AC128" s="9"/>
      <c r="AD128" s="9"/>
      <c r="AE128" s="9"/>
      <c r="AF128" s="9">
        <v>102254.66</v>
      </c>
    </row>
    <row r="129" spans="1:32">
      <c r="A129" s="143">
        <v>45416</v>
      </c>
      <c r="B129" s="9">
        <v>5575.68</v>
      </c>
      <c r="C129" s="9"/>
      <c r="D129" s="9">
        <v>15073.24</v>
      </c>
      <c r="E129" s="9"/>
      <c r="F129" s="9"/>
      <c r="G129" s="9"/>
      <c r="H129" s="9"/>
      <c r="I129" s="9"/>
      <c r="J129" s="9"/>
      <c r="K129" s="9"/>
      <c r="L129" s="9">
        <v>845.76</v>
      </c>
      <c r="M129" s="9"/>
      <c r="N129" s="9"/>
      <c r="O129" s="9"/>
      <c r="P129" s="9"/>
      <c r="Q129" s="9"/>
      <c r="R129" s="9">
        <v>13651.25</v>
      </c>
      <c r="S129" s="9"/>
      <c r="T129" s="9"/>
      <c r="U129" s="9"/>
      <c r="V129" s="9"/>
      <c r="W129" s="9"/>
      <c r="X129" s="9"/>
      <c r="Y129" s="9">
        <v>49470</v>
      </c>
      <c r="Z129" s="9"/>
      <c r="AA129" s="9"/>
      <c r="AB129" s="9">
        <v>4967.5200000000004</v>
      </c>
      <c r="AC129" s="9"/>
      <c r="AD129" s="9"/>
      <c r="AE129" s="9"/>
      <c r="AF129" s="9">
        <v>89583.45</v>
      </c>
    </row>
    <row r="130" spans="1:32">
      <c r="A130" s="143">
        <v>45417</v>
      </c>
      <c r="B130" s="9"/>
      <c r="C130" s="9">
        <v>9406.08</v>
      </c>
      <c r="D130" s="9"/>
      <c r="E130" s="9">
        <v>13827.6</v>
      </c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>
        <v>9683.1</v>
      </c>
      <c r="W130" s="9"/>
      <c r="X130" s="9"/>
      <c r="Y130" s="9"/>
      <c r="Z130" s="9">
        <v>34129.199999999997</v>
      </c>
      <c r="AA130" s="9"/>
      <c r="AB130" s="9">
        <v>9215.7000000000007</v>
      </c>
      <c r="AC130" s="9"/>
      <c r="AD130" s="9"/>
      <c r="AE130" s="9">
        <v>2154.52</v>
      </c>
      <c r="AF130" s="9">
        <v>78416.2</v>
      </c>
    </row>
    <row r="131" spans="1:32">
      <c r="A131" s="143">
        <v>45418</v>
      </c>
      <c r="B131" s="9"/>
      <c r="C131" s="9">
        <v>18018.72</v>
      </c>
      <c r="D131" s="9"/>
      <c r="E131" s="9">
        <v>30140.1</v>
      </c>
      <c r="F131" s="9"/>
      <c r="G131" s="9"/>
      <c r="H131" s="9"/>
      <c r="I131" s="9">
        <v>8841.84</v>
      </c>
      <c r="J131" s="9"/>
      <c r="K131" s="9"/>
      <c r="L131" s="9"/>
      <c r="M131" s="9"/>
      <c r="N131" s="9">
        <v>17543.22</v>
      </c>
      <c r="O131" s="9"/>
      <c r="P131" s="9">
        <v>23870.080000000002</v>
      </c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>
        <v>19632.240000000002</v>
      </c>
      <c r="AD131" s="9"/>
      <c r="AE131" s="9"/>
      <c r="AF131" s="9">
        <v>118046.20000000001</v>
      </c>
    </row>
    <row r="132" spans="1:32">
      <c r="A132" s="143">
        <v>45419</v>
      </c>
      <c r="B132" s="9"/>
      <c r="C132" s="9"/>
      <c r="D132" s="9">
        <v>5751.66</v>
      </c>
      <c r="E132" s="9"/>
      <c r="F132" s="9"/>
      <c r="G132" s="9"/>
      <c r="H132" s="9"/>
      <c r="I132" s="9">
        <v>10200</v>
      </c>
      <c r="J132" s="9"/>
      <c r="K132" s="9">
        <v>9218.64</v>
      </c>
      <c r="L132" s="9"/>
      <c r="M132" s="9"/>
      <c r="N132" s="9"/>
      <c r="O132" s="9">
        <v>674.14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>
        <v>19939.439999999999</v>
      </c>
      <c r="AC132" s="9"/>
      <c r="AD132" s="9"/>
      <c r="AE132" s="9"/>
      <c r="AF132" s="9">
        <v>45783.88</v>
      </c>
    </row>
    <row r="133" spans="1:32">
      <c r="A133" s="143">
        <v>45420</v>
      </c>
      <c r="B133" s="9"/>
      <c r="C133" s="9"/>
      <c r="D133" s="9"/>
      <c r="E133" s="9"/>
      <c r="F133" s="9">
        <v>2763.9</v>
      </c>
      <c r="G133" s="9"/>
      <c r="H133" s="9"/>
      <c r="I133" s="9">
        <v>12820.23</v>
      </c>
      <c r="J133" s="9"/>
      <c r="K133" s="9"/>
      <c r="L133" s="9">
        <v>6939.4</v>
      </c>
      <c r="M133" s="9">
        <v>894.6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>
        <v>5962.94</v>
      </c>
      <c r="AE133" s="9"/>
      <c r="AF133" s="9">
        <v>29381.069999999996</v>
      </c>
    </row>
    <row r="134" spans="1:32">
      <c r="A134" s="143">
        <v>45421</v>
      </c>
      <c r="B134" s="9"/>
      <c r="C134" s="9"/>
      <c r="D134" s="9">
        <v>19324.8</v>
      </c>
      <c r="E134" s="9"/>
      <c r="F134" s="9"/>
      <c r="G134" s="9"/>
      <c r="H134" s="9"/>
      <c r="I134" s="9"/>
      <c r="J134" s="9"/>
      <c r="K134" s="9"/>
      <c r="L134" s="9"/>
      <c r="M134" s="9"/>
      <c r="N134" s="9">
        <v>4079.5</v>
      </c>
      <c r="O134" s="9"/>
      <c r="P134" s="9"/>
      <c r="Q134" s="9"/>
      <c r="R134" s="9"/>
      <c r="S134" s="9"/>
      <c r="T134" s="9"/>
      <c r="U134" s="9">
        <v>28913.919999999998</v>
      </c>
      <c r="V134" s="9"/>
      <c r="W134" s="9"/>
      <c r="X134" s="9"/>
      <c r="Y134" s="9"/>
      <c r="Z134" s="9"/>
      <c r="AA134" s="9"/>
      <c r="AB134" s="9">
        <v>20520</v>
      </c>
      <c r="AC134" s="9"/>
      <c r="AD134" s="9"/>
      <c r="AE134" s="9"/>
      <c r="AF134" s="9">
        <v>72838.22</v>
      </c>
    </row>
    <row r="135" spans="1:32">
      <c r="A135" s="143">
        <v>45422</v>
      </c>
      <c r="B135" s="9"/>
      <c r="C135" s="9">
        <v>2525.7600000000002</v>
      </c>
      <c r="D135" s="9">
        <v>2648.36</v>
      </c>
      <c r="E135" s="9">
        <v>4292.4799999999996</v>
      </c>
      <c r="F135" s="9"/>
      <c r="G135" s="9">
        <v>8543.92</v>
      </c>
      <c r="H135" s="9"/>
      <c r="I135" s="9"/>
      <c r="J135" s="9"/>
      <c r="K135" s="9"/>
      <c r="L135" s="9"/>
      <c r="M135" s="9">
        <v>21367.5</v>
      </c>
      <c r="N135" s="9"/>
      <c r="O135" s="9"/>
      <c r="P135" s="9"/>
      <c r="Q135" s="9"/>
      <c r="R135" s="9">
        <v>701.1</v>
      </c>
      <c r="S135" s="9"/>
      <c r="T135" s="9"/>
      <c r="U135" s="9"/>
      <c r="V135" s="9"/>
      <c r="W135" s="9">
        <v>4660.8900000000003</v>
      </c>
      <c r="X135" s="9"/>
      <c r="Y135" s="9"/>
      <c r="Z135" s="9"/>
      <c r="AA135" s="9"/>
      <c r="AB135" s="9"/>
      <c r="AC135" s="9">
        <v>17866.16</v>
      </c>
      <c r="AD135" s="9">
        <v>13682.8</v>
      </c>
      <c r="AE135" s="9"/>
      <c r="AF135" s="9">
        <v>76288.97</v>
      </c>
    </row>
    <row r="136" spans="1:32">
      <c r="A136" s="143">
        <v>45423</v>
      </c>
      <c r="B136" s="9"/>
      <c r="C136" s="9"/>
      <c r="D136" s="9">
        <v>34700.400000000001</v>
      </c>
      <c r="E136" s="9">
        <v>9434.8799999999992</v>
      </c>
      <c r="F136" s="9">
        <v>17593.32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>
        <v>35607.599999999999</v>
      </c>
      <c r="R136" s="9"/>
      <c r="S136" s="9">
        <v>15103.2</v>
      </c>
      <c r="T136" s="9"/>
      <c r="U136" s="9"/>
      <c r="V136" s="9"/>
      <c r="W136" s="9"/>
      <c r="X136" s="9">
        <v>5105.7</v>
      </c>
      <c r="Y136" s="9"/>
      <c r="Z136" s="9"/>
      <c r="AA136" s="9"/>
      <c r="AB136" s="9"/>
      <c r="AC136" s="9"/>
      <c r="AD136" s="9"/>
      <c r="AE136" s="9"/>
      <c r="AF136" s="9">
        <v>117545.09999999999</v>
      </c>
    </row>
    <row r="137" spans="1:32">
      <c r="A137" s="143">
        <v>45424</v>
      </c>
      <c r="B137" s="9"/>
      <c r="C137" s="9"/>
      <c r="D137" s="9"/>
      <c r="E137" s="9"/>
      <c r="F137" s="9"/>
      <c r="G137" s="9">
        <v>20803.86</v>
      </c>
      <c r="H137" s="9"/>
      <c r="I137" s="9"/>
      <c r="J137" s="9"/>
      <c r="K137" s="9"/>
      <c r="L137" s="9"/>
      <c r="M137" s="9">
        <v>11747.8</v>
      </c>
      <c r="N137" s="9"/>
      <c r="O137" s="9">
        <v>16335.75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>
        <v>48887.41</v>
      </c>
    </row>
    <row r="138" spans="1:32">
      <c r="A138" s="143">
        <v>45425</v>
      </c>
      <c r="B138" s="9"/>
      <c r="C138" s="9">
        <v>12411.7</v>
      </c>
      <c r="D138" s="9"/>
      <c r="E138" s="9"/>
      <c r="F138" s="9"/>
      <c r="G138" s="9"/>
      <c r="H138" s="9"/>
      <c r="I138" s="9"/>
      <c r="J138" s="9">
        <v>809.4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>
        <v>3006.72</v>
      </c>
      <c r="V138" s="9"/>
      <c r="W138" s="9"/>
      <c r="X138" s="9"/>
      <c r="Y138" s="9"/>
      <c r="Z138" s="9"/>
      <c r="AA138" s="9"/>
      <c r="AB138" s="9"/>
      <c r="AC138" s="9"/>
      <c r="AD138" s="9">
        <v>37789.64</v>
      </c>
      <c r="AE138" s="9"/>
      <c r="AF138" s="9">
        <v>54017.46</v>
      </c>
    </row>
    <row r="139" spans="1:32">
      <c r="A139" s="143">
        <v>45426</v>
      </c>
      <c r="B139" s="9"/>
      <c r="C139" s="9"/>
      <c r="D139" s="9"/>
      <c r="E139" s="9"/>
      <c r="F139" s="9"/>
      <c r="G139" s="9"/>
      <c r="H139" s="9"/>
      <c r="I139" s="9"/>
      <c r="J139" s="9">
        <v>17604</v>
      </c>
      <c r="K139" s="9"/>
      <c r="L139" s="9"/>
      <c r="M139" s="9"/>
      <c r="N139" s="9">
        <v>20232.96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>
        <v>3165.66</v>
      </c>
      <c r="Z139" s="9"/>
      <c r="AA139" s="9"/>
      <c r="AB139" s="9">
        <v>30460.799999999999</v>
      </c>
      <c r="AC139" s="9"/>
      <c r="AD139" s="9"/>
      <c r="AE139" s="9"/>
      <c r="AF139" s="9">
        <v>71463.42</v>
      </c>
    </row>
    <row r="140" spans="1:32">
      <c r="A140" s="143">
        <v>45427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>
        <v>14068.32</v>
      </c>
      <c r="O140" s="9"/>
      <c r="P140" s="9"/>
      <c r="Q140" s="9">
        <v>15368.96</v>
      </c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>
        <v>29437.279999999999</v>
      </c>
    </row>
    <row r="141" spans="1:32">
      <c r="A141" s="143">
        <v>45428</v>
      </c>
      <c r="B141" s="9"/>
      <c r="C141" s="9"/>
      <c r="D141" s="9"/>
      <c r="E141" s="9">
        <v>14157</v>
      </c>
      <c r="F141" s="9"/>
      <c r="G141" s="9"/>
      <c r="H141" s="9">
        <v>32471.460000000003</v>
      </c>
      <c r="I141" s="9"/>
      <c r="J141" s="9"/>
      <c r="K141" s="9">
        <v>14352</v>
      </c>
      <c r="L141" s="9"/>
      <c r="M141" s="9"/>
      <c r="N141" s="9"/>
      <c r="O141" s="9"/>
      <c r="P141" s="9"/>
      <c r="Q141" s="9"/>
      <c r="R141" s="9"/>
      <c r="S141" s="9"/>
      <c r="T141" s="9"/>
      <c r="U141" s="9">
        <v>24212.5</v>
      </c>
      <c r="V141" s="9">
        <v>9796.8799999999992</v>
      </c>
      <c r="W141" s="9"/>
      <c r="X141" s="9"/>
      <c r="Y141" s="9">
        <v>12487.7</v>
      </c>
      <c r="Z141" s="9"/>
      <c r="AA141" s="9"/>
      <c r="AB141" s="9"/>
      <c r="AC141" s="9"/>
      <c r="AD141" s="9"/>
      <c r="AE141" s="9">
        <v>11581.08</v>
      </c>
      <c r="AF141" s="9">
        <v>119058.62000000001</v>
      </c>
    </row>
    <row r="142" spans="1:32">
      <c r="A142" s="143">
        <v>45429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>
        <v>5900.7</v>
      </c>
      <c r="Q142" s="9"/>
      <c r="R142" s="9"/>
      <c r="S142" s="9">
        <v>70565.8</v>
      </c>
      <c r="T142" s="9"/>
      <c r="U142" s="9"/>
      <c r="V142" s="9"/>
      <c r="W142" s="9"/>
      <c r="X142" s="9"/>
      <c r="Y142" s="9"/>
      <c r="Z142" s="9">
        <v>12530.4</v>
      </c>
      <c r="AA142" s="9"/>
      <c r="AB142" s="9"/>
      <c r="AC142" s="9">
        <v>8414.8799999999992</v>
      </c>
      <c r="AD142" s="9"/>
      <c r="AE142" s="9"/>
      <c r="AF142" s="9">
        <v>97411.78</v>
      </c>
    </row>
    <row r="143" spans="1:32">
      <c r="A143" s="143">
        <v>45430</v>
      </c>
      <c r="B143" s="9"/>
      <c r="C143" s="9"/>
      <c r="D143" s="9"/>
      <c r="E143" s="9"/>
      <c r="F143" s="9"/>
      <c r="G143" s="9"/>
      <c r="H143" s="9">
        <v>2397.6</v>
      </c>
      <c r="I143" s="9">
        <v>226.5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>
        <v>10766.07</v>
      </c>
      <c r="AF143" s="9">
        <v>13390.17</v>
      </c>
    </row>
    <row r="144" spans="1:32">
      <c r="A144" s="143">
        <v>45431</v>
      </c>
      <c r="B144" s="9"/>
      <c r="C144" s="9">
        <v>44805.599999999999</v>
      </c>
      <c r="D144" s="9"/>
      <c r="E144" s="9"/>
      <c r="F144" s="9"/>
      <c r="G144" s="9"/>
      <c r="H144" s="9"/>
      <c r="I144" s="9"/>
      <c r="J144" s="9">
        <v>11523.96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>
        <v>9730.4699999999993</v>
      </c>
      <c r="V144" s="9"/>
      <c r="W144" s="9"/>
      <c r="X144" s="9"/>
      <c r="Y144" s="9">
        <v>10156.799999999999</v>
      </c>
      <c r="Z144" s="9"/>
      <c r="AA144" s="9"/>
      <c r="AB144" s="9"/>
      <c r="AC144" s="9"/>
      <c r="AD144" s="9">
        <v>5229.46</v>
      </c>
      <c r="AE144" s="9">
        <v>23077.5</v>
      </c>
      <c r="AF144" s="9">
        <v>104523.79000000001</v>
      </c>
    </row>
    <row r="145" spans="1:32">
      <c r="A145" s="143">
        <v>45432</v>
      </c>
      <c r="B145" s="9">
        <v>16118.2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>
        <v>3173.73</v>
      </c>
      <c r="N145" s="9"/>
      <c r="O145" s="9">
        <v>42602.400000000001</v>
      </c>
      <c r="P145" s="9"/>
      <c r="Q145" s="9"/>
      <c r="R145" s="9">
        <v>68081.399999999994</v>
      </c>
      <c r="S145" s="9">
        <v>4420.3500000000004</v>
      </c>
      <c r="T145" s="9">
        <v>2917.08</v>
      </c>
      <c r="U145" s="9">
        <v>7916.58</v>
      </c>
      <c r="V145" s="9"/>
      <c r="W145" s="9">
        <v>4141.8999999999996</v>
      </c>
      <c r="X145" s="9"/>
      <c r="Y145" s="9"/>
      <c r="Z145" s="9"/>
      <c r="AA145" s="9"/>
      <c r="AB145" s="9"/>
      <c r="AC145" s="9"/>
      <c r="AD145" s="9"/>
      <c r="AE145" s="9"/>
      <c r="AF145" s="9">
        <v>149371.63999999996</v>
      </c>
    </row>
    <row r="146" spans="1:32">
      <c r="A146" s="143">
        <v>45433</v>
      </c>
      <c r="B146" s="9"/>
      <c r="C146" s="9"/>
      <c r="D146" s="9"/>
      <c r="E146" s="9">
        <v>15037.44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>
        <v>3640.56</v>
      </c>
      <c r="AB146" s="9"/>
      <c r="AC146" s="9"/>
      <c r="AD146" s="9"/>
      <c r="AE146" s="9"/>
      <c r="AF146" s="9">
        <v>18678</v>
      </c>
    </row>
    <row r="147" spans="1:32">
      <c r="A147" s="143">
        <v>45434</v>
      </c>
      <c r="B147" s="9"/>
      <c r="C147" s="9"/>
      <c r="D147" s="9">
        <v>2793.56</v>
      </c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>
        <v>44718.7</v>
      </c>
      <c r="Q147" s="9"/>
      <c r="R147" s="9"/>
      <c r="S147" s="9">
        <v>35721</v>
      </c>
      <c r="T147" s="9"/>
      <c r="U147" s="9"/>
      <c r="V147" s="9"/>
      <c r="W147" s="9"/>
      <c r="X147" s="9"/>
      <c r="Y147" s="9">
        <v>6844.11</v>
      </c>
      <c r="Z147" s="9"/>
      <c r="AA147" s="9"/>
      <c r="AB147" s="9"/>
      <c r="AC147" s="9">
        <v>848.82</v>
      </c>
      <c r="AD147" s="9"/>
      <c r="AE147" s="9"/>
      <c r="AF147" s="9">
        <v>90926.19</v>
      </c>
    </row>
    <row r="148" spans="1:32">
      <c r="A148" s="143">
        <v>45435</v>
      </c>
      <c r="B148" s="9"/>
      <c r="C148" s="9"/>
      <c r="D148" s="9"/>
      <c r="E148" s="9">
        <v>18431.400000000001</v>
      </c>
      <c r="F148" s="9"/>
      <c r="G148" s="9"/>
      <c r="H148" s="9"/>
      <c r="I148" s="9">
        <v>35112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>
        <v>53543.4</v>
      </c>
    </row>
    <row r="149" spans="1:32">
      <c r="A149" s="143">
        <v>45436</v>
      </c>
      <c r="B149" s="9"/>
      <c r="C149" s="9"/>
      <c r="D149" s="9"/>
      <c r="E149" s="9"/>
      <c r="F149" s="9"/>
      <c r="G149" s="9"/>
      <c r="H149" s="9"/>
      <c r="I149" s="9"/>
      <c r="J149" s="9">
        <v>19915.2</v>
      </c>
      <c r="K149" s="9">
        <v>27068.16</v>
      </c>
      <c r="L149" s="9"/>
      <c r="M149" s="9"/>
      <c r="N149" s="9"/>
      <c r="O149" s="9"/>
      <c r="P149" s="9">
        <v>38303.199999999997</v>
      </c>
      <c r="Q149" s="9"/>
      <c r="R149" s="9"/>
      <c r="S149" s="9"/>
      <c r="T149" s="9"/>
      <c r="U149" s="9"/>
      <c r="V149" s="9"/>
      <c r="W149" s="9"/>
      <c r="X149" s="9"/>
      <c r="Y149" s="9">
        <v>11425.7</v>
      </c>
      <c r="Z149" s="9">
        <v>9235.4</v>
      </c>
      <c r="AA149" s="9"/>
      <c r="AB149" s="9"/>
      <c r="AC149" s="9">
        <v>14469</v>
      </c>
      <c r="AD149" s="9"/>
      <c r="AE149" s="9"/>
      <c r="AF149" s="9">
        <v>120416.65999999999</v>
      </c>
    </row>
    <row r="150" spans="1:32">
      <c r="A150" s="143">
        <v>45437</v>
      </c>
      <c r="B150" s="9">
        <v>20221.5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>
        <v>21516.48</v>
      </c>
      <c r="P150" s="9"/>
      <c r="Q150" s="9">
        <v>11992.2</v>
      </c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>
        <v>53730.179999999993</v>
      </c>
    </row>
    <row r="151" spans="1:32">
      <c r="A151" s="143">
        <v>45438</v>
      </c>
      <c r="B151" s="9"/>
      <c r="C151" s="9"/>
      <c r="D151" s="9">
        <v>5605.6</v>
      </c>
      <c r="E151" s="9">
        <v>6120.3</v>
      </c>
      <c r="F151" s="9"/>
      <c r="G151" s="9"/>
      <c r="H151" s="9">
        <v>6288.78</v>
      </c>
      <c r="I151" s="9"/>
      <c r="J151" s="9"/>
      <c r="K151" s="9"/>
      <c r="L151" s="9"/>
      <c r="M151" s="9"/>
      <c r="N151" s="9">
        <v>15365.07</v>
      </c>
      <c r="O151" s="9"/>
      <c r="P151" s="9"/>
      <c r="Q151" s="9"/>
      <c r="R151" s="9"/>
      <c r="S151" s="9"/>
      <c r="T151" s="9"/>
      <c r="U151" s="9"/>
      <c r="V151" s="9"/>
      <c r="W151" s="9"/>
      <c r="X151" s="9">
        <v>2911.8</v>
      </c>
      <c r="Y151" s="9"/>
      <c r="Z151" s="9"/>
      <c r="AA151" s="9">
        <v>23687.52</v>
      </c>
      <c r="AB151" s="9"/>
      <c r="AC151" s="9">
        <v>6765.12</v>
      </c>
      <c r="AD151" s="9"/>
      <c r="AE151" s="9"/>
      <c r="AF151" s="9">
        <v>66744.19</v>
      </c>
    </row>
    <row r="152" spans="1:32">
      <c r="A152" s="143">
        <v>45439</v>
      </c>
      <c r="B152" s="9">
        <v>2894.28</v>
      </c>
      <c r="C152" s="9"/>
      <c r="D152" s="9"/>
      <c r="E152" s="9"/>
      <c r="F152" s="9"/>
      <c r="G152" s="9"/>
      <c r="H152" s="9"/>
      <c r="I152" s="9"/>
      <c r="J152" s="9">
        <v>7373.6</v>
      </c>
      <c r="K152" s="9">
        <v>11124.54</v>
      </c>
      <c r="L152" s="9"/>
      <c r="M152" s="9"/>
      <c r="N152" s="9"/>
      <c r="O152" s="9"/>
      <c r="P152" s="9"/>
      <c r="Q152" s="9"/>
      <c r="R152" s="9"/>
      <c r="S152" s="9"/>
      <c r="T152" s="9"/>
      <c r="U152" s="9">
        <v>41204.04</v>
      </c>
      <c r="V152" s="9"/>
      <c r="W152" s="9"/>
      <c r="X152" s="9"/>
      <c r="Y152" s="9"/>
      <c r="Z152" s="9"/>
      <c r="AA152" s="9"/>
      <c r="AB152" s="9"/>
      <c r="AC152" s="9"/>
      <c r="AD152" s="9">
        <v>41851.880000000005</v>
      </c>
      <c r="AE152" s="9"/>
      <c r="AF152" s="9">
        <v>104448.34000000001</v>
      </c>
    </row>
    <row r="153" spans="1:32">
      <c r="A153" s="143">
        <v>45440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>
        <v>9498.24</v>
      </c>
      <c r="O153" s="9">
        <v>30304.799999999999</v>
      </c>
      <c r="P153" s="9"/>
      <c r="Q153" s="9"/>
      <c r="R153" s="9"/>
      <c r="S153" s="9">
        <v>28576</v>
      </c>
      <c r="T153" s="9">
        <v>6266.82</v>
      </c>
      <c r="U153" s="9">
        <v>31815.599999999999</v>
      </c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>
        <v>106461.46000000002</v>
      </c>
    </row>
    <row r="154" spans="1:32">
      <c r="A154" s="143">
        <v>45441</v>
      </c>
      <c r="B154" s="9"/>
      <c r="C154" s="9">
        <v>2627</v>
      </c>
      <c r="D154" s="9"/>
      <c r="E154" s="9">
        <v>29298.6</v>
      </c>
      <c r="F154" s="9">
        <v>47345.599999999999</v>
      </c>
      <c r="G154" s="9"/>
      <c r="H154" s="9"/>
      <c r="I154" s="9"/>
      <c r="J154" s="9"/>
      <c r="K154" s="9"/>
      <c r="L154" s="9"/>
      <c r="M154" s="9"/>
      <c r="N154" s="9"/>
      <c r="O154" s="9">
        <v>27394.16</v>
      </c>
      <c r="P154" s="9">
        <v>1848.96</v>
      </c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>
        <v>108514.32</v>
      </c>
    </row>
    <row r="155" spans="1:32">
      <c r="A155" s="143">
        <v>45442</v>
      </c>
      <c r="B155" s="9"/>
      <c r="C155" s="9"/>
      <c r="D155" s="9">
        <v>36779.4</v>
      </c>
      <c r="E155" s="9"/>
      <c r="F155" s="9"/>
      <c r="G155" s="9">
        <v>12022.5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>
        <v>17534.72</v>
      </c>
      <c r="S155" s="9"/>
      <c r="T155" s="9"/>
      <c r="U155" s="9"/>
      <c r="V155" s="9">
        <v>1024.92</v>
      </c>
      <c r="W155" s="9"/>
      <c r="X155" s="9"/>
      <c r="Y155" s="9"/>
      <c r="Z155" s="9"/>
      <c r="AA155" s="9">
        <v>2752.32</v>
      </c>
      <c r="AB155" s="9"/>
      <c r="AC155" s="9"/>
      <c r="AD155" s="9"/>
      <c r="AE155" s="9"/>
      <c r="AF155" s="9">
        <v>70113.86</v>
      </c>
    </row>
    <row r="156" spans="1:32">
      <c r="A156" s="143">
        <v>45443</v>
      </c>
      <c r="B156" s="9"/>
      <c r="C156" s="9"/>
      <c r="D156" s="9">
        <v>16580.7</v>
      </c>
      <c r="E156" s="9"/>
      <c r="F156" s="9"/>
      <c r="G156" s="9">
        <v>33866.82</v>
      </c>
      <c r="H156" s="9"/>
      <c r="I156" s="9"/>
      <c r="J156" s="9"/>
      <c r="K156" s="9"/>
      <c r="L156" s="9"/>
      <c r="M156" s="9"/>
      <c r="N156" s="9"/>
      <c r="O156" s="9">
        <v>15342.47</v>
      </c>
      <c r="P156" s="9"/>
      <c r="Q156" s="9"/>
      <c r="R156" s="9"/>
      <c r="S156" s="9">
        <v>9234</v>
      </c>
      <c r="T156" s="9">
        <v>14451.36</v>
      </c>
      <c r="U156" s="9">
        <v>18240.32</v>
      </c>
      <c r="V156" s="9">
        <v>27365.599999999999</v>
      </c>
      <c r="W156" s="9"/>
      <c r="X156" s="9"/>
      <c r="Y156" s="9"/>
      <c r="Z156" s="9"/>
      <c r="AA156" s="9"/>
      <c r="AB156" s="9"/>
      <c r="AC156" s="9"/>
      <c r="AD156" s="9">
        <v>71754.489999999991</v>
      </c>
      <c r="AE156" s="9"/>
      <c r="AF156" s="9">
        <v>206835.76</v>
      </c>
    </row>
    <row r="157" spans="1:32">
      <c r="A157" s="143">
        <v>45444</v>
      </c>
      <c r="B157" s="9"/>
      <c r="C157" s="9"/>
      <c r="D157" s="9"/>
      <c r="E157" s="9"/>
      <c r="F157" s="9"/>
      <c r="G157" s="9">
        <v>48458.400000000001</v>
      </c>
      <c r="H157" s="9">
        <v>1212.68</v>
      </c>
      <c r="I157" s="9"/>
      <c r="J157" s="9"/>
      <c r="K157" s="9"/>
      <c r="L157" s="9"/>
      <c r="M157" s="9"/>
      <c r="N157" s="9"/>
      <c r="O157" s="9"/>
      <c r="P157" s="9"/>
      <c r="Q157" s="9">
        <v>45800.639999999999</v>
      </c>
      <c r="R157" s="9">
        <v>23562</v>
      </c>
      <c r="S157" s="9">
        <v>39009.449999999997</v>
      </c>
      <c r="T157" s="9"/>
      <c r="U157" s="9"/>
      <c r="V157" s="9"/>
      <c r="W157" s="9"/>
      <c r="X157" s="9"/>
      <c r="Y157" s="9">
        <v>3295.11</v>
      </c>
      <c r="Z157" s="9"/>
      <c r="AA157" s="9"/>
      <c r="AB157" s="9"/>
      <c r="AC157" s="9"/>
      <c r="AD157" s="9"/>
      <c r="AE157" s="9"/>
      <c r="AF157" s="9">
        <v>161338.27999999997</v>
      </c>
    </row>
    <row r="158" spans="1:32">
      <c r="A158" s="143">
        <v>45445</v>
      </c>
      <c r="B158" s="9"/>
      <c r="C158" s="9"/>
      <c r="D158" s="9"/>
      <c r="E158" s="9"/>
      <c r="F158" s="9"/>
      <c r="G158" s="9">
        <v>2927.4</v>
      </c>
      <c r="H158" s="9"/>
      <c r="I158" s="9">
        <v>1682.4</v>
      </c>
      <c r="J158" s="9"/>
      <c r="K158" s="9"/>
      <c r="L158" s="9"/>
      <c r="M158" s="9">
        <v>4581.8</v>
      </c>
      <c r="N158" s="9">
        <v>19241.28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>
        <v>30956.85</v>
      </c>
      <c r="AF158" s="9">
        <v>59389.729999999996</v>
      </c>
    </row>
    <row r="159" spans="1:32">
      <c r="A159" s="143">
        <v>45446</v>
      </c>
      <c r="B159" s="9"/>
      <c r="C159" s="9"/>
      <c r="D159" s="9"/>
      <c r="E159" s="9">
        <v>14083.36</v>
      </c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>
        <v>8110.08</v>
      </c>
      <c r="Q159" s="9"/>
      <c r="R159" s="9"/>
      <c r="S159" s="9"/>
      <c r="T159" s="9"/>
      <c r="U159" s="9"/>
      <c r="V159" s="9">
        <v>26527.759999999998</v>
      </c>
      <c r="W159" s="9">
        <v>9163</v>
      </c>
      <c r="X159" s="9"/>
      <c r="Y159" s="9"/>
      <c r="Z159" s="9"/>
      <c r="AA159" s="9"/>
      <c r="AB159" s="9"/>
      <c r="AC159" s="9"/>
      <c r="AD159" s="9"/>
      <c r="AE159" s="9"/>
      <c r="AF159" s="9">
        <v>57884.2</v>
      </c>
    </row>
    <row r="160" spans="1:32">
      <c r="A160" s="143">
        <v>45447</v>
      </c>
      <c r="B160" s="9"/>
      <c r="C160" s="9"/>
      <c r="D160" s="9"/>
      <c r="E160" s="9">
        <v>3196.8</v>
      </c>
      <c r="F160" s="9"/>
      <c r="G160" s="9"/>
      <c r="H160" s="9"/>
      <c r="I160" s="9"/>
      <c r="J160" s="9"/>
      <c r="K160" s="9"/>
      <c r="L160" s="9"/>
      <c r="M160" s="9">
        <v>20662.88</v>
      </c>
      <c r="N160" s="9">
        <v>12376.98</v>
      </c>
      <c r="O160" s="9"/>
      <c r="P160" s="9"/>
      <c r="Q160" s="9"/>
      <c r="R160" s="9">
        <v>11440.8</v>
      </c>
      <c r="S160" s="9"/>
      <c r="T160" s="9">
        <v>5360.04</v>
      </c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>
        <v>10897.92</v>
      </c>
      <c r="AF160" s="9">
        <v>63935.420000000006</v>
      </c>
    </row>
    <row r="161" spans="1:32">
      <c r="A161" s="143">
        <v>45448</v>
      </c>
      <c r="B161" s="9"/>
      <c r="C161" s="9"/>
      <c r="D161" s="9"/>
      <c r="E161" s="9">
        <v>14198.4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>
        <v>4411.8</v>
      </c>
      <c r="T161" s="9">
        <v>21868.799999999999</v>
      </c>
      <c r="U161" s="9"/>
      <c r="V161" s="9"/>
      <c r="W161" s="9"/>
      <c r="X161" s="9"/>
      <c r="Y161" s="9"/>
      <c r="Z161" s="9"/>
      <c r="AA161" s="9"/>
      <c r="AB161" s="9"/>
      <c r="AC161" s="9">
        <v>25691.68</v>
      </c>
      <c r="AD161" s="9"/>
      <c r="AE161" s="9">
        <v>2173.5</v>
      </c>
      <c r="AF161" s="9">
        <v>68344.179999999993</v>
      </c>
    </row>
    <row r="162" spans="1:32">
      <c r="A162" s="143">
        <v>45449</v>
      </c>
      <c r="B162" s="9"/>
      <c r="C162" s="9"/>
      <c r="D162" s="9">
        <v>6107.43</v>
      </c>
      <c r="E162" s="9">
        <v>1026.78</v>
      </c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>
        <v>26053.5</v>
      </c>
      <c r="T162" s="9">
        <v>15836.88</v>
      </c>
      <c r="U162" s="9">
        <v>9963.2000000000007</v>
      </c>
      <c r="V162" s="9"/>
      <c r="W162" s="9"/>
      <c r="X162" s="9"/>
      <c r="Y162" s="9"/>
      <c r="Z162" s="9"/>
      <c r="AA162" s="9"/>
      <c r="AB162" s="9"/>
      <c r="AC162" s="9"/>
      <c r="AD162" s="9">
        <v>4003.2</v>
      </c>
      <c r="AE162" s="9">
        <v>10257</v>
      </c>
      <c r="AF162" s="9">
        <v>73247.989999999991</v>
      </c>
    </row>
    <row r="163" spans="1:32">
      <c r="A163" s="143">
        <v>45450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>
        <v>15083.92</v>
      </c>
      <c r="V163" s="9">
        <v>22336.799999999999</v>
      </c>
      <c r="W163" s="9"/>
      <c r="X163" s="9"/>
      <c r="Y163" s="9"/>
      <c r="Z163" s="9"/>
      <c r="AA163" s="9"/>
      <c r="AB163" s="9"/>
      <c r="AC163" s="9"/>
      <c r="AD163" s="9"/>
      <c r="AE163" s="9"/>
      <c r="AF163" s="9">
        <v>37420.720000000001</v>
      </c>
    </row>
    <row r="164" spans="1:32">
      <c r="A164" s="143">
        <v>45451</v>
      </c>
      <c r="B164" s="9">
        <v>33978.6</v>
      </c>
      <c r="C164" s="9"/>
      <c r="D164" s="9"/>
      <c r="E164" s="9"/>
      <c r="F164" s="9"/>
      <c r="G164" s="9">
        <v>24712.32</v>
      </c>
      <c r="H164" s="9"/>
      <c r="I164" s="9">
        <v>5473.12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>
        <v>25036.05</v>
      </c>
      <c r="AC164" s="9"/>
      <c r="AD164" s="9"/>
      <c r="AE164" s="9"/>
      <c r="AF164" s="9">
        <v>89200.09</v>
      </c>
    </row>
    <row r="165" spans="1:32">
      <c r="A165" s="143">
        <v>45452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>
        <v>2435.6999999999998</v>
      </c>
      <c r="U165" s="9"/>
      <c r="V165" s="9"/>
      <c r="W165" s="9"/>
      <c r="X165" s="9"/>
      <c r="Y165" s="9"/>
      <c r="Z165" s="9"/>
      <c r="AA165" s="9"/>
      <c r="AB165" s="9"/>
      <c r="AC165" s="9">
        <v>5076.26</v>
      </c>
      <c r="AD165" s="9"/>
      <c r="AE165" s="9"/>
      <c r="AF165" s="9">
        <v>7511.96</v>
      </c>
    </row>
    <row r="166" spans="1:32">
      <c r="A166" s="143">
        <v>45453</v>
      </c>
      <c r="B166" s="9"/>
      <c r="C166" s="9"/>
      <c r="D166" s="9">
        <v>23954.98</v>
      </c>
      <c r="E166" s="9"/>
      <c r="F166" s="9"/>
      <c r="G166" s="9">
        <v>30695.94</v>
      </c>
      <c r="H166" s="9"/>
      <c r="I166" s="9"/>
      <c r="J166" s="9">
        <v>10579.8</v>
      </c>
      <c r="K166" s="9"/>
      <c r="L166" s="9"/>
      <c r="M166" s="9"/>
      <c r="N166" s="9"/>
      <c r="O166" s="9">
        <v>6380.4</v>
      </c>
      <c r="P166" s="9"/>
      <c r="Q166" s="9"/>
      <c r="R166" s="9"/>
      <c r="S166" s="9">
        <v>1560.6</v>
      </c>
      <c r="T166" s="9"/>
      <c r="U166" s="9"/>
      <c r="V166" s="9"/>
      <c r="W166" s="9">
        <v>10376.1</v>
      </c>
      <c r="X166" s="9">
        <v>42393.78</v>
      </c>
      <c r="Y166" s="9"/>
      <c r="Z166" s="9"/>
      <c r="AA166" s="9"/>
      <c r="AB166" s="9"/>
      <c r="AC166" s="9">
        <v>10473.780000000001</v>
      </c>
      <c r="AD166" s="9"/>
      <c r="AE166" s="9"/>
      <c r="AF166" s="9">
        <v>136415.38</v>
      </c>
    </row>
    <row r="167" spans="1:32">
      <c r="A167" s="143">
        <v>45454</v>
      </c>
      <c r="B167" s="9"/>
      <c r="C167" s="9">
        <v>25577.5</v>
      </c>
      <c r="D167" s="9"/>
      <c r="E167" s="9">
        <v>5319.9</v>
      </c>
      <c r="F167" s="9">
        <v>29670.879999999997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>
        <v>21511.98</v>
      </c>
      <c r="T167" s="9"/>
      <c r="U167" s="9"/>
      <c r="V167" s="9">
        <v>4894.5</v>
      </c>
      <c r="W167" s="9"/>
      <c r="X167" s="9"/>
      <c r="Y167" s="9">
        <v>26175.24</v>
      </c>
      <c r="Z167" s="9">
        <v>27246.240000000002</v>
      </c>
      <c r="AA167" s="9"/>
      <c r="AB167" s="9"/>
      <c r="AC167" s="9"/>
      <c r="AD167" s="9"/>
      <c r="AE167" s="9"/>
      <c r="AF167" s="9">
        <v>140396.24</v>
      </c>
    </row>
    <row r="168" spans="1:32">
      <c r="A168" s="143">
        <v>45455</v>
      </c>
      <c r="B168" s="9">
        <v>25643.4</v>
      </c>
      <c r="C168" s="9"/>
      <c r="D168" s="9"/>
      <c r="E168" s="9"/>
      <c r="F168" s="9"/>
      <c r="G168" s="9"/>
      <c r="H168" s="9"/>
      <c r="I168" s="9"/>
      <c r="J168" s="9"/>
      <c r="K168" s="9">
        <v>17656.32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>
        <v>2712.96</v>
      </c>
      <c r="Z168" s="9"/>
      <c r="AA168" s="9">
        <v>12447.6</v>
      </c>
      <c r="AB168" s="9"/>
      <c r="AC168" s="9"/>
      <c r="AD168" s="9"/>
      <c r="AE168" s="9"/>
      <c r="AF168" s="9">
        <v>58460.28</v>
      </c>
    </row>
    <row r="169" spans="1:32">
      <c r="A169" s="143">
        <v>45456</v>
      </c>
      <c r="B169" s="9"/>
      <c r="C169" s="9">
        <v>7840.8</v>
      </c>
      <c r="D169" s="9"/>
      <c r="E169" s="9"/>
      <c r="F169" s="9"/>
      <c r="G169" s="9"/>
      <c r="H169" s="9">
        <v>17217.2</v>
      </c>
      <c r="I169" s="9"/>
      <c r="J169" s="9">
        <v>1737.2</v>
      </c>
      <c r="K169" s="9"/>
      <c r="L169" s="9">
        <v>14347.2</v>
      </c>
      <c r="M169" s="9"/>
      <c r="N169" s="9"/>
      <c r="O169" s="9"/>
      <c r="P169" s="9"/>
      <c r="Q169" s="9">
        <v>8781.2999999999993</v>
      </c>
      <c r="R169" s="9"/>
      <c r="S169" s="9"/>
      <c r="T169" s="9"/>
      <c r="U169" s="9"/>
      <c r="V169" s="9">
        <v>2560.96</v>
      </c>
      <c r="W169" s="9"/>
      <c r="X169" s="9"/>
      <c r="Y169" s="9"/>
      <c r="Z169" s="9"/>
      <c r="AA169" s="9"/>
      <c r="AB169" s="9"/>
      <c r="AC169" s="9"/>
      <c r="AD169" s="9"/>
      <c r="AE169" s="9"/>
      <c r="AF169" s="9">
        <v>52484.659999999996</v>
      </c>
    </row>
    <row r="170" spans="1:32">
      <c r="A170" s="143">
        <v>45457</v>
      </c>
      <c r="B170" s="9"/>
      <c r="C170" s="9">
        <v>1324.95</v>
      </c>
      <c r="D170" s="9"/>
      <c r="E170" s="9"/>
      <c r="F170" s="9"/>
      <c r="G170" s="9"/>
      <c r="H170" s="9"/>
      <c r="I170" s="9"/>
      <c r="J170" s="9"/>
      <c r="K170" s="9"/>
      <c r="L170" s="9"/>
      <c r="M170" s="9">
        <v>20167</v>
      </c>
      <c r="N170" s="9">
        <v>2218.3200000000002</v>
      </c>
      <c r="O170" s="9"/>
      <c r="P170" s="9"/>
      <c r="Q170" s="9">
        <v>1209.5700000000002</v>
      </c>
      <c r="R170" s="9">
        <v>21146.400000000001</v>
      </c>
      <c r="S170" s="9"/>
      <c r="T170" s="9">
        <v>7421.26</v>
      </c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>
        <v>4225.6499999999996</v>
      </c>
      <c r="AF170" s="9">
        <v>57713.150000000009</v>
      </c>
    </row>
    <row r="171" spans="1:32">
      <c r="A171" s="143">
        <v>45458</v>
      </c>
      <c r="B171" s="9"/>
      <c r="C171" s="9"/>
      <c r="D171" s="9"/>
      <c r="E171" s="9"/>
      <c r="F171" s="9"/>
      <c r="G171" s="9">
        <v>13982.64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>
        <v>5148.3999999999996</v>
      </c>
      <c r="AE171" s="9"/>
      <c r="AF171" s="9">
        <v>19131.04</v>
      </c>
    </row>
    <row r="172" spans="1:32">
      <c r="A172" s="143">
        <v>45459</v>
      </c>
      <c r="B172" s="9"/>
      <c r="C172" s="9"/>
      <c r="D172" s="9"/>
      <c r="E172" s="9"/>
      <c r="F172" s="9">
        <v>1944.72</v>
      </c>
      <c r="G172" s="9">
        <v>10933.38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>
        <v>15301.44</v>
      </c>
      <c r="V172" s="9"/>
      <c r="W172" s="9"/>
      <c r="X172" s="9"/>
      <c r="Y172" s="9">
        <v>18735.64</v>
      </c>
      <c r="Z172" s="9">
        <v>613.79999999999995</v>
      </c>
      <c r="AA172" s="9"/>
      <c r="AB172" s="9">
        <v>3416.49</v>
      </c>
      <c r="AC172" s="9"/>
      <c r="AD172" s="9"/>
      <c r="AE172" s="9"/>
      <c r="AF172" s="9">
        <v>50945.47</v>
      </c>
    </row>
    <row r="173" spans="1:32">
      <c r="A173" s="143">
        <v>45460</v>
      </c>
      <c r="B173" s="9">
        <v>6038.73</v>
      </c>
      <c r="C173" s="9"/>
      <c r="D173" s="9">
        <v>2101.4</v>
      </c>
      <c r="E173" s="9"/>
      <c r="F173" s="9"/>
      <c r="G173" s="9"/>
      <c r="H173" s="9"/>
      <c r="I173" s="9"/>
      <c r="J173" s="9">
        <v>23275.23</v>
      </c>
      <c r="K173" s="9"/>
      <c r="L173" s="9"/>
      <c r="M173" s="9"/>
      <c r="N173" s="9"/>
      <c r="O173" s="9"/>
      <c r="P173" s="9"/>
      <c r="Q173" s="9"/>
      <c r="R173" s="9"/>
      <c r="S173" s="9">
        <v>7746.3</v>
      </c>
      <c r="T173" s="9"/>
      <c r="U173" s="9">
        <v>874.2</v>
      </c>
      <c r="V173" s="9"/>
      <c r="W173" s="9">
        <v>11504.6</v>
      </c>
      <c r="X173" s="9">
        <v>29748.33</v>
      </c>
      <c r="Y173" s="9"/>
      <c r="Z173" s="9"/>
      <c r="AA173" s="9"/>
      <c r="AB173" s="9"/>
      <c r="AC173" s="9"/>
      <c r="AD173" s="9"/>
      <c r="AE173" s="9"/>
      <c r="AF173" s="9">
        <v>81288.790000000008</v>
      </c>
    </row>
    <row r="174" spans="1:32">
      <c r="A174" s="143">
        <v>45461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>
        <v>9571.2000000000007</v>
      </c>
      <c r="P174" s="9"/>
      <c r="Q174" s="9"/>
      <c r="R174" s="9"/>
      <c r="S174" s="9"/>
      <c r="T174" s="9">
        <v>19679.400000000001</v>
      </c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>
        <v>4279.8599999999997</v>
      </c>
      <c r="AF174" s="9">
        <v>33530.46</v>
      </c>
    </row>
    <row r="175" spans="1:32">
      <c r="A175" s="143">
        <v>45462</v>
      </c>
      <c r="B175" s="9"/>
      <c r="C175" s="9"/>
      <c r="D175" s="9"/>
      <c r="E175" s="9"/>
      <c r="F175" s="9"/>
      <c r="G175" s="9"/>
      <c r="H175" s="9"/>
      <c r="I175" s="9">
        <v>19403.46</v>
      </c>
      <c r="J175" s="9"/>
      <c r="K175" s="9"/>
      <c r="L175" s="9"/>
      <c r="M175" s="9">
        <v>5636.4</v>
      </c>
      <c r="N175" s="9"/>
      <c r="O175" s="9"/>
      <c r="P175" s="9"/>
      <c r="Q175" s="9"/>
      <c r="R175" s="9"/>
      <c r="S175" s="9">
        <v>17515.84</v>
      </c>
      <c r="T175" s="9">
        <v>34889.699999999997</v>
      </c>
      <c r="U175" s="9">
        <v>15881.6</v>
      </c>
      <c r="V175" s="9"/>
      <c r="W175" s="9">
        <v>2495.0100000000002</v>
      </c>
      <c r="X175" s="9"/>
      <c r="Y175" s="9"/>
      <c r="Z175" s="9"/>
      <c r="AA175" s="9"/>
      <c r="AB175" s="9"/>
      <c r="AC175" s="9"/>
      <c r="AD175" s="9">
        <v>7001.28</v>
      </c>
      <c r="AE175" s="9"/>
      <c r="AF175" s="9">
        <v>102823.29</v>
      </c>
    </row>
    <row r="176" spans="1:32">
      <c r="A176" s="143">
        <v>45463</v>
      </c>
      <c r="B176" s="9">
        <v>7893.27</v>
      </c>
      <c r="C176" s="9">
        <v>7767.68</v>
      </c>
      <c r="D176" s="9"/>
      <c r="E176" s="9"/>
      <c r="F176" s="9">
        <v>19879.2</v>
      </c>
      <c r="G176" s="9"/>
      <c r="H176" s="9"/>
      <c r="I176" s="9"/>
      <c r="J176" s="9">
        <v>34202.42</v>
      </c>
      <c r="K176" s="9"/>
      <c r="L176" s="9">
        <v>17539.2</v>
      </c>
      <c r="M176" s="9"/>
      <c r="N176" s="9"/>
      <c r="O176" s="9"/>
      <c r="P176" s="9">
        <v>1778.7</v>
      </c>
      <c r="Q176" s="9"/>
      <c r="R176" s="9"/>
      <c r="S176" s="9"/>
      <c r="T176" s="9"/>
      <c r="U176" s="9"/>
      <c r="V176" s="9"/>
      <c r="W176" s="9"/>
      <c r="X176" s="9"/>
      <c r="Y176" s="9"/>
      <c r="Z176" s="9">
        <v>10725</v>
      </c>
      <c r="AA176" s="9">
        <v>6667.92</v>
      </c>
      <c r="AB176" s="9"/>
      <c r="AC176" s="9"/>
      <c r="AD176" s="9"/>
      <c r="AE176" s="9"/>
      <c r="AF176" s="9">
        <v>106453.39</v>
      </c>
    </row>
    <row r="177" spans="1:32">
      <c r="A177" s="143">
        <v>45464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>
        <v>9604.7999999999993</v>
      </c>
      <c r="W177" s="9"/>
      <c r="X177" s="9"/>
      <c r="Y177" s="9"/>
      <c r="Z177" s="9"/>
      <c r="AA177" s="9"/>
      <c r="AB177" s="9"/>
      <c r="AC177" s="9"/>
      <c r="AD177" s="9"/>
      <c r="AE177" s="9"/>
      <c r="AF177" s="9">
        <v>9604.7999999999993</v>
      </c>
    </row>
    <row r="178" spans="1:32">
      <c r="A178" s="143">
        <v>45465</v>
      </c>
      <c r="B178" s="9"/>
      <c r="C178" s="9"/>
      <c r="D178" s="9"/>
      <c r="E178" s="9">
        <v>4562.88</v>
      </c>
      <c r="F178" s="9"/>
      <c r="G178" s="9"/>
      <c r="H178" s="9">
        <v>14297.85</v>
      </c>
      <c r="I178" s="9"/>
      <c r="J178" s="9"/>
      <c r="K178" s="9"/>
      <c r="L178" s="9">
        <v>13739.04</v>
      </c>
      <c r="M178" s="9"/>
      <c r="N178" s="9"/>
      <c r="O178" s="9"/>
      <c r="P178" s="9"/>
      <c r="Q178" s="9"/>
      <c r="R178" s="9">
        <v>17633.14</v>
      </c>
      <c r="S178" s="9"/>
      <c r="T178" s="9"/>
      <c r="U178" s="9">
        <v>32703.93</v>
      </c>
      <c r="V178" s="9"/>
      <c r="W178" s="9">
        <v>2484.2399999999998</v>
      </c>
      <c r="X178" s="9">
        <v>30173.040000000001</v>
      </c>
      <c r="Y178" s="9"/>
      <c r="Z178" s="9"/>
      <c r="AA178" s="9"/>
      <c r="AB178" s="9"/>
      <c r="AC178" s="9"/>
      <c r="AD178" s="9"/>
      <c r="AE178" s="9"/>
      <c r="AF178" s="9">
        <v>115594.12</v>
      </c>
    </row>
    <row r="179" spans="1:32">
      <c r="A179" s="143">
        <v>45466</v>
      </c>
      <c r="B179" s="9"/>
      <c r="C179" s="9"/>
      <c r="D179" s="9"/>
      <c r="E179" s="9"/>
      <c r="F179" s="9">
        <v>16625.7</v>
      </c>
      <c r="G179" s="9">
        <v>9576.84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>
        <v>8375.25</v>
      </c>
      <c r="AA179" s="9"/>
      <c r="AB179" s="9">
        <v>19367.64</v>
      </c>
      <c r="AC179" s="9"/>
      <c r="AD179" s="9"/>
      <c r="AE179" s="9"/>
      <c r="AF179" s="9">
        <v>53945.43</v>
      </c>
    </row>
    <row r="180" spans="1:32">
      <c r="A180" s="143">
        <v>45467</v>
      </c>
      <c r="B180" s="9">
        <v>9235.9500000000007</v>
      </c>
      <c r="C180" s="9"/>
      <c r="D180" s="9">
        <v>2812.48</v>
      </c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>
        <v>915.84</v>
      </c>
      <c r="V180" s="9"/>
      <c r="W180" s="9"/>
      <c r="X180" s="9"/>
      <c r="Y180" s="9"/>
      <c r="Z180" s="9"/>
      <c r="AA180" s="9"/>
      <c r="AB180" s="9"/>
      <c r="AC180" s="9"/>
      <c r="AD180" s="9">
        <v>12859</v>
      </c>
      <c r="AE180" s="9"/>
      <c r="AF180" s="9">
        <v>25823.27</v>
      </c>
    </row>
    <row r="181" spans="1:32">
      <c r="A181" s="143">
        <v>45468</v>
      </c>
      <c r="B181" s="9"/>
      <c r="C181" s="9">
        <v>1943.24</v>
      </c>
      <c r="D181" s="9"/>
      <c r="E181" s="9"/>
      <c r="F181" s="9"/>
      <c r="G181" s="9"/>
      <c r="H181" s="9"/>
      <c r="I181" s="9"/>
      <c r="J181" s="9"/>
      <c r="K181" s="9">
        <v>7891.5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>
        <v>1448.55</v>
      </c>
      <c r="AC181" s="9"/>
      <c r="AD181" s="9"/>
      <c r="AE181" s="9"/>
      <c r="AF181" s="9">
        <v>11283.289999999999</v>
      </c>
    </row>
    <row r="182" spans="1:32">
      <c r="A182" s="143">
        <v>45469</v>
      </c>
      <c r="B182" s="9"/>
      <c r="C182" s="9"/>
      <c r="D182" s="9"/>
      <c r="E182" s="9"/>
      <c r="F182" s="9"/>
      <c r="G182" s="9">
        <v>37587</v>
      </c>
      <c r="H182" s="9">
        <v>18532.8</v>
      </c>
      <c r="I182" s="9">
        <v>47451.66</v>
      </c>
      <c r="J182" s="9"/>
      <c r="K182" s="9"/>
      <c r="L182" s="9"/>
      <c r="M182" s="9">
        <v>8170.2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>
        <v>4696.12</v>
      </c>
      <c r="AF182" s="9">
        <v>116437.78</v>
      </c>
    </row>
    <row r="183" spans="1:32">
      <c r="A183" s="143">
        <v>45470</v>
      </c>
      <c r="B183" s="9"/>
      <c r="C183" s="9">
        <v>26607.200000000001</v>
      </c>
      <c r="D183" s="9"/>
      <c r="E183" s="9"/>
      <c r="F183" s="9">
        <v>25091.5</v>
      </c>
      <c r="G183" s="9">
        <v>12377.68</v>
      </c>
      <c r="H183" s="9"/>
      <c r="I183" s="9"/>
      <c r="J183" s="9"/>
      <c r="K183" s="9"/>
      <c r="L183" s="9"/>
      <c r="M183" s="9"/>
      <c r="N183" s="9"/>
      <c r="O183" s="9"/>
      <c r="P183" s="9">
        <v>2951.62</v>
      </c>
      <c r="Q183" s="9"/>
      <c r="R183" s="9"/>
      <c r="S183" s="9"/>
      <c r="T183" s="9"/>
      <c r="U183" s="9"/>
      <c r="V183" s="9"/>
      <c r="W183" s="9">
        <v>6353.73</v>
      </c>
      <c r="X183" s="9"/>
      <c r="Y183" s="9"/>
      <c r="Z183" s="9"/>
      <c r="AA183" s="9"/>
      <c r="AB183" s="9"/>
      <c r="AC183" s="9">
        <v>5899</v>
      </c>
      <c r="AD183" s="9"/>
      <c r="AE183" s="9"/>
      <c r="AF183" s="9">
        <v>79280.73</v>
      </c>
    </row>
    <row r="184" spans="1:32">
      <c r="A184" s="143">
        <v>45471</v>
      </c>
      <c r="B184" s="9"/>
      <c r="C184" s="9">
        <v>11692</v>
      </c>
      <c r="D184" s="9"/>
      <c r="E184" s="9"/>
      <c r="F184" s="9"/>
      <c r="G184" s="9"/>
      <c r="H184" s="9"/>
      <c r="I184" s="9"/>
      <c r="J184" s="9"/>
      <c r="K184" s="9">
        <v>3910.34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>
        <v>15602.34</v>
      </c>
    </row>
    <row r="185" spans="1:32">
      <c r="A185" s="143">
        <v>45472</v>
      </c>
      <c r="B185" s="9"/>
      <c r="C185" s="9"/>
      <c r="D185" s="9">
        <v>2989.8</v>
      </c>
      <c r="E185" s="9"/>
      <c r="F185" s="9">
        <v>19993.32</v>
      </c>
      <c r="G185" s="9"/>
      <c r="H185" s="9">
        <v>7634.58</v>
      </c>
      <c r="I185" s="9">
        <v>8470.7999999999993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>
        <v>19038.96</v>
      </c>
      <c r="X185" s="9"/>
      <c r="Y185" s="9">
        <v>2531.7600000000002</v>
      </c>
      <c r="Z185" s="9">
        <v>18819.809999999998</v>
      </c>
      <c r="AA185" s="9"/>
      <c r="AB185" s="9"/>
      <c r="AC185" s="9"/>
      <c r="AD185" s="9"/>
      <c r="AE185" s="9"/>
      <c r="AF185" s="9">
        <v>79479.03</v>
      </c>
    </row>
    <row r="186" spans="1:32">
      <c r="A186" s="143">
        <v>45473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>
        <v>973.56</v>
      </c>
      <c r="AA186" s="9"/>
      <c r="AB186" s="9"/>
      <c r="AC186" s="9"/>
      <c r="AD186" s="9"/>
      <c r="AE186" s="9"/>
      <c r="AF186" s="9">
        <v>973.56</v>
      </c>
    </row>
    <row r="187" spans="1:32">
      <c r="A187" s="143">
        <v>45474</v>
      </c>
      <c r="B187" s="9"/>
      <c r="C187" s="9">
        <v>16005.92</v>
      </c>
      <c r="D187" s="9"/>
      <c r="E187" s="9"/>
      <c r="F187" s="9"/>
      <c r="G187" s="9"/>
      <c r="H187" s="9"/>
      <c r="I187" s="9">
        <v>5940</v>
      </c>
      <c r="J187" s="9"/>
      <c r="K187" s="9"/>
      <c r="L187" s="9"/>
      <c r="M187" s="9"/>
      <c r="N187" s="9">
        <v>11094.72</v>
      </c>
      <c r="O187" s="9"/>
      <c r="P187" s="9"/>
      <c r="Q187" s="9"/>
      <c r="R187" s="9"/>
      <c r="S187" s="9"/>
      <c r="T187" s="9">
        <v>7527.32</v>
      </c>
      <c r="U187" s="9"/>
      <c r="V187" s="9"/>
      <c r="W187" s="9"/>
      <c r="X187" s="9"/>
      <c r="Y187" s="9"/>
      <c r="Z187" s="9"/>
      <c r="AA187" s="9"/>
      <c r="AB187" s="9">
        <v>11689.92</v>
      </c>
      <c r="AC187" s="9"/>
      <c r="AD187" s="9"/>
      <c r="AE187" s="9"/>
      <c r="AF187" s="9">
        <v>52257.88</v>
      </c>
    </row>
    <row r="188" spans="1:32">
      <c r="A188" s="143">
        <v>45475</v>
      </c>
      <c r="B188" s="9"/>
      <c r="C188" s="9">
        <v>5909.76</v>
      </c>
      <c r="D188" s="9"/>
      <c r="E188" s="9"/>
      <c r="F188" s="9"/>
      <c r="G188" s="9"/>
      <c r="H188" s="9"/>
      <c r="I188" s="9"/>
      <c r="J188" s="9">
        <v>7007.68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>
        <v>1003.44</v>
      </c>
      <c r="AD188" s="9"/>
      <c r="AE188" s="9"/>
      <c r="AF188" s="9">
        <v>13920.880000000001</v>
      </c>
    </row>
    <row r="189" spans="1:32">
      <c r="A189" s="143">
        <v>45476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>
        <v>6350.34</v>
      </c>
      <c r="P189" s="9">
        <v>15862.08</v>
      </c>
      <c r="Q189" s="9"/>
      <c r="R189" s="9"/>
      <c r="S189" s="9"/>
      <c r="T189" s="9"/>
      <c r="U189" s="9"/>
      <c r="V189" s="9">
        <v>14756.2</v>
      </c>
      <c r="W189" s="9">
        <v>8873.67</v>
      </c>
      <c r="X189" s="9"/>
      <c r="Y189" s="9"/>
      <c r="Z189" s="9">
        <v>1199.08</v>
      </c>
      <c r="AA189" s="9"/>
      <c r="AB189" s="9"/>
      <c r="AC189" s="9"/>
      <c r="AD189" s="9"/>
      <c r="AE189" s="9"/>
      <c r="AF189" s="9">
        <v>47041.369999999995</v>
      </c>
    </row>
    <row r="190" spans="1:32">
      <c r="A190" s="143">
        <v>45477</v>
      </c>
      <c r="B190" s="9"/>
      <c r="C190" s="9"/>
      <c r="D190" s="9">
        <v>14153.75</v>
      </c>
      <c r="E190" s="9"/>
      <c r="F190" s="9"/>
      <c r="G190" s="9"/>
      <c r="H190" s="9"/>
      <c r="I190" s="9"/>
      <c r="J190" s="9"/>
      <c r="K190" s="9"/>
      <c r="L190" s="9"/>
      <c r="M190" s="9">
        <v>17478.78</v>
      </c>
      <c r="N190" s="9"/>
      <c r="O190" s="9"/>
      <c r="P190" s="9"/>
      <c r="Q190" s="9"/>
      <c r="R190" s="9"/>
      <c r="S190" s="9"/>
      <c r="T190" s="9"/>
      <c r="U190" s="9"/>
      <c r="V190" s="9">
        <v>15315.52</v>
      </c>
      <c r="W190" s="9"/>
      <c r="X190" s="9"/>
      <c r="Y190" s="9"/>
      <c r="Z190" s="9"/>
      <c r="AA190" s="9"/>
      <c r="AB190" s="9"/>
      <c r="AC190" s="9"/>
      <c r="AD190" s="9">
        <v>13456.87</v>
      </c>
      <c r="AE190" s="9"/>
      <c r="AF190" s="9">
        <v>60404.920000000006</v>
      </c>
    </row>
    <row r="191" spans="1:32">
      <c r="A191" s="143">
        <v>45478</v>
      </c>
      <c r="B191" s="9">
        <v>948.29</v>
      </c>
      <c r="C191" s="9"/>
      <c r="D191" s="9"/>
      <c r="E191" s="9"/>
      <c r="F191" s="9"/>
      <c r="G191" s="9"/>
      <c r="H191" s="9">
        <v>7969.06</v>
      </c>
      <c r="I191" s="9"/>
      <c r="J191" s="9"/>
      <c r="K191" s="9"/>
      <c r="L191" s="9"/>
      <c r="M191" s="9"/>
      <c r="N191" s="9"/>
      <c r="O191" s="9">
        <v>1617.66</v>
      </c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>
        <v>36356</v>
      </c>
      <c r="AF191" s="9">
        <v>46891.01</v>
      </c>
    </row>
    <row r="192" spans="1:32">
      <c r="A192" s="143">
        <v>45479</v>
      </c>
      <c r="B192" s="9"/>
      <c r="C192" s="9"/>
      <c r="D192" s="9">
        <v>58428.800000000003</v>
      </c>
      <c r="E192" s="9"/>
      <c r="F192" s="9"/>
      <c r="G192" s="9">
        <v>7913</v>
      </c>
      <c r="H192" s="9"/>
      <c r="I192" s="9"/>
      <c r="J192" s="9">
        <v>20639.89</v>
      </c>
      <c r="K192" s="9">
        <v>8432.64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>
        <v>17647.96</v>
      </c>
      <c r="Z192" s="9"/>
      <c r="AA192" s="9"/>
      <c r="AB192" s="9"/>
      <c r="AC192" s="9"/>
      <c r="AD192" s="9"/>
      <c r="AE192" s="9"/>
      <c r="AF192" s="9">
        <v>113062.29000000001</v>
      </c>
    </row>
    <row r="193" spans="1:32">
      <c r="A193" s="143">
        <v>45480</v>
      </c>
      <c r="B193" s="9"/>
      <c r="C193" s="9"/>
      <c r="D193" s="9">
        <v>32028.1</v>
      </c>
      <c r="E193" s="9">
        <v>1486.8</v>
      </c>
      <c r="F193" s="9"/>
      <c r="G193" s="9"/>
      <c r="H193" s="9"/>
      <c r="I193" s="9"/>
      <c r="J193" s="9"/>
      <c r="K193" s="9">
        <v>15980.16</v>
      </c>
      <c r="L193" s="9"/>
      <c r="M193" s="9"/>
      <c r="N193" s="9"/>
      <c r="O193" s="9"/>
      <c r="P193" s="9"/>
      <c r="Q193" s="9"/>
      <c r="R193" s="9">
        <v>4516.7</v>
      </c>
      <c r="S193" s="9"/>
      <c r="T193" s="9"/>
      <c r="U193" s="9"/>
      <c r="V193" s="9"/>
      <c r="W193" s="9">
        <v>20762.560000000001</v>
      </c>
      <c r="X193" s="9"/>
      <c r="Y193" s="9"/>
      <c r="Z193" s="9">
        <v>23026.5</v>
      </c>
      <c r="AA193" s="9"/>
      <c r="AB193" s="9"/>
      <c r="AC193" s="9"/>
      <c r="AD193" s="9"/>
      <c r="AE193" s="9"/>
      <c r="AF193" s="9">
        <v>97800.819999999992</v>
      </c>
    </row>
    <row r="194" spans="1:32">
      <c r="A194" s="143">
        <v>45481</v>
      </c>
      <c r="B194" s="9"/>
      <c r="C194" s="9"/>
      <c r="D194" s="9"/>
      <c r="E194" s="9"/>
      <c r="F194" s="9">
        <v>11022.9</v>
      </c>
      <c r="G194" s="9"/>
      <c r="H194" s="9"/>
      <c r="I194" s="9"/>
      <c r="J194" s="9"/>
      <c r="K194" s="9"/>
      <c r="L194" s="9"/>
      <c r="M194" s="9"/>
      <c r="N194" s="9"/>
      <c r="O194" s="9">
        <v>20487.68</v>
      </c>
      <c r="P194" s="9"/>
      <c r="Q194" s="9">
        <v>775.72</v>
      </c>
      <c r="R194" s="9"/>
      <c r="S194" s="9"/>
      <c r="T194" s="9">
        <v>2118.88</v>
      </c>
      <c r="U194" s="9"/>
      <c r="V194" s="9"/>
      <c r="W194" s="9">
        <v>23971.64</v>
      </c>
      <c r="X194" s="9"/>
      <c r="Y194" s="9"/>
      <c r="Z194" s="9">
        <v>7815.5</v>
      </c>
      <c r="AA194" s="9"/>
      <c r="AB194" s="9"/>
      <c r="AC194" s="9"/>
      <c r="AD194" s="9"/>
      <c r="AE194" s="9"/>
      <c r="AF194" s="9">
        <v>66192.320000000007</v>
      </c>
    </row>
    <row r="195" spans="1:32">
      <c r="A195" s="143">
        <v>45482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>
        <v>3147.6</v>
      </c>
      <c r="N195" s="9"/>
      <c r="O195" s="9"/>
      <c r="P195" s="9"/>
      <c r="Q195" s="9"/>
      <c r="R195" s="9"/>
      <c r="S195" s="9"/>
      <c r="T195" s="9"/>
      <c r="U195" s="9"/>
      <c r="V195" s="9"/>
      <c r="W195" s="9">
        <v>28080.720000000001</v>
      </c>
      <c r="X195" s="9"/>
      <c r="Y195" s="9"/>
      <c r="Z195" s="9"/>
      <c r="AA195" s="9"/>
      <c r="AB195" s="9"/>
      <c r="AC195" s="9">
        <v>11624.16</v>
      </c>
      <c r="AD195" s="9"/>
      <c r="AE195" s="9"/>
      <c r="AF195" s="9">
        <v>42852.479999999996</v>
      </c>
    </row>
    <row r="196" spans="1:32">
      <c r="A196" s="143">
        <v>45483</v>
      </c>
      <c r="B196" s="9"/>
      <c r="C196" s="9"/>
      <c r="D196" s="9">
        <v>37765.259999999995</v>
      </c>
      <c r="E196" s="9"/>
      <c r="F196" s="9"/>
      <c r="G196" s="9"/>
      <c r="H196" s="9"/>
      <c r="I196" s="9">
        <v>8707.2000000000007</v>
      </c>
      <c r="J196" s="9">
        <v>71365.05</v>
      </c>
      <c r="K196" s="9"/>
      <c r="L196" s="9">
        <v>22801.8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>
        <v>20221.919999999998</v>
      </c>
      <c r="AD196" s="9">
        <v>5252.1</v>
      </c>
      <c r="AE196" s="9"/>
      <c r="AF196" s="9">
        <v>166113.32999999999</v>
      </c>
    </row>
    <row r="197" spans="1:32">
      <c r="A197" s="143">
        <v>45484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>
        <v>5650.56</v>
      </c>
      <c r="V197" s="9"/>
      <c r="W197" s="9">
        <v>2171.2800000000002</v>
      </c>
      <c r="X197" s="9"/>
      <c r="Y197" s="9"/>
      <c r="Z197" s="9"/>
      <c r="AA197" s="9"/>
      <c r="AB197" s="9"/>
      <c r="AC197" s="9"/>
      <c r="AD197" s="9">
        <v>12200.76</v>
      </c>
      <c r="AE197" s="9"/>
      <c r="AF197" s="9">
        <v>20022.599999999999</v>
      </c>
    </row>
    <row r="198" spans="1:32">
      <c r="A198" s="143">
        <v>45485</v>
      </c>
      <c r="B198" s="9"/>
      <c r="C198" s="9"/>
      <c r="D198" s="9"/>
      <c r="E198" s="9"/>
      <c r="F198" s="9"/>
      <c r="G198" s="9"/>
      <c r="H198" s="9"/>
      <c r="I198" s="9">
        <v>17114.580000000002</v>
      </c>
      <c r="J198" s="9"/>
      <c r="K198" s="9"/>
      <c r="L198" s="9"/>
      <c r="M198" s="9">
        <v>20642.400000000001</v>
      </c>
      <c r="N198" s="9"/>
      <c r="O198" s="9"/>
      <c r="P198" s="9"/>
      <c r="Q198" s="9"/>
      <c r="R198" s="9"/>
      <c r="S198" s="9"/>
      <c r="T198" s="9"/>
      <c r="U198" s="9">
        <v>8880.2999999999993</v>
      </c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>
        <v>46637.279999999999</v>
      </c>
    </row>
    <row r="199" spans="1:32">
      <c r="A199" s="143">
        <v>45486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>
        <v>2336.16</v>
      </c>
      <c r="V199" s="9">
        <v>37522.14</v>
      </c>
      <c r="W199" s="9"/>
      <c r="X199" s="9">
        <v>5570.88</v>
      </c>
      <c r="Y199" s="9">
        <v>2277.7199999999998</v>
      </c>
      <c r="Z199" s="9"/>
      <c r="AA199" s="9"/>
      <c r="AB199" s="9"/>
      <c r="AC199" s="9">
        <v>7720.72</v>
      </c>
      <c r="AD199" s="9"/>
      <c r="AE199" s="9"/>
      <c r="AF199" s="9">
        <v>55427.62</v>
      </c>
    </row>
    <row r="200" spans="1:32">
      <c r="A200" s="143">
        <v>45487</v>
      </c>
      <c r="B200" s="9"/>
      <c r="C200" s="9"/>
      <c r="D200" s="9"/>
      <c r="E200" s="9"/>
      <c r="F200" s="9"/>
      <c r="G200" s="9"/>
      <c r="H200" s="9"/>
      <c r="I200" s="9"/>
      <c r="J200" s="9"/>
      <c r="K200" s="9">
        <v>62043.6</v>
      </c>
      <c r="L200" s="9"/>
      <c r="M200" s="9"/>
      <c r="N200" s="9"/>
      <c r="O200" s="9"/>
      <c r="P200" s="9"/>
      <c r="Q200" s="9"/>
      <c r="R200" s="9"/>
      <c r="S200" s="9"/>
      <c r="T200" s="9">
        <v>15636.6</v>
      </c>
      <c r="U200" s="9"/>
      <c r="V200" s="9">
        <v>4573.4399999999996</v>
      </c>
      <c r="W200" s="9">
        <v>38644.480000000003</v>
      </c>
      <c r="X200" s="9"/>
      <c r="Y200" s="9"/>
      <c r="Z200" s="9"/>
      <c r="AA200" s="9"/>
      <c r="AB200" s="9"/>
      <c r="AC200" s="9"/>
      <c r="AD200" s="9"/>
      <c r="AE200" s="9"/>
      <c r="AF200" s="9">
        <v>120898.12</v>
      </c>
    </row>
    <row r="201" spans="1:32">
      <c r="A201" s="143">
        <v>45488</v>
      </c>
      <c r="B201" s="9"/>
      <c r="C201" s="9">
        <v>17744.86</v>
      </c>
      <c r="D201" s="9"/>
      <c r="E201" s="9"/>
      <c r="F201" s="9"/>
      <c r="G201" s="9">
        <v>22529.200000000001</v>
      </c>
      <c r="H201" s="9"/>
      <c r="I201" s="9"/>
      <c r="J201" s="9"/>
      <c r="K201" s="9"/>
      <c r="L201" s="9"/>
      <c r="M201" s="9">
        <v>2725.38</v>
      </c>
      <c r="N201" s="9"/>
      <c r="O201" s="9">
        <v>4026</v>
      </c>
      <c r="P201" s="9"/>
      <c r="Q201" s="9">
        <v>17093.64</v>
      </c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>
        <v>12184.96</v>
      </c>
      <c r="AC201" s="9"/>
      <c r="AD201" s="9"/>
      <c r="AE201" s="9"/>
      <c r="AF201" s="9">
        <v>76304.039999999994</v>
      </c>
    </row>
    <row r="202" spans="1:32">
      <c r="A202" s="143">
        <v>45489</v>
      </c>
      <c r="B202" s="9"/>
      <c r="C202" s="9"/>
      <c r="D202" s="9"/>
      <c r="E202" s="9"/>
      <c r="F202" s="9"/>
      <c r="G202" s="9"/>
      <c r="H202" s="9"/>
      <c r="I202" s="9"/>
      <c r="J202" s="9"/>
      <c r="K202" s="9">
        <v>697</v>
      </c>
      <c r="L202" s="9"/>
      <c r="M202" s="9">
        <v>19975.5</v>
      </c>
      <c r="N202" s="9"/>
      <c r="O202" s="9">
        <v>11241.45</v>
      </c>
      <c r="P202" s="9"/>
      <c r="Q202" s="9"/>
      <c r="R202" s="9"/>
      <c r="S202" s="9"/>
      <c r="T202" s="9"/>
      <c r="U202" s="9"/>
      <c r="V202" s="9"/>
      <c r="W202" s="9">
        <v>26172.93</v>
      </c>
      <c r="X202" s="9"/>
      <c r="Y202" s="9"/>
      <c r="Z202" s="9">
        <v>32652.63</v>
      </c>
      <c r="AA202" s="9"/>
      <c r="AB202" s="9"/>
      <c r="AC202" s="9">
        <v>22350.400000000001</v>
      </c>
      <c r="AD202" s="9"/>
      <c r="AE202" s="9"/>
      <c r="AF202" s="9">
        <v>113089.91</v>
      </c>
    </row>
    <row r="203" spans="1:32">
      <c r="A203" s="143">
        <v>45490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>
        <v>7479.92</v>
      </c>
      <c r="P203" s="9"/>
      <c r="Q203" s="9"/>
      <c r="R203" s="9"/>
      <c r="S203" s="9">
        <v>11366.88</v>
      </c>
      <c r="T203" s="9">
        <v>28452.9</v>
      </c>
      <c r="U203" s="9"/>
      <c r="V203" s="9"/>
      <c r="W203" s="9"/>
      <c r="X203" s="9"/>
      <c r="Y203" s="9"/>
      <c r="Z203" s="9"/>
      <c r="AA203" s="9">
        <v>13927.630000000001</v>
      </c>
      <c r="AB203" s="9"/>
      <c r="AC203" s="9"/>
      <c r="AD203" s="9"/>
      <c r="AE203" s="9"/>
      <c r="AF203" s="9">
        <v>61227.33</v>
      </c>
    </row>
    <row r="204" spans="1:32">
      <c r="A204" s="143">
        <v>45491</v>
      </c>
      <c r="B204" s="9"/>
      <c r="C204" s="9"/>
      <c r="D204" s="9"/>
      <c r="E204" s="9"/>
      <c r="F204" s="9">
        <v>6783.21</v>
      </c>
      <c r="G204" s="9"/>
      <c r="H204" s="9"/>
      <c r="I204" s="9"/>
      <c r="J204" s="9"/>
      <c r="K204" s="9"/>
      <c r="L204" s="9"/>
      <c r="M204" s="9"/>
      <c r="N204" s="9">
        <v>15659.42</v>
      </c>
      <c r="O204" s="9"/>
      <c r="P204" s="9"/>
      <c r="Q204" s="9"/>
      <c r="R204" s="9"/>
      <c r="S204" s="9"/>
      <c r="T204" s="9"/>
      <c r="U204" s="9"/>
      <c r="V204" s="9"/>
      <c r="W204" s="9">
        <v>26041.4</v>
      </c>
      <c r="X204" s="9"/>
      <c r="Y204" s="9"/>
      <c r="Z204" s="9"/>
      <c r="AA204" s="9"/>
      <c r="AB204" s="9"/>
      <c r="AC204" s="9"/>
      <c r="AD204" s="9"/>
      <c r="AE204" s="9"/>
      <c r="AF204" s="9">
        <v>48484.03</v>
      </c>
    </row>
    <row r="205" spans="1:32">
      <c r="A205" s="143">
        <v>45492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>
        <v>12622.8</v>
      </c>
      <c r="R205" s="9"/>
      <c r="S205" s="9"/>
      <c r="T205" s="9"/>
      <c r="U205" s="9">
        <v>8631.36</v>
      </c>
      <c r="V205" s="9"/>
      <c r="W205" s="9"/>
      <c r="X205" s="9"/>
      <c r="Y205" s="9"/>
      <c r="Z205" s="9"/>
      <c r="AA205" s="9"/>
      <c r="AB205" s="9">
        <v>8375.64</v>
      </c>
      <c r="AC205" s="9"/>
      <c r="AD205" s="9"/>
      <c r="AE205" s="9">
        <v>2000.22</v>
      </c>
      <c r="AF205" s="9">
        <v>31630.02</v>
      </c>
    </row>
    <row r="206" spans="1:32">
      <c r="A206" s="143">
        <v>45493</v>
      </c>
      <c r="B206" s="9">
        <v>3602.34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>
        <v>12004.44</v>
      </c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>
        <v>8686.4</v>
      </c>
      <c r="AF206" s="9">
        <v>24293.18</v>
      </c>
    </row>
    <row r="207" spans="1:32">
      <c r="A207" s="143">
        <v>45494</v>
      </c>
      <c r="B207" s="9"/>
      <c r="C207" s="9"/>
      <c r="D207" s="9">
        <v>22940.82</v>
      </c>
      <c r="E207" s="9"/>
      <c r="F207" s="9"/>
      <c r="G207" s="9"/>
      <c r="H207" s="9"/>
      <c r="I207" s="9">
        <v>1927.23</v>
      </c>
      <c r="J207" s="9"/>
      <c r="K207" s="9"/>
      <c r="L207" s="9"/>
      <c r="M207" s="9">
        <v>4149.5600000000004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>
        <v>3403.2</v>
      </c>
      <c r="AF207" s="9">
        <v>32420.81</v>
      </c>
    </row>
    <row r="208" spans="1:32">
      <c r="A208" s="143">
        <v>45495</v>
      </c>
      <c r="B208" s="9"/>
      <c r="C208" s="9"/>
      <c r="D208" s="9"/>
      <c r="E208" s="9"/>
      <c r="F208" s="9">
        <v>1478.28</v>
      </c>
      <c r="G208" s="9"/>
      <c r="H208" s="9"/>
      <c r="I208" s="9">
        <v>8236.7999999999993</v>
      </c>
      <c r="J208" s="9"/>
      <c r="K208" s="9"/>
      <c r="L208" s="9"/>
      <c r="M208" s="9"/>
      <c r="N208" s="9">
        <v>5979.6</v>
      </c>
      <c r="O208" s="9"/>
      <c r="P208" s="9">
        <v>15185.9</v>
      </c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>
        <v>11938.1</v>
      </c>
      <c r="AE208" s="9"/>
      <c r="AF208" s="9">
        <v>42818.68</v>
      </c>
    </row>
    <row r="209" spans="1:32">
      <c r="A209" s="143">
        <v>45496</v>
      </c>
      <c r="B209" s="9">
        <v>6258.57</v>
      </c>
      <c r="C209" s="9"/>
      <c r="D209" s="9"/>
      <c r="E209" s="9"/>
      <c r="F209" s="9"/>
      <c r="G209" s="9"/>
      <c r="H209" s="9"/>
      <c r="I209" s="9"/>
      <c r="J209" s="9"/>
      <c r="K209" s="9">
        <v>889.44</v>
      </c>
      <c r="L209" s="9"/>
      <c r="M209" s="9"/>
      <c r="N209" s="9"/>
      <c r="O209" s="9"/>
      <c r="P209" s="9"/>
      <c r="Q209" s="9"/>
      <c r="R209" s="9"/>
      <c r="S209" s="9">
        <v>29673</v>
      </c>
      <c r="T209" s="9"/>
      <c r="U209" s="9"/>
      <c r="V209" s="9"/>
      <c r="W209" s="9"/>
      <c r="X209" s="9"/>
      <c r="Y209" s="9"/>
      <c r="Z209" s="9">
        <v>13300.56</v>
      </c>
      <c r="AA209" s="9"/>
      <c r="AB209" s="9"/>
      <c r="AC209" s="9"/>
      <c r="AD209" s="9"/>
      <c r="AE209" s="9"/>
      <c r="AF209" s="9">
        <v>50121.57</v>
      </c>
    </row>
    <row r="210" spans="1:32">
      <c r="A210" s="143">
        <v>45497</v>
      </c>
      <c r="B210" s="9"/>
      <c r="C210" s="9"/>
      <c r="D210" s="9">
        <v>1822.62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>
        <v>19337.04</v>
      </c>
      <c r="Q210" s="9"/>
      <c r="R210" s="9"/>
      <c r="S210" s="9"/>
      <c r="T210" s="9"/>
      <c r="U210" s="9"/>
      <c r="V210" s="9"/>
      <c r="W210" s="9"/>
      <c r="X210" s="9">
        <v>21396.959999999999</v>
      </c>
      <c r="Y210" s="9">
        <v>1507.16</v>
      </c>
      <c r="Z210" s="9"/>
      <c r="AA210" s="9"/>
      <c r="AB210" s="9"/>
      <c r="AC210" s="9">
        <v>11608.56</v>
      </c>
      <c r="AD210" s="9"/>
      <c r="AE210" s="9"/>
      <c r="AF210" s="9">
        <v>55672.34</v>
      </c>
    </row>
    <row r="211" spans="1:32">
      <c r="A211" s="143">
        <v>45498</v>
      </c>
      <c r="B211" s="9">
        <v>17952</v>
      </c>
      <c r="C211" s="9"/>
      <c r="D211" s="9"/>
      <c r="E211" s="9"/>
      <c r="F211" s="9">
        <v>1364.96</v>
      </c>
      <c r="G211" s="9"/>
      <c r="H211" s="9"/>
      <c r="I211" s="9"/>
      <c r="J211" s="9"/>
      <c r="K211" s="9"/>
      <c r="L211" s="9"/>
      <c r="M211" s="9">
        <v>2722.56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>
        <v>22760.17</v>
      </c>
      <c r="AA211" s="9"/>
      <c r="AB211" s="9"/>
      <c r="AC211" s="9"/>
      <c r="AD211" s="9"/>
      <c r="AE211" s="9">
        <v>26080.560000000001</v>
      </c>
      <c r="AF211" s="9">
        <v>70880.25</v>
      </c>
    </row>
    <row r="212" spans="1:32">
      <c r="A212" s="143">
        <v>45499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>
        <v>36199.56</v>
      </c>
      <c r="X212" s="9">
        <v>36004.15</v>
      </c>
      <c r="Y212" s="9"/>
      <c r="Z212" s="9"/>
      <c r="AA212" s="9"/>
      <c r="AB212" s="9"/>
      <c r="AC212" s="9">
        <v>2627.52</v>
      </c>
      <c r="AD212" s="9"/>
      <c r="AE212" s="9"/>
      <c r="AF212" s="9">
        <v>74831.23</v>
      </c>
    </row>
    <row r="213" spans="1:32">
      <c r="A213" s="143">
        <v>45500</v>
      </c>
      <c r="B213" s="9"/>
      <c r="C213" s="9">
        <v>23289.200000000001</v>
      </c>
      <c r="D213" s="9">
        <v>18782.400000000001</v>
      </c>
      <c r="E213" s="9"/>
      <c r="F213" s="9"/>
      <c r="G213" s="9"/>
      <c r="H213" s="9"/>
      <c r="I213" s="9">
        <v>6295.08</v>
      </c>
      <c r="J213" s="9"/>
      <c r="K213" s="9">
        <v>2784.87</v>
      </c>
      <c r="L213" s="9"/>
      <c r="M213" s="9">
        <v>4176</v>
      </c>
      <c r="N213" s="9"/>
      <c r="O213" s="9">
        <v>23557.1</v>
      </c>
      <c r="P213" s="9">
        <v>698.4</v>
      </c>
      <c r="Q213" s="9"/>
      <c r="R213" s="9"/>
      <c r="S213" s="9"/>
      <c r="T213" s="9"/>
      <c r="U213" s="9"/>
      <c r="V213" s="9"/>
      <c r="W213" s="9"/>
      <c r="X213" s="9"/>
      <c r="Y213" s="9">
        <v>37341</v>
      </c>
      <c r="Z213" s="9"/>
      <c r="AA213" s="9"/>
      <c r="AB213" s="9"/>
      <c r="AC213" s="9"/>
      <c r="AD213" s="9"/>
      <c r="AE213" s="9">
        <v>12744.8</v>
      </c>
      <c r="AF213" s="9">
        <v>129668.85</v>
      </c>
    </row>
    <row r="214" spans="1:32">
      <c r="A214" s="143">
        <v>45501</v>
      </c>
      <c r="B214" s="9"/>
      <c r="C214" s="9"/>
      <c r="D214" s="9"/>
      <c r="E214" s="9"/>
      <c r="F214" s="9"/>
      <c r="G214" s="9"/>
      <c r="H214" s="9"/>
      <c r="I214" s="9"/>
      <c r="J214" s="9"/>
      <c r="K214" s="9">
        <v>5180.7700000000004</v>
      </c>
      <c r="L214" s="9">
        <v>8571.42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>
        <v>17988.3</v>
      </c>
      <c r="AE214" s="9"/>
      <c r="AF214" s="9">
        <v>31740.489999999998</v>
      </c>
    </row>
    <row r="215" spans="1:32">
      <c r="A215" s="143">
        <v>45502</v>
      </c>
      <c r="B215" s="9"/>
      <c r="C215" s="9"/>
      <c r="D215" s="9"/>
      <c r="E215" s="9">
        <v>6336.68</v>
      </c>
      <c r="F215" s="9"/>
      <c r="G215" s="9">
        <v>8037.12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>
        <v>6632.34</v>
      </c>
      <c r="U215" s="9">
        <v>2602.77</v>
      </c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>
        <v>23608.91</v>
      </c>
    </row>
    <row r="216" spans="1:32">
      <c r="A216" s="143">
        <v>45503</v>
      </c>
      <c r="B216" s="9"/>
      <c r="C216" s="9"/>
      <c r="D216" s="9"/>
      <c r="E216" s="9"/>
      <c r="F216" s="9"/>
      <c r="G216" s="9"/>
      <c r="H216" s="9"/>
      <c r="I216" s="9">
        <v>2351.13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>
        <v>24156.9</v>
      </c>
      <c r="AA216" s="9"/>
      <c r="AB216" s="9"/>
      <c r="AC216" s="9">
        <v>11026.08</v>
      </c>
      <c r="AD216" s="9"/>
      <c r="AE216" s="9"/>
      <c r="AF216" s="9">
        <v>37534.11</v>
      </c>
    </row>
    <row r="217" spans="1:32">
      <c r="A217" s="143">
        <v>45504</v>
      </c>
      <c r="B217" s="9"/>
      <c r="C217" s="9"/>
      <c r="D217" s="9"/>
      <c r="E217" s="9"/>
      <c r="F217" s="9"/>
      <c r="G217" s="9"/>
      <c r="H217" s="9">
        <v>3559.18</v>
      </c>
      <c r="I217" s="9">
        <v>25281.45</v>
      </c>
      <c r="J217" s="9"/>
      <c r="K217" s="9"/>
      <c r="L217" s="9"/>
      <c r="M217" s="9"/>
      <c r="N217" s="9"/>
      <c r="O217" s="9"/>
      <c r="P217" s="9"/>
      <c r="Q217" s="9">
        <v>40054.949999999997</v>
      </c>
      <c r="R217" s="9"/>
      <c r="S217" s="9"/>
      <c r="T217" s="9"/>
      <c r="U217" s="9">
        <v>854.56</v>
      </c>
      <c r="V217" s="9"/>
      <c r="W217" s="9"/>
      <c r="X217" s="9">
        <v>26091</v>
      </c>
      <c r="Y217" s="9"/>
      <c r="Z217" s="9">
        <v>15323.88</v>
      </c>
      <c r="AA217" s="9"/>
      <c r="AB217" s="9"/>
      <c r="AC217" s="9"/>
      <c r="AD217" s="9"/>
      <c r="AE217" s="9"/>
      <c r="AF217" s="9">
        <v>111165.02</v>
      </c>
    </row>
    <row r="218" spans="1:32">
      <c r="A218" s="143">
        <v>45505</v>
      </c>
      <c r="B218" s="9"/>
      <c r="C218" s="9"/>
      <c r="D218" s="9"/>
      <c r="E218" s="9">
        <v>12705</v>
      </c>
      <c r="F218" s="9"/>
      <c r="G218" s="9"/>
      <c r="H218" s="9"/>
      <c r="I218" s="9"/>
      <c r="J218" s="9"/>
      <c r="K218" s="9">
        <v>18046.5</v>
      </c>
      <c r="L218" s="9"/>
      <c r="M218" s="9"/>
      <c r="N218" s="9"/>
      <c r="O218" s="9"/>
      <c r="P218" s="9">
        <v>5685.6</v>
      </c>
      <c r="Q218" s="9"/>
      <c r="R218" s="9">
        <v>37978.199999999997</v>
      </c>
      <c r="S218" s="9"/>
      <c r="T218" s="9">
        <v>5359.2</v>
      </c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>
        <v>79774.499999999985</v>
      </c>
    </row>
    <row r="219" spans="1:32">
      <c r="A219" s="143">
        <v>45506</v>
      </c>
      <c r="B219" s="9"/>
      <c r="C219" s="9"/>
      <c r="D219" s="9"/>
      <c r="E219" s="9"/>
      <c r="F219" s="9"/>
      <c r="G219" s="9"/>
      <c r="H219" s="9"/>
      <c r="I219" s="9"/>
      <c r="J219" s="9">
        <v>3713.68</v>
      </c>
      <c r="K219" s="9"/>
      <c r="L219" s="9">
        <v>32014.080000000002</v>
      </c>
      <c r="M219" s="9"/>
      <c r="N219" s="9"/>
      <c r="O219" s="9"/>
      <c r="P219" s="9">
        <v>1060.56</v>
      </c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>
        <v>2183.8000000000002</v>
      </c>
      <c r="AB219" s="9"/>
      <c r="AC219" s="9">
        <v>6828.4</v>
      </c>
      <c r="AD219" s="9">
        <v>10903.2</v>
      </c>
      <c r="AE219" s="9"/>
      <c r="AF219" s="9">
        <v>56703.72</v>
      </c>
    </row>
    <row r="220" spans="1:32">
      <c r="A220" s="143">
        <v>45507</v>
      </c>
      <c r="B220" s="9"/>
      <c r="C220" s="9"/>
      <c r="D220" s="9"/>
      <c r="E220" s="9">
        <v>7464.6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>
        <v>19562.400000000001</v>
      </c>
      <c r="Q220" s="9"/>
      <c r="R220" s="9"/>
      <c r="S220" s="9">
        <v>14152</v>
      </c>
      <c r="T220" s="9"/>
      <c r="U220" s="9">
        <v>1223.44</v>
      </c>
      <c r="V220" s="9"/>
      <c r="W220" s="9"/>
      <c r="X220" s="9"/>
      <c r="Y220" s="9"/>
      <c r="Z220" s="9"/>
      <c r="AA220" s="9"/>
      <c r="AB220" s="9"/>
      <c r="AC220" s="9"/>
      <c r="AD220" s="9"/>
      <c r="AE220" s="9">
        <v>22524.32</v>
      </c>
      <c r="AF220" s="9">
        <v>64926.76</v>
      </c>
    </row>
    <row r="221" spans="1:32">
      <c r="A221" s="143">
        <v>45508</v>
      </c>
      <c r="B221" s="9"/>
      <c r="C221" s="9"/>
      <c r="D221" s="9"/>
      <c r="E221" s="9"/>
      <c r="F221" s="9"/>
      <c r="G221" s="9"/>
      <c r="H221" s="9">
        <v>4643.12</v>
      </c>
      <c r="I221" s="9"/>
      <c r="J221" s="9">
        <v>19040.759999999998</v>
      </c>
      <c r="K221" s="9">
        <v>18748.8</v>
      </c>
      <c r="L221" s="9"/>
      <c r="M221" s="9">
        <v>23798.400000000001</v>
      </c>
      <c r="N221" s="9"/>
      <c r="O221" s="9">
        <v>711.14</v>
      </c>
      <c r="P221" s="9"/>
      <c r="Q221" s="9"/>
      <c r="R221" s="9"/>
      <c r="S221" s="9"/>
      <c r="T221" s="9"/>
      <c r="U221" s="9">
        <v>35018.28</v>
      </c>
      <c r="V221" s="9"/>
      <c r="W221" s="9"/>
      <c r="X221" s="9"/>
      <c r="Y221" s="9"/>
      <c r="Z221" s="9"/>
      <c r="AA221" s="9"/>
      <c r="AB221" s="9">
        <v>2874.33</v>
      </c>
      <c r="AC221" s="9"/>
      <c r="AD221" s="9"/>
      <c r="AE221" s="9"/>
      <c r="AF221" s="9">
        <v>104834.82999999999</v>
      </c>
    </row>
    <row r="222" spans="1:32">
      <c r="A222" s="143">
        <v>45509</v>
      </c>
      <c r="B222" s="9">
        <v>14995.900000000001</v>
      </c>
      <c r="C222" s="9"/>
      <c r="D222" s="9"/>
      <c r="E222" s="9"/>
      <c r="F222" s="9"/>
      <c r="G222" s="9"/>
      <c r="H222" s="9"/>
      <c r="I222" s="9"/>
      <c r="J222" s="9">
        <v>12087</v>
      </c>
      <c r="K222" s="9">
        <v>9265.92</v>
      </c>
      <c r="L222" s="9"/>
      <c r="M222" s="9">
        <v>846.81</v>
      </c>
      <c r="N222" s="9"/>
      <c r="O222" s="9"/>
      <c r="P222" s="9"/>
      <c r="Q222" s="9">
        <v>25902.5</v>
      </c>
      <c r="R222" s="9"/>
      <c r="S222" s="9"/>
      <c r="T222" s="9"/>
      <c r="U222" s="9"/>
      <c r="V222" s="9"/>
      <c r="W222" s="9"/>
      <c r="X222" s="9"/>
      <c r="Y222" s="9"/>
      <c r="Z222" s="9"/>
      <c r="AA222" s="9">
        <v>13260</v>
      </c>
      <c r="AB222" s="9"/>
      <c r="AC222" s="9"/>
      <c r="AD222" s="9"/>
      <c r="AE222" s="9"/>
      <c r="AF222" s="9">
        <v>76358.13</v>
      </c>
    </row>
    <row r="223" spans="1:32">
      <c r="A223" s="143">
        <v>45510</v>
      </c>
      <c r="B223" s="9"/>
      <c r="C223" s="9"/>
      <c r="D223" s="9">
        <v>29293.68</v>
      </c>
      <c r="E223" s="9"/>
      <c r="F223" s="9"/>
      <c r="G223" s="9"/>
      <c r="H223" s="9">
        <v>16167.68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>
        <v>45461.36</v>
      </c>
    </row>
    <row r="224" spans="1:32">
      <c r="A224" s="143">
        <v>45511</v>
      </c>
      <c r="B224" s="9"/>
      <c r="C224" s="9"/>
      <c r="D224" s="9"/>
      <c r="E224" s="9"/>
      <c r="F224" s="9"/>
      <c r="G224" s="9"/>
      <c r="H224" s="9"/>
      <c r="I224" s="9">
        <v>12588.24</v>
      </c>
      <c r="J224" s="9"/>
      <c r="K224" s="9">
        <v>16348.5</v>
      </c>
      <c r="L224" s="9">
        <v>1812.22</v>
      </c>
      <c r="M224" s="9">
        <v>4146.3599999999997</v>
      </c>
      <c r="N224" s="9">
        <v>2013.76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>
        <v>21941.22</v>
      </c>
      <c r="Z224" s="9"/>
      <c r="AA224" s="9"/>
      <c r="AB224" s="9"/>
      <c r="AC224" s="9"/>
      <c r="AD224" s="9"/>
      <c r="AE224" s="9"/>
      <c r="AF224" s="9">
        <v>58850.3</v>
      </c>
    </row>
    <row r="225" spans="1:32">
      <c r="A225" s="143">
        <v>45512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>
        <v>37934.04</v>
      </c>
      <c r="W225" s="9"/>
      <c r="X225" s="9">
        <v>14259.36</v>
      </c>
      <c r="Y225" s="9"/>
      <c r="Z225" s="9"/>
      <c r="AA225" s="9"/>
      <c r="AB225" s="9"/>
      <c r="AC225" s="9"/>
      <c r="AD225" s="9"/>
      <c r="AE225" s="9"/>
      <c r="AF225" s="9">
        <v>52193.4</v>
      </c>
    </row>
    <row r="226" spans="1:32">
      <c r="A226" s="143">
        <v>45513</v>
      </c>
      <c r="B226" s="9"/>
      <c r="C226" s="9">
        <v>18452.7</v>
      </c>
      <c r="D226" s="9">
        <v>29820.120000000003</v>
      </c>
      <c r="E226" s="9">
        <v>11339.58</v>
      </c>
      <c r="F226" s="9"/>
      <c r="G226" s="9"/>
      <c r="H226" s="9"/>
      <c r="I226" s="9"/>
      <c r="J226" s="9"/>
      <c r="K226" s="9"/>
      <c r="L226" s="9"/>
      <c r="M226" s="9"/>
      <c r="N226" s="9">
        <v>4527.0200000000004</v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>
        <v>64139.420000000013</v>
      </c>
    </row>
    <row r="227" spans="1:32">
      <c r="A227" s="143">
        <v>45514</v>
      </c>
      <c r="B227" s="9"/>
      <c r="C227" s="9"/>
      <c r="D227" s="9">
        <v>3089.04</v>
      </c>
      <c r="E227" s="9"/>
      <c r="F227" s="9"/>
      <c r="G227" s="9"/>
      <c r="H227" s="9">
        <v>3907.2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>
        <v>24935.05</v>
      </c>
      <c r="V227" s="9"/>
      <c r="W227" s="9"/>
      <c r="X227" s="9"/>
      <c r="Y227" s="9"/>
      <c r="Z227" s="9"/>
      <c r="AA227" s="9">
        <v>5782.7</v>
      </c>
      <c r="AB227" s="9"/>
      <c r="AC227" s="9"/>
      <c r="AD227" s="9"/>
      <c r="AE227" s="9"/>
      <c r="AF227" s="9">
        <v>37713.99</v>
      </c>
    </row>
    <row r="228" spans="1:32">
      <c r="A228" s="143">
        <v>45515</v>
      </c>
      <c r="B228" s="9">
        <v>25281.599999999999</v>
      </c>
      <c r="C228" s="9"/>
      <c r="D228" s="9"/>
      <c r="E228" s="9"/>
      <c r="F228" s="9">
        <v>3722.8</v>
      </c>
      <c r="G228" s="9"/>
      <c r="H228" s="9">
        <v>13118.56</v>
      </c>
      <c r="I228" s="9"/>
      <c r="J228" s="9"/>
      <c r="K228" s="9">
        <v>10523.34</v>
      </c>
      <c r="L228" s="9"/>
      <c r="M228" s="9"/>
      <c r="N228" s="9"/>
      <c r="O228" s="9">
        <v>43653.919999999998</v>
      </c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>
        <v>6924.96</v>
      </c>
      <c r="AF228" s="9">
        <v>103225.18000000001</v>
      </c>
    </row>
    <row r="229" spans="1:32">
      <c r="A229" s="143">
        <v>45516</v>
      </c>
      <c r="B229" s="9"/>
      <c r="C229" s="9"/>
      <c r="D229" s="9"/>
      <c r="E229" s="9"/>
      <c r="F229" s="9"/>
      <c r="G229" s="9"/>
      <c r="H229" s="9">
        <v>12961</v>
      </c>
      <c r="I229" s="9"/>
      <c r="J229" s="9"/>
      <c r="K229" s="9"/>
      <c r="L229" s="9"/>
      <c r="M229" s="9"/>
      <c r="N229" s="9"/>
      <c r="O229" s="9">
        <v>30988.48</v>
      </c>
      <c r="P229" s="9"/>
      <c r="Q229" s="9">
        <v>9184.56</v>
      </c>
      <c r="R229" s="9"/>
      <c r="S229" s="9"/>
      <c r="T229" s="9"/>
      <c r="U229" s="9"/>
      <c r="V229" s="9"/>
      <c r="W229" s="9"/>
      <c r="X229" s="9"/>
      <c r="Y229" s="9"/>
      <c r="Z229" s="9"/>
      <c r="AA229" s="9">
        <v>1286.1199999999999</v>
      </c>
      <c r="AB229" s="9"/>
      <c r="AC229" s="9"/>
      <c r="AD229" s="9"/>
      <c r="AE229" s="9">
        <v>4149.6000000000004</v>
      </c>
      <c r="AF229" s="9">
        <v>58569.759999999995</v>
      </c>
    </row>
    <row r="230" spans="1:32">
      <c r="A230" s="143">
        <v>45517</v>
      </c>
      <c r="B230" s="9"/>
      <c r="C230" s="9"/>
      <c r="D230" s="9"/>
      <c r="E230" s="9"/>
      <c r="F230" s="9"/>
      <c r="G230" s="9"/>
      <c r="H230" s="9">
        <v>19399.240000000002</v>
      </c>
      <c r="I230" s="9"/>
      <c r="J230" s="9"/>
      <c r="K230" s="9"/>
      <c r="L230" s="9"/>
      <c r="M230" s="9">
        <v>26523.599999999999</v>
      </c>
      <c r="N230" s="9"/>
      <c r="O230" s="9">
        <v>13267.8</v>
      </c>
      <c r="P230" s="9">
        <v>23540.58</v>
      </c>
      <c r="Q230" s="9"/>
      <c r="R230" s="9">
        <v>17450.759999999998</v>
      </c>
      <c r="S230" s="9">
        <v>3553.4</v>
      </c>
      <c r="T230" s="9">
        <v>15307.6</v>
      </c>
      <c r="U230" s="9"/>
      <c r="V230" s="9"/>
      <c r="W230" s="9"/>
      <c r="X230" s="9"/>
      <c r="Y230" s="9"/>
      <c r="Z230" s="9"/>
      <c r="AA230" s="9"/>
      <c r="AB230" s="9"/>
      <c r="AC230" s="9"/>
      <c r="AD230" s="9">
        <v>23184</v>
      </c>
      <c r="AE230" s="9"/>
      <c r="AF230" s="9">
        <v>142226.97999999998</v>
      </c>
    </row>
    <row r="231" spans="1:32">
      <c r="A231" s="143">
        <v>45518</v>
      </c>
      <c r="B231" s="9"/>
      <c r="C231" s="9"/>
      <c r="D231" s="9">
        <v>613.17999999999995</v>
      </c>
      <c r="E231" s="9">
        <v>3623.28</v>
      </c>
      <c r="F231" s="9"/>
      <c r="G231" s="9"/>
      <c r="H231" s="9"/>
      <c r="I231" s="9">
        <v>5811.96</v>
      </c>
      <c r="J231" s="9">
        <v>18467.61</v>
      </c>
      <c r="K231" s="9">
        <v>19067.37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>
        <v>28600.32</v>
      </c>
      <c r="AD231" s="9"/>
      <c r="AE231" s="9"/>
      <c r="AF231" s="9">
        <v>76183.72</v>
      </c>
    </row>
    <row r="232" spans="1:32">
      <c r="A232" s="143">
        <v>45519</v>
      </c>
      <c r="B232" s="9"/>
      <c r="C232" s="9">
        <v>15762.6</v>
      </c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>
        <v>45716.4</v>
      </c>
      <c r="O232" s="9"/>
      <c r="P232" s="9"/>
      <c r="Q232" s="9"/>
      <c r="R232" s="9"/>
      <c r="S232" s="9"/>
      <c r="T232" s="9"/>
      <c r="U232" s="9">
        <v>3739.32</v>
      </c>
      <c r="V232" s="9"/>
      <c r="W232" s="9">
        <v>20981.1</v>
      </c>
      <c r="X232" s="9"/>
      <c r="Y232" s="9"/>
      <c r="Z232" s="9">
        <v>2497.8000000000002</v>
      </c>
      <c r="AA232" s="9"/>
      <c r="AB232" s="9"/>
      <c r="AC232" s="9"/>
      <c r="AD232" s="9"/>
      <c r="AE232" s="9"/>
      <c r="AF232" s="9">
        <v>88697.22</v>
      </c>
    </row>
    <row r="233" spans="1:32">
      <c r="A233" s="143">
        <v>45520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>
        <v>31580.639999999999</v>
      </c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>
        <v>38088.83</v>
      </c>
      <c r="AD233" s="9">
        <v>7144.5</v>
      </c>
      <c r="AE233" s="9"/>
      <c r="AF233" s="9">
        <v>76813.97</v>
      </c>
    </row>
    <row r="234" spans="1:32">
      <c r="A234" s="143">
        <v>45521</v>
      </c>
      <c r="B234" s="9"/>
      <c r="C234" s="9"/>
      <c r="D234" s="9"/>
      <c r="E234" s="9">
        <v>14890.94</v>
      </c>
      <c r="F234" s="9"/>
      <c r="G234" s="9"/>
      <c r="H234" s="9"/>
      <c r="I234" s="9"/>
      <c r="J234" s="9">
        <v>1812</v>
      </c>
      <c r="K234" s="9"/>
      <c r="L234" s="9"/>
      <c r="M234" s="9">
        <v>30628.1</v>
      </c>
      <c r="N234" s="9"/>
      <c r="O234" s="9"/>
      <c r="P234" s="9"/>
      <c r="Q234" s="9">
        <v>7580.16</v>
      </c>
      <c r="R234" s="9"/>
      <c r="S234" s="9"/>
      <c r="T234" s="9"/>
      <c r="U234" s="9"/>
      <c r="V234" s="9"/>
      <c r="W234" s="9">
        <v>16725.12</v>
      </c>
      <c r="X234" s="9"/>
      <c r="Y234" s="9">
        <v>28117.5</v>
      </c>
      <c r="Z234" s="9"/>
      <c r="AA234" s="9">
        <v>6357.12</v>
      </c>
      <c r="AB234" s="9"/>
      <c r="AC234" s="9"/>
      <c r="AD234" s="9"/>
      <c r="AE234" s="9">
        <v>4513.08</v>
      </c>
      <c r="AF234" s="9">
        <v>110624.01999999999</v>
      </c>
    </row>
    <row r="235" spans="1:32">
      <c r="A235" s="143">
        <v>45522</v>
      </c>
      <c r="B235" s="9"/>
      <c r="C235" s="9"/>
      <c r="D235" s="9">
        <v>11522.94</v>
      </c>
      <c r="E235" s="9"/>
      <c r="F235" s="9"/>
      <c r="G235" s="9"/>
      <c r="H235" s="9"/>
      <c r="I235" s="9"/>
      <c r="J235" s="9">
        <v>9062.4</v>
      </c>
      <c r="K235" s="9"/>
      <c r="L235" s="9"/>
      <c r="M235" s="9">
        <v>14877.72</v>
      </c>
      <c r="N235" s="9"/>
      <c r="O235" s="9">
        <v>22783.8</v>
      </c>
      <c r="P235" s="9">
        <v>4441.68</v>
      </c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>
        <v>62688.54</v>
      </c>
    </row>
    <row r="236" spans="1:32">
      <c r="A236" s="143">
        <v>45523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>
        <v>29969.1</v>
      </c>
      <c r="M236" s="9">
        <v>727.2</v>
      </c>
      <c r="N236" s="9"/>
      <c r="O236" s="9"/>
      <c r="P236" s="9"/>
      <c r="Q236" s="9"/>
      <c r="R236" s="9">
        <v>10321.200000000001</v>
      </c>
      <c r="S236" s="9"/>
      <c r="T236" s="9"/>
      <c r="U236" s="9"/>
      <c r="V236" s="9"/>
      <c r="W236" s="9"/>
      <c r="X236" s="9">
        <v>25143.599999999999</v>
      </c>
      <c r="Y236" s="9"/>
      <c r="Z236" s="9"/>
      <c r="AA236" s="9"/>
      <c r="AB236" s="9">
        <v>15732.5</v>
      </c>
      <c r="AC236" s="9">
        <v>4645.76</v>
      </c>
      <c r="AD236" s="9"/>
      <c r="AE236" s="9"/>
      <c r="AF236" s="9">
        <v>86539.36</v>
      </c>
    </row>
    <row r="237" spans="1:32">
      <c r="A237" s="143">
        <v>45524</v>
      </c>
      <c r="B237" s="9">
        <v>35319.840000000004</v>
      </c>
      <c r="C237" s="9"/>
      <c r="D237" s="9">
        <v>33808.639999999999</v>
      </c>
      <c r="E237" s="9"/>
      <c r="F237" s="9">
        <v>11337.48</v>
      </c>
      <c r="G237" s="9"/>
      <c r="H237" s="9"/>
      <c r="I237" s="9"/>
      <c r="J237" s="9"/>
      <c r="K237" s="9">
        <v>1453.76</v>
      </c>
      <c r="L237" s="9"/>
      <c r="M237" s="9"/>
      <c r="N237" s="9"/>
      <c r="O237" s="9"/>
      <c r="P237" s="9"/>
      <c r="Q237" s="9">
        <v>26103.359999999997</v>
      </c>
      <c r="R237" s="9"/>
      <c r="S237" s="9"/>
      <c r="T237" s="9"/>
      <c r="U237" s="9"/>
      <c r="V237" s="9"/>
      <c r="W237" s="9"/>
      <c r="X237" s="9"/>
      <c r="Y237" s="9"/>
      <c r="Z237" s="9">
        <v>12348.8</v>
      </c>
      <c r="AA237" s="9"/>
      <c r="AB237" s="9"/>
      <c r="AC237" s="9"/>
      <c r="AD237" s="9"/>
      <c r="AE237" s="9"/>
      <c r="AF237" s="9">
        <v>120371.88</v>
      </c>
    </row>
    <row r="238" spans="1:32">
      <c r="A238" s="143">
        <v>45525</v>
      </c>
      <c r="B238" s="9"/>
      <c r="C238" s="9"/>
      <c r="D238" s="9">
        <v>3736.42</v>
      </c>
      <c r="E238" s="9"/>
      <c r="F238" s="9"/>
      <c r="G238" s="9">
        <v>34333.199999999997</v>
      </c>
      <c r="H238" s="9"/>
      <c r="I238" s="9"/>
      <c r="J238" s="9"/>
      <c r="K238" s="9">
        <v>17881.599999999999</v>
      </c>
      <c r="L238" s="9">
        <v>1824.84</v>
      </c>
      <c r="M238" s="9"/>
      <c r="N238" s="9">
        <v>11448.48</v>
      </c>
      <c r="O238" s="9"/>
      <c r="P238" s="9"/>
      <c r="Q238" s="9"/>
      <c r="R238" s="9"/>
      <c r="S238" s="9"/>
      <c r="T238" s="9"/>
      <c r="U238" s="9">
        <v>25725.599999999999</v>
      </c>
      <c r="V238" s="9"/>
      <c r="W238" s="9">
        <v>35448.32</v>
      </c>
      <c r="X238" s="9"/>
      <c r="Y238" s="9"/>
      <c r="Z238" s="9"/>
      <c r="AA238" s="9"/>
      <c r="AB238" s="9"/>
      <c r="AC238" s="9"/>
      <c r="AD238" s="9"/>
      <c r="AE238" s="9"/>
      <c r="AF238" s="9">
        <v>130398.45999999999</v>
      </c>
    </row>
    <row r="239" spans="1:32">
      <c r="A239" s="143">
        <v>45526</v>
      </c>
      <c r="B239" s="9">
        <v>14299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>
        <v>22301.279999999999</v>
      </c>
      <c r="AA239" s="9"/>
      <c r="AB239" s="9"/>
      <c r="AC239" s="9"/>
      <c r="AD239" s="9"/>
      <c r="AE239" s="9"/>
      <c r="AF239" s="9">
        <v>36600.28</v>
      </c>
    </row>
    <row r="240" spans="1:32">
      <c r="A240" s="143">
        <v>45527</v>
      </c>
      <c r="B240" s="9"/>
      <c r="C240" s="9">
        <v>45694.3</v>
      </c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>
        <v>2708.94</v>
      </c>
      <c r="AD240" s="9"/>
      <c r="AE240" s="9"/>
      <c r="AF240" s="9">
        <v>48403.240000000005</v>
      </c>
    </row>
    <row r="241" spans="1:32">
      <c r="A241" s="143">
        <v>45528</v>
      </c>
      <c r="B241" s="9"/>
      <c r="C241" s="9">
        <v>26110</v>
      </c>
      <c r="D241" s="9">
        <v>2772.25</v>
      </c>
      <c r="E241" s="9"/>
      <c r="F241" s="9"/>
      <c r="G241" s="9"/>
      <c r="H241" s="9"/>
      <c r="I241" s="9"/>
      <c r="J241" s="9">
        <v>41515.08</v>
      </c>
      <c r="K241" s="9"/>
      <c r="L241" s="9">
        <v>17108.079999999998</v>
      </c>
      <c r="M241" s="9"/>
      <c r="N241" s="9"/>
      <c r="O241" s="9"/>
      <c r="P241" s="9"/>
      <c r="Q241" s="9"/>
      <c r="R241" s="9">
        <v>5163.4399999999996</v>
      </c>
      <c r="S241" s="9"/>
      <c r="T241" s="9"/>
      <c r="U241" s="9"/>
      <c r="V241" s="9"/>
      <c r="W241" s="9"/>
      <c r="X241" s="9"/>
      <c r="Y241" s="9">
        <v>2967.3</v>
      </c>
      <c r="Z241" s="9"/>
      <c r="AA241" s="9"/>
      <c r="AB241" s="9"/>
      <c r="AC241" s="9"/>
      <c r="AD241" s="9"/>
      <c r="AE241" s="9">
        <v>17822.7</v>
      </c>
      <c r="AF241" s="9">
        <v>113458.85</v>
      </c>
    </row>
    <row r="242" spans="1:32">
      <c r="A242" s="143">
        <v>45529</v>
      </c>
      <c r="B242" s="9">
        <v>1217.7</v>
      </c>
      <c r="C242" s="9">
        <v>10535.7</v>
      </c>
      <c r="D242" s="9"/>
      <c r="E242" s="9"/>
      <c r="F242" s="9"/>
      <c r="G242" s="9"/>
      <c r="H242" s="9"/>
      <c r="I242" s="9"/>
      <c r="J242" s="9">
        <v>1603.2</v>
      </c>
      <c r="K242" s="9"/>
      <c r="L242" s="9"/>
      <c r="M242" s="9"/>
      <c r="N242" s="9"/>
      <c r="O242" s="9">
        <v>2572.8000000000002</v>
      </c>
      <c r="P242" s="9"/>
      <c r="Q242" s="9"/>
      <c r="R242" s="9"/>
      <c r="S242" s="9"/>
      <c r="T242" s="9"/>
      <c r="U242" s="9"/>
      <c r="V242" s="9"/>
      <c r="W242" s="9"/>
      <c r="X242" s="9"/>
      <c r="Y242" s="9">
        <v>5824.5</v>
      </c>
      <c r="Z242" s="9">
        <v>23995.86</v>
      </c>
      <c r="AA242" s="9"/>
      <c r="AB242" s="9"/>
      <c r="AC242" s="9"/>
      <c r="AD242" s="9">
        <v>12952.5</v>
      </c>
      <c r="AE242" s="9"/>
      <c r="AF242" s="9">
        <v>58702.26</v>
      </c>
    </row>
    <row r="243" spans="1:32">
      <c r="A243" s="143">
        <v>45530</v>
      </c>
      <c r="B243" s="9"/>
      <c r="C243" s="9">
        <v>17945.2</v>
      </c>
      <c r="D243" s="9"/>
      <c r="E243" s="9"/>
      <c r="F243" s="9"/>
      <c r="G243" s="9"/>
      <c r="H243" s="9"/>
      <c r="I243" s="9">
        <v>19333.8</v>
      </c>
      <c r="J243" s="9"/>
      <c r="K243" s="9"/>
      <c r="L243" s="9"/>
      <c r="M243" s="9"/>
      <c r="N243" s="9">
        <v>1369.8</v>
      </c>
      <c r="O243" s="9"/>
      <c r="P243" s="9">
        <v>17466.240000000002</v>
      </c>
      <c r="Q243" s="9"/>
      <c r="R243" s="9"/>
      <c r="S243" s="9">
        <v>2100.9</v>
      </c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>
        <v>18066.240000000002</v>
      </c>
      <c r="AF243" s="9">
        <v>76282.180000000008</v>
      </c>
    </row>
    <row r="244" spans="1:32">
      <c r="A244" s="143">
        <v>45531</v>
      </c>
      <c r="B244" s="9">
        <v>1562.88</v>
      </c>
      <c r="C244" s="9"/>
      <c r="D244" s="9"/>
      <c r="E244" s="9"/>
      <c r="F244" s="9"/>
      <c r="G244" s="9"/>
      <c r="H244" s="9"/>
      <c r="I244" s="9"/>
      <c r="J244" s="9"/>
      <c r="K244" s="9"/>
      <c r="L244" s="9">
        <v>22464.54</v>
      </c>
      <c r="M244" s="9"/>
      <c r="N244" s="9">
        <v>5482.4</v>
      </c>
      <c r="O244" s="9"/>
      <c r="P244" s="9"/>
      <c r="Q244" s="9"/>
      <c r="R244" s="9"/>
      <c r="S244" s="9"/>
      <c r="T244" s="9"/>
      <c r="U244" s="9"/>
      <c r="V244" s="9"/>
      <c r="W244" s="9"/>
      <c r="X244" s="9">
        <v>5393.04</v>
      </c>
      <c r="Y244" s="9"/>
      <c r="Z244" s="9"/>
      <c r="AA244" s="9">
        <v>42437.7</v>
      </c>
      <c r="AB244" s="9"/>
      <c r="AC244" s="9"/>
      <c r="AD244" s="9">
        <v>22711.35</v>
      </c>
      <c r="AE244" s="9"/>
      <c r="AF244" s="9">
        <v>100051.91</v>
      </c>
    </row>
    <row r="245" spans="1:32">
      <c r="A245" s="143">
        <v>45532</v>
      </c>
      <c r="B245" s="9"/>
      <c r="C245" s="9"/>
      <c r="D245" s="9"/>
      <c r="E245" s="9"/>
      <c r="F245" s="9"/>
      <c r="G245" s="9"/>
      <c r="H245" s="9"/>
      <c r="I245" s="9">
        <v>5604.48</v>
      </c>
      <c r="J245" s="9">
        <v>6601.92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>
        <v>1772.34</v>
      </c>
      <c r="X245" s="9">
        <v>5789.6</v>
      </c>
      <c r="Y245" s="9">
        <v>7164.72</v>
      </c>
      <c r="Z245" s="9"/>
      <c r="AA245" s="9"/>
      <c r="AB245" s="9"/>
      <c r="AC245" s="9">
        <v>35271.599999999999</v>
      </c>
      <c r="AD245" s="9"/>
      <c r="AE245" s="9"/>
      <c r="AF245" s="9">
        <v>62204.66</v>
      </c>
    </row>
    <row r="246" spans="1:32">
      <c r="A246" s="143">
        <v>45533</v>
      </c>
      <c r="B246" s="9"/>
      <c r="C246" s="9"/>
      <c r="D246" s="9"/>
      <c r="E246" s="9"/>
      <c r="F246" s="9"/>
      <c r="G246" s="9">
        <v>27524.7</v>
      </c>
      <c r="H246" s="9"/>
      <c r="I246" s="9"/>
      <c r="J246" s="9">
        <v>2672.2</v>
      </c>
      <c r="K246" s="9"/>
      <c r="L246" s="9"/>
      <c r="M246" s="9">
        <v>13637.4</v>
      </c>
      <c r="N246" s="9"/>
      <c r="O246" s="9"/>
      <c r="P246" s="9"/>
      <c r="Q246" s="9"/>
      <c r="R246" s="9">
        <v>17102.349999999999</v>
      </c>
      <c r="S246" s="9"/>
      <c r="T246" s="9"/>
      <c r="U246" s="9"/>
      <c r="V246" s="9">
        <v>6278.16</v>
      </c>
      <c r="W246" s="9"/>
      <c r="X246" s="9"/>
      <c r="Y246" s="9"/>
      <c r="Z246" s="9"/>
      <c r="AA246" s="9">
        <v>1720.5</v>
      </c>
      <c r="AB246" s="9"/>
      <c r="AC246" s="9"/>
      <c r="AD246" s="9">
        <v>16836</v>
      </c>
      <c r="AE246" s="9"/>
      <c r="AF246" s="9">
        <v>85771.31</v>
      </c>
    </row>
    <row r="247" spans="1:32">
      <c r="A247" s="143">
        <v>45534</v>
      </c>
      <c r="B247" s="9"/>
      <c r="C247" s="9"/>
      <c r="D247" s="9"/>
      <c r="E247" s="9"/>
      <c r="F247" s="9"/>
      <c r="G247" s="9"/>
      <c r="H247" s="9"/>
      <c r="I247" s="9">
        <v>17704.96</v>
      </c>
      <c r="J247" s="9"/>
      <c r="K247" s="9"/>
      <c r="L247" s="9">
        <v>24281.1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>
        <v>6206.76</v>
      </c>
      <c r="X247" s="9"/>
      <c r="Y247" s="9"/>
      <c r="Z247" s="9"/>
      <c r="AA247" s="9">
        <v>16331.88</v>
      </c>
      <c r="AB247" s="9"/>
      <c r="AC247" s="9">
        <v>52087.4</v>
      </c>
      <c r="AD247" s="9"/>
      <c r="AE247" s="9"/>
      <c r="AF247" s="9">
        <v>116612.1</v>
      </c>
    </row>
    <row r="248" spans="1:32">
      <c r="A248" s="143">
        <v>45535</v>
      </c>
      <c r="B248" s="9"/>
      <c r="C248" s="9"/>
      <c r="D248" s="9"/>
      <c r="E248" s="9">
        <v>5951.94</v>
      </c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>
        <v>43228.800000000003</v>
      </c>
      <c r="Q248" s="9">
        <v>19006.05</v>
      </c>
      <c r="R248" s="9"/>
      <c r="S248" s="9">
        <v>7008</v>
      </c>
      <c r="T248" s="9"/>
      <c r="U248" s="9">
        <v>17076.64</v>
      </c>
      <c r="V248" s="9"/>
      <c r="W248" s="9"/>
      <c r="X248" s="9"/>
      <c r="Y248" s="9"/>
      <c r="Z248" s="9"/>
      <c r="AA248" s="9"/>
      <c r="AB248" s="9"/>
      <c r="AC248" s="9"/>
      <c r="AD248" s="9">
        <v>40274.239999999998</v>
      </c>
      <c r="AE248" s="9"/>
      <c r="AF248" s="9">
        <v>132545.67000000001</v>
      </c>
    </row>
    <row r="249" spans="1:32">
      <c r="A249" s="143">
        <v>45536</v>
      </c>
      <c r="B249" s="9"/>
      <c r="C249" s="9"/>
      <c r="D249" s="9"/>
      <c r="E249" s="9"/>
      <c r="F249" s="9"/>
      <c r="G249" s="9"/>
      <c r="H249" s="9">
        <v>481.74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>
        <v>36621.72</v>
      </c>
      <c r="W249" s="9"/>
      <c r="X249" s="9"/>
      <c r="Y249" s="9"/>
      <c r="Z249" s="9"/>
      <c r="AA249" s="9"/>
      <c r="AB249" s="9"/>
      <c r="AC249" s="9"/>
      <c r="AD249" s="9"/>
      <c r="AE249" s="9"/>
      <c r="AF249" s="9">
        <v>37103.46</v>
      </c>
    </row>
    <row r="250" spans="1:32">
      <c r="A250" s="143">
        <v>45537</v>
      </c>
      <c r="B250" s="9"/>
      <c r="C250" s="9"/>
      <c r="D250" s="9"/>
      <c r="E250" s="9"/>
      <c r="F250" s="9">
        <v>7099.29</v>
      </c>
      <c r="G250" s="9"/>
      <c r="H250" s="9"/>
      <c r="I250" s="9"/>
      <c r="J250" s="9"/>
      <c r="K250" s="9"/>
      <c r="L250" s="9"/>
      <c r="M250" s="9">
        <v>3083.08</v>
      </c>
      <c r="N250" s="9"/>
      <c r="O250" s="9">
        <v>4072.32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>
        <v>14254.689999999999</v>
      </c>
    </row>
    <row r="251" spans="1:32">
      <c r="A251" s="143">
        <v>45538</v>
      </c>
      <c r="B251" s="9"/>
      <c r="C251" s="9"/>
      <c r="D251" s="9"/>
      <c r="E251" s="9"/>
      <c r="F251" s="9"/>
      <c r="G251" s="9"/>
      <c r="H251" s="9"/>
      <c r="I251" s="9"/>
      <c r="J251" s="9">
        <v>8787.9599999999991</v>
      </c>
      <c r="K251" s="9"/>
      <c r="L251" s="9"/>
      <c r="M251" s="9"/>
      <c r="N251" s="9">
        <v>19352.16</v>
      </c>
      <c r="O251" s="9"/>
      <c r="P251" s="9">
        <v>16410.96</v>
      </c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>
        <v>2717</v>
      </c>
      <c r="AF251" s="9">
        <v>47268.08</v>
      </c>
    </row>
    <row r="252" spans="1:32">
      <c r="A252" s="143">
        <v>45539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>
        <v>9078</v>
      </c>
      <c r="M252" s="9"/>
      <c r="N252" s="9">
        <v>10218</v>
      </c>
      <c r="O252" s="9"/>
      <c r="P252" s="9"/>
      <c r="Q252" s="9"/>
      <c r="R252" s="9"/>
      <c r="S252" s="9"/>
      <c r="T252" s="9"/>
      <c r="U252" s="9"/>
      <c r="V252" s="9">
        <v>8251.0499999999993</v>
      </c>
      <c r="W252" s="9">
        <v>12517.14</v>
      </c>
      <c r="X252" s="9"/>
      <c r="Y252" s="9"/>
      <c r="Z252" s="9"/>
      <c r="AA252" s="9"/>
      <c r="AB252" s="9"/>
      <c r="AC252" s="9"/>
      <c r="AD252" s="9">
        <v>768.34</v>
      </c>
      <c r="AE252" s="9"/>
      <c r="AF252" s="9">
        <v>40832.53</v>
      </c>
    </row>
    <row r="253" spans="1:32">
      <c r="A253" s="143">
        <v>45540</v>
      </c>
      <c r="B253" s="9"/>
      <c r="C253" s="9"/>
      <c r="D253" s="9"/>
      <c r="E253" s="9">
        <v>9140.0400000000009</v>
      </c>
      <c r="F253" s="9"/>
      <c r="G253" s="9"/>
      <c r="H253" s="9"/>
      <c r="I253" s="9"/>
      <c r="J253" s="9"/>
      <c r="K253" s="9">
        <v>3901.56</v>
      </c>
      <c r="L253" s="9"/>
      <c r="M253" s="9"/>
      <c r="N253" s="9"/>
      <c r="O253" s="9"/>
      <c r="P253" s="9">
        <v>1485</v>
      </c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>
        <v>7045.92</v>
      </c>
      <c r="AC253" s="9"/>
      <c r="AD253" s="9"/>
      <c r="AE253" s="9"/>
      <c r="AF253" s="9">
        <v>21572.52</v>
      </c>
    </row>
    <row r="254" spans="1:32">
      <c r="A254" s="143">
        <v>45541</v>
      </c>
      <c r="B254" s="9">
        <v>20056.400000000001</v>
      </c>
      <c r="C254" s="9"/>
      <c r="D254" s="9">
        <v>33158.160000000003</v>
      </c>
      <c r="E254" s="9"/>
      <c r="F254" s="9"/>
      <c r="G254" s="9">
        <v>21589.119999999999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>
        <v>669.28</v>
      </c>
      <c r="V254" s="9"/>
      <c r="W254" s="9"/>
      <c r="X254" s="9">
        <v>4487.88</v>
      </c>
      <c r="Y254" s="9"/>
      <c r="Z254" s="9"/>
      <c r="AA254" s="9"/>
      <c r="AB254" s="9">
        <v>19488</v>
      </c>
      <c r="AC254" s="9">
        <v>6115.2</v>
      </c>
      <c r="AD254" s="9"/>
      <c r="AE254" s="9"/>
      <c r="AF254" s="9">
        <v>105564.04000000001</v>
      </c>
    </row>
    <row r="255" spans="1:32">
      <c r="A255" s="143">
        <v>45542</v>
      </c>
      <c r="B255" s="9"/>
      <c r="C255" s="9"/>
      <c r="D255" s="9"/>
      <c r="E255" s="9"/>
      <c r="F255" s="9"/>
      <c r="G255" s="9">
        <v>19468</v>
      </c>
      <c r="H255" s="9"/>
      <c r="I255" s="9"/>
      <c r="J255" s="9">
        <v>7568.96</v>
      </c>
      <c r="K255" s="9">
        <v>28932.68</v>
      </c>
      <c r="L255" s="9"/>
      <c r="M255" s="9"/>
      <c r="N255" s="9"/>
      <c r="O255" s="9"/>
      <c r="P255" s="9"/>
      <c r="Q255" s="9">
        <v>3651.9</v>
      </c>
      <c r="R255" s="9"/>
      <c r="S255" s="9">
        <v>3081.4</v>
      </c>
      <c r="T255" s="9"/>
      <c r="U255" s="9"/>
      <c r="V255" s="9"/>
      <c r="W255" s="9"/>
      <c r="X255" s="9"/>
      <c r="Y255" s="9">
        <v>10181.34</v>
      </c>
      <c r="Z255" s="9">
        <v>21297</v>
      </c>
      <c r="AA255" s="9"/>
      <c r="AB255" s="9"/>
      <c r="AC255" s="9">
        <v>19721.759999999998</v>
      </c>
      <c r="AD255" s="9"/>
      <c r="AE255" s="9"/>
      <c r="AF255" s="9">
        <v>113903.03999999999</v>
      </c>
    </row>
    <row r="256" spans="1:32">
      <c r="A256" s="143">
        <v>45543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>
        <v>6610.24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>
        <v>6610.24</v>
      </c>
    </row>
    <row r="257" spans="1:32">
      <c r="A257" s="143">
        <v>45544</v>
      </c>
      <c r="B257" s="9"/>
      <c r="C257" s="9"/>
      <c r="D257" s="9"/>
      <c r="E257" s="9">
        <v>6494.4</v>
      </c>
      <c r="F257" s="9"/>
      <c r="G257" s="9"/>
      <c r="H257" s="9"/>
      <c r="I257" s="9"/>
      <c r="J257" s="9"/>
      <c r="K257" s="9">
        <v>5805.8</v>
      </c>
      <c r="L257" s="9"/>
      <c r="M257" s="9"/>
      <c r="N257" s="9"/>
      <c r="O257" s="9">
        <v>18581.55</v>
      </c>
      <c r="P257" s="9"/>
      <c r="Q257" s="9"/>
      <c r="R257" s="9">
        <v>15595.2</v>
      </c>
      <c r="S257" s="9"/>
      <c r="T257" s="9"/>
      <c r="U257" s="9">
        <v>4877.16</v>
      </c>
      <c r="V257" s="9"/>
      <c r="W257" s="9">
        <v>18899.37</v>
      </c>
      <c r="X257" s="9"/>
      <c r="Y257" s="9"/>
      <c r="Z257" s="9"/>
      <c r="AA257" s="9"/>
      <c r="AB257" s="9">
        <v>16725.599999999999</v>
      </c>
      <c r="AC257" s="9"/>
      <c r="AD257" s="9"/>
      <c r="AE257" s="9"/>
      <c r="AF257" s="9">
        <v>86979.079999999987</v>
      </c>
    </row>
    <row r="258" spans="1:32">
      <c r="A258" s="143">
        <v>45545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>
        <v>10689.6</v>
      </c>
      <c r="T258" s="9">
        <v>13139.28</v>
      </c>
      <c r="U258" s="9">
        <v>20889.599999999999</v>
      </c>
      <c r="V258" s="9"/>
      <c r="W258" s="9"/>
      <c r="X258" s="9"/>
      <c r="Y258" s="9"/>
      <c r="Z258" s="9"/>
      <c r="AA258" s="9"/>
      <c r="AB258" s="9">
        <v>16998.8</v>
      </c>
      <c r="AC258" s="9"/>
      <c r="AD258" s="9"/>
      <c r="AE258" s="9"/>
      <c r="AF258" s="9">
        <v>61717.279999999999</v>
      </c>
    </row>
    <row r="259" spans="1:32">
      <c r="A259" s="143">
        <v>45546</v>
      </c>
      <c r="B259" s="9">
        <v>10680.35</v>
      </c>
      <c r="C259" s="9"/>
      <c r="D259" s="9"/>
      <c r="E259" s="9"/>
      <c r="F259" s="9">
        <v>14472.64</v>
      </c>
      <c r="G259" s="9"/>
      <c r="H259" s="9"/>
      <c r="I259" s="9"/>
      <c r="J259" s="9">
        <v>29657.040000000001</v>
      </c>
      <c r="K259" s="9"/>
      <c r="L259" s="9"/>
      <c r="M259" s="9">
        <v>9732.7999999999993</v>
      </c>
      <c r="N259" s="9"/>
      <c r="O259" s="9">
        <v>15086.4</v>
      </c>
      <c r="P259" s="9"/>
      <c r="Q259" s="9"/>
      <c r="R259" s="9"/>
      <c r="S259" s="9">
        <v>9876.42</v>
      </c>
      <c r="T259" s="9"/>
      <c r="U259" s="9">
        <v>26512.400000000001</v>
      </c>
      <c r="V259" s="9"/>
      <c r="W259" s="9"/>
      <c r="X259" s="9"/>
      <c r="Y259" s="9"/>
      <c r="Z259" s="9">
        <v>17119.96</v>
      </c>
      <c r="AA259" s="9">
        <v>2835.9</v>
      </c>
      <c r="AB259" s="9"/>
      <c r="AC259" s="9"/>
      <c r="AD259" s="9">
        <v>10992.93</v>
      </c>
      <c r="AE259" s="9"/>
      <c r="AF259" s="9">
        <v>146966.83999999997</v>
      </c>
    </row>
    <row r="260" spans="1:32">
      <c r="A260" s="143">
        <v>45547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>
        <v>29672.5</v>
      </c>
      <c r="N260" s="9">
        <v>12437.25</v>
      </c>
      <c r="O260" s="9"/>
      <c r="P260" s="9"/>
      <c r="Q260" s="9"/>
      <c r="R260" s="9"/>
      <c r="S260" s="9"/>
      <c r="T260" s="9"/>
      <c r="U260" s="9"/>
      <c r="V260" s="9"/>
      <c r="W260" s="9">
        <v>2081.8200000000002</v>
      </c>
      <c r="X260" s="9"/>
      <c r="Y260" s="9"/>
      <c r="Z260" s="9"/>
      <c r="AA260" s="9">
        <v>2101.4</v>
      </c>
      <c r="AB260" s="9"/>
      <c r="AC260" s="9"/>
      <c r="AD260" s="9"/>
      <c r="AE260" s="9"/>
      <c r="AF260" s="9">
        <v>46292.97</v>
      </c>
    </row>
    <row r="261" spans="1:32">
      <c r="A261" s="143">
        <v>45548</v>
      </c>
      <c r="B261" s="9"/>
      <c r="C261" s="9"/>
      <c r="D261" s="9"/>
      <c r="E261" s="9"/>
      <c r="F261" s="9"/>
      <c r="G261" s="9"/>
      <c r="H261" s="9"/>
      <c r="I261" s="9">
        <v>5858.58</v>
      </c>
      <c r="J261" s="9">
        <v>2827.52</v>
      </c>
      <c r="K261" s="9">
        <v>25415.040000000001</v>
      </c>
      <c r="L261" s="9"/>
      <c r="M261" s="9"/>
      <c r="N261" s="9">
        <v>3429.92</v>
      </c>
      <c r="O261" s="9"/>
      <c r="P261" s="9"/>
      <c r="Q261" s="9"/>
      <c r="R261" s="9"/>
      <c r="S261" s="9"/>
      <c r="T261" s="9"/>
      <c r="U261" s="9"/>
      <c r="V261" s="9"/>
      <c r="W261" s="9">
        <v>18917.43</v>
      </c>
      <c r="X261" s="9"/>
      <c r="Y261" s="9"/>
      <c r="Z261" s="9"/>
      <c r="AA261" s="9">
        <v>6705.12</v>
      </c>
      <c r="AB261" s="9"/>
      <c r="AC261" s="9"/>
      <c r="AD261" s="9">
        <v>4960.97</v>
      </c>
      <c r="AE261" s="9"/>
      <c r="AF261" s="9">
        <v>68114.58</v>
      </c>
    </row>
    <row r="262" spans="1:32">
      <c r="A262" s="143">
        <v>45549</v>
      </c>
      <c r="B262" s="9">
        <v>22073.1</v>
      </c>
      <c r="C262" s="9">
        <v>36541.96</v>
      </c>
      <c r="D262" s="9"/>
      <c r="E262" s="9"/>
      <c r="F262" s="9"/>
      <c r="G262" s="9">
        <v>8901.09</v>
      </c>
      <c r="H262" s="9">
        <v>24500.16</v>
      </c>
      <c r="I262" s="9">
        <v>14131.26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>
        <v>14836.5</v>
      </c>
      <c r="AA262" s="9"/>
      <c r="AB262" s="9">
        <v>21844.16</v>
      </c>
      <c r="AC262" s="9"/>
      <c r="AD262" s="9"/>
      <c r="AE262" s="9"/>
      <c r="AF262" s="9">
        <v>142828.22999999998</v>
      </c>
    </row>
    <row r="263" spans="1:32">
      <c r="A263" s="143">
        <v>45550</v>
      </c>
      <c r="B263" s="9">
        <v>24538.57</v>
      </c>
      <c r="C263" s="9"/>
      <c r="D263" s="9"/>
      <c r="E263" s="9">
        <v>10711.359999999999</v>
      </c>
      <c r="F263" s="9"/>
      <c r="G263" s="9"/>
      <c r="H263" s="9"/>
      <c r="I263" s="9"/>
      <c r="J263" s="9"/>
      <c r="K263" s="9"/>
      <c r="L263" s="9"/>
      <c r="M263" s="9"/>
      <c r="N263" s="9"/>
      <c r="O263" s="9">
        <v>1323</v>
      </c>
      <c r="P263" s="9"/>
      <c r="Q263" s="9"/>
      <c r="R263" s="9">
        <v>16381.5</v>
      </c>
      <c r="S263" s="9"/>
      <c r="T263" s="9"/>
      <c r="U263" s="9"/>
      <c r="V263" s="9"/>
      <c r="W263" s="9"/>
      <c r="X263" s="9">
        <v>28093.919999999998</v>
      </c>
      <c r="Y263" s="9"/>
      <c r="Z263" s="9">
        <v>30892.68</v>
      </c>
      <c r="AA263" s="9"/>
      <c r="AB263" s="9"/>
      <c r="AC263" s="9"/>
      <c r="AD263" s="9"/>
      <c r="AE263" s="9"/>
      <c r="AF263" s="9">
        <v>111941.03</v>
      </c>
    </row>
    <row r="264" spans="1:32">
      <c r="A264" s="143">
        <v>45551</v>
      </c>
      <c r="B264" s="9"/>
      <c r="C264" s="9">
        <v>3603.32</v>
      </c>
      <c r="D264" s="9"/>
      <c r="E264" s="9"/>
      <c r="F264" s="9"/>
      <c r="G264" s="9"/>
      <c r="H264" s="9"/>
      <c r="I264" s="9"/>
      <c r="J264" s="9"/>
      <c r="K264" s="9"/>
      <c r="L264" s="9"/>
      <c r="M264" s="9">
        <v>5143.45</v>
      </c>
      <c r="N264" s="9"/>
      <c r="O264" s="9"/>
      <c r="P264" s="9"/>
      <c r="Q264" s="9"/>
      <c r="R264" s="9"/>
      <c r="S264" s="9"/>
      <c r="T264" s="9">
        <v>21451.5</v>
      </c>
      <c r="U264" s="9"/>
      <c r="V264" s="9"/>
      <c r="W264" s="9">
        <v>2878.92</v>
      </c>
      <c r="X264" s="9"/>
      <c r="Y264" s="9"/>
      <c r="Z264" s="9"/>
      <c r="AA264" s="9"/>
      <c r="AB264" s="9"/>
      <c r="AC264" s="9"/>
      <c r="AD264" s="9"/>
      <c r="AE264" s="9">
        <v>3694.16</v>
      </c>
      <c r="AF264" s="9">
        <v>36771.350000000006</v>
      </c>
    </row>
    <row r="265" spans="1:32">
      <c r="A265" s="143">
        <v>45552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>
        <v>3065.25</v>
      </c>
      <c r="AD265" s="9"/>
      <c r="AE265" s="9"/>
      <c r="AF265" s="9">
        <v>3065.25</v>
      </c>
    </row>
    <row r="266" spans="1:32">
      <c r="A266" s="143">
        <v>45553</v>
      </c>
      <c r="B266" s="9"/>
      <c r="C266" s="9">
        <v>40757.760000000002</v>
      </c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>
        <v>44749.120000000003</v>
      </c>
      <c r="Q266" s="9"/>
      <c r="R266" s="9"/>
      <c r="S266" s="9"/>
      <c r="T266" s="9"/>
      <c r="U266" s="9"/>
      <c r="V266" s="9"/>
      <c r="W266" s="9"/>
      <c r="X266" s="9">
        <v>2553.7399999999998</v>
      </c>
      <c r="Y266" s="9"/>
      <c r="Z266" s="9"/>
      <c r="AA266" s="9"/>
      <c r="AB266" s="9"/>
      <c r="AC266" s="9"/>
      <c r="AD266" s="9"/>
      <c r="AE266" s="9">
        <v>16058.25</v>
      </c>
      <c r="AF266" s="9">
        <v>104118.87000000001</v>
      </c>
    </row>
    <row r="267" spans="1:32">
      <c r="A267" s="143">
        <v>45554</v>
      </c>
      <c r="B267" s="9"/>
      <c r="C267" s="9"/>
      <c r="D267" s="9"/>
      <c r="E267" s="9"/>
      <c r="F267" s="9"/>
      <c r="G267" s="9"/>
      <c r="H267" s="9">
        <v>18338.32</v>
      </c>
      <c r="I267" s="9"/>
      <c r="J267" s="9"/>
      <c r="K267" s="9">
        <v>12196.1</v>
      </c>
      <c r="L267" s="9">
        <v>35309.600000000006</v>
      </c>
      <c r="M267" s="9"/>
      <c r="N267" s="9"/>
      <c r="O267" s="9"/>
      <c r="P267" s="9"/>
      <c r="Q267" s="9"/>
      <c r="R267" s="9"/>
      <c r="S267" s="9"/>
      <c r="T267" s="9"/>
      <c r="U267" s="9"/>
      <c r="V267" s="9">
        <v>32515.84</v>
      </c>
      <c r="W267" s="9">
        <v>4829.5</v>
      </c>
      <c r="X267" s="9"/>
      <c r="Y267" s="9"/>
      <c r="Z267" s="9"/>
      <c r="AA267" s="9">
        <v>14607</v>
      </c>
      <c r="AB267" s="9"/>
      <c r="AC267" s="9"/>
      <c r="AD267" s="9"/>
      <c r="AE267" s="9"/>
      <c r="AF267" s="9">
        <v>117796.36</v>
      </c>
    </row>
    <row r="268" spans="1:32">
      <c r="A268" s="143">
        <v>45555</v>
      </c>
      <c r="B268" s="9"/>
      <c r="C268" s="9"/>
      <c r="D268" s="9"/>
      <c r="E268" s="9"/>
      <c r="F268" s="9">
        <v>6120.96</v>
      </c>
      <c r="G268" s="9"/>
      <c r="H268" s="9">
        <v>1637.25</v>
      </c>
      <c r="I268" s="9"/>
      <c r="J268" s="9"/>
      <c r="K268" s="9"/>
      <c r="L268" s="9"/>
      <c r="M268" s="9"/>
      <c r="N268" s="9"/>
      <c r="O268" s="9"/>
      <c r="P268" s="9"/>
      <c r="Q268" s="9">
        <v>30453.66</v>
      </c>
      <c r="R268" s="9"/>
      <c r="S268" s="9"/>
      <c r="T268" s="9"/>
      <c r="U268" s="9"/>
      <c r="V268" s="9"/>
      <c r="W268" s="9"/>
      <c r="X268" s="9"/>
      <c r="Y268" s="9"/>
      <c r="Z268" s="9">
        <v>34629</v>
      </c>
      <c r="AA268" s="9"/>
      <c r="AB268" s="9">
        <v>11208.78</v>
      </c>
      <c r="AC268" s="9"/>
      <c r="AD268" s="9"/>
      <c r="AE268" s="9"/>
      <c r="AF268" s="9">
        <v>84049.65</v>
      </c>
    </row>
    <row r="269" spans="1:32">
      <c r="A269" s="143">
        <v>45556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>
        <v>13874.279999999999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>
        <v>13874.279999999999</v>
      </c>
    </row>
    <row r="270" spans="1:32">
      <c r="A270" s="143">
        <v>45557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>
        <v>4607.28</v>
      </c>
      <c r="V270" s="9"/>
      <c r="W270" s="9"/>
      <c r="X270" s="9"/>
      <c r="Y270" s="9"/>
      <c r="Z270" s="9"/>
      <c r="AA270" s="9"/>
      <c r="AB270" s="9"/>
      <c r="AC270" s="9">
        <v>13297.98</v>
      </c>
      <c r="AD270" s="9"/>
      <c r="AE270" s="9"/>
      <c r="AF270" s="9">
        <v>17905.259999999998</v>
      </c>
    </row>
    <row r="271" spans="1:32">
      <c r="A271" s="143">
        <v>45558</v>
      </c>
      <c r="B271" s="9"/>
      <c r="C271" s="9"/>
      <c r="D271" s="9"/>
      <c r="E271" s="9"/>
      <c r="F271" s="9"/>
      <c r="G271" s="9"/>
      <c r="H271" s="9"/>
      <c r="I271" s="9"/>
      <c r="J271" s="9"/>
      <c r="K271" s="9">
        <v>16122.3</v>
      </c>
      <c r="L271" s="9"/>
      <c r="M271" s="9">
        <v>4860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>
        <v>3978.8</v>
      </c>
      <c r="AF271" s="9">
        <v>24961.1</v>
      </c>
    </row>
    <row r="272" spans="1:32">
      <c r="A272" s="143">
        <v>45559</v>
      </c>
      <c r="B272" s="9">
        <v>6743.44</v>
      </c>
      <c r="C272" s="9"/>
      <c r="D272" s="9"/>
      <c r="E272" s="9"/>
      <c r="F272" s="9"/>
      <c r="G272" s="9"/>
      <c r="H272" s="9"/>
      <c r="I272" s="9"/>
      <c r="J272" s="9"/>
      <c r="K272" s="9">
        <v>17346.88</v>
      </c>
      <c r="L272" s="9">
        <v>2544.96</v>
      </c>
      <c r="M272" s="9"/>
      <c r="N272" s="9"/>
      <c r="O272" s="9"/>
      <c r="P272" s="9"/>
      <c r="Q272" s="9"/>
      <c r="R272" s="9"/>
      <c r="S272" s="9"/>
      <c r="T272" s="9"/>
      <c r="U272" s="9"/>
      <c r="V272" s="9">
        <v>19463.64</v>
      </c>
      <c r="W272" s="9">
        <v>24836.32</v>
      </c>
      <c r="X272" s="9"/>
      <c r="Y272" s="9"/>
      <c r="Z272" s="9"/>
      <c r="AA272" s="9"/>
      <c r="AB272" s="9"/>
      <c r="AC272" s="9"/>
      <c r="AD272" s="9"/>
      <c r="AE272" s="9"/>
      <c r="AF272" s="9">
        <v>70935.239999999991</v>
      </c>
    </row>
    <row r="273" spans="1:32">
      <c r="A273" s="143">
        <v>45560</v>
      </c>
      <c r="B273" s="9">
        <v>4792.4799999999996</v>
      </c>
      <c r="C273" s="9"/>
      <c r="D273" s="9">
        <v>36738.559999999998</v>
      </c>
      <c r="E273" s="9"/>
      <c r="F273" s="9"/>
      <c r="G273" s="9"/>
      <c r="H273" s="9"/>
      <c r="I273" s="9">
        <v>29414.799999999999</v>
      </c>
      <c r="J273" s="9"/>
      <c r="K273" s="9">
        <v>14761.81</v>
      </c>
      <c r="L273" s="9"/>
      <c r="M273" s="9">
        <v>29925.360000000001</v>
      </c>
      <c r="N273" s="9"/>
      <c r="O273" s="9"/>
      <c r="P273" s="9"/>
      <c r="Q273" s="9"/>
      <c r="R273" s="9">
        <v>43916.32</v>
      </c>
      <c r="S273" s="9">
        <v>5423.34</v>
      </c>
      <c r="T273" s="9"/>
      <c r="U273" s="9"/>
      <c r="V273" s="9"/>
      <c r="W273" s="9"/>
      <c r="X273" s="9">
        <v>15327.04</v>
      </c>
      <c r="Y273" s="9"/>
      <c r="Z273" s="9"/>
      <c r="AA273" s="9"/>
      <c r="AB273" s="9">
        <v>912</v>
      </c>
      <c r="AC273" s="9"/>
      <c r="AD273" s="9"/>
      <c r="AE273" s="9"/>
      <c r="AF273" s="9">
        <v>181211.71</v>
      </c>
    </row>
    <row r="274" spans="1:32">
      <c r="A274" s="143">
        <v>45561</v>
      </c>
      <c r="B274" s="9"/>
      <c r="C274" s="9"/>
      <c r="D274" s="9"/>
      <c r="E274" s="9"/>
      <c r="F274" s="9"/>
      <c r="G274" s="9">
        <v>7061.46</v>
      </c>
      <c r="H274" s="9">
        <v>6027.68</v>
      </c>
      <c r="I274" s="9"/>
      <c r="J274" s="9"/>
      <c r="K274" s="9"/>
      <c r="L274" s="9"/>
      <c r="M274" s="9"/>
      <c r="N274" s="9">
        <v>4077.72</v>
      </c>
      <c r="O274" s="9"/>
      <c r="P274" s="9">
        <v>7811.44</v>
      </c>
      <c r="Q274" s="9"/>
      <c r="R274" s="9"/>
      <c r="S274" s="9"/>
      <c r="T274" s="9"/>
      <c r="U274" s="9"/>
      <c r="V274" s="9"/>
      <c r="W274" s="9"/>
      <c r="X274" s="9"/>
      <c r="Y274" s="9">
        <v>6728.4</v>
      </c>
      <c r="Z274" s="9"/>
      <c r="AA274" s="9"/>
      <c r="AB274" s="9">
        <v>37783.599999999999</v>
      </c>
      <c r="AC274" s="9"/>
      <c r="AD274" s="9"/>
      <c r="AE274" s="9"/>
      <c r="AF274" s="9">
        <v>69490.299999999988</v>
      </c>
    </row>
    <row r="275" spans="1:32">
      <c r="A275" s="143">
        <v>45562</v>
      </c>
      <c r="B275" s="9"/>
      <c r="C275" s="9"/>
      <c r="D275" s="9"/>
      <c r="E275" s="9"/>
      <c r="F275" s="9">
        <v>54270.8</v>
      </c>
      <c r="G275" s="9"/>
      <c r="H275" s="9">
        <v>1209</v>
      </c>
      <c r="I275" s="9"/>
      <c r="J275" s="9">
        <v>5687.64</v>
      </c>
      <c r="K275" s="9"/>
      <c r="L275" s="9"/>
      <c r="M275" s="9"/>
      <c r="N275" s="9"/>
      <c r="O275" s="9"/>
      <c r="P275" s="9">
        <v>17826.560000000001</v>
      </c>
      <c r="Q275" s="9"/>
      <c r="R275" s="9"/>
      <c r="S275" s="9"/>
      <c r="T275" s="9"/>
      <c r="U275" s="9"/>
      <c r="V275" s="9">
        <v>3194.7</v>
      </c>
      <c r="W275" s="9"/>
      <c r="X275" s="9"/>
      <c r="Y275" s="9"/>
      <c r="Z275" s="9"/>
      <c r="AA275" s="9"/>
      <c r="AB275" s="9">
        <v>1638.94</v>
      </c>
      <c r="AC275" s="9"/>
      <c r="AD275" s="9"/>
      <c r="AE275" s="9"/>
      <c r="AF275" s="9">
        <v>83827.64</v>
      </c>
    </row>
    <row r="276" spans="1:32">
      <c r="A276" s="143">
        <v>45563</v>
      </c>
      <c r="B276" s="9"/>
      <c r="C276" s="9">
        <v>509.01</v>
      </c>
      <c r="D276" s="9"/>
      <c r="E276" s="9"/>
      <c r="F276" s="9"/>
      <c r="G276" s="9">
        <v>19608.16</v>
      </c>
      <c r="H276" s="9"/>
      <c r="I276" s="9"/>
      <c r="J276" s="9"/>
      <c r="K276" s="9"/>
      <c r="L276" s="9">
        <v>41539.5</v>
      </c>
      <c r="M276" s="9"/>
      <c r="N276" s="9"/>
      <c r="O276" s="9"/>
      <c r="P276" s="9"/>
      <c r="Q276" s="9"/>
      <c r="R276" s="9"/>
      <c r="S276" s="9"/>
      <c r="T276" s="9"/>
      <c r="U276" s="9"/>
      <c r="V276" s="9">
        <v>8362.64</v>
      </c>
      <c r="W276" s="9"/>
      <c r="X276" s="9"/>
      <c r="Y276" s="9"/>
      <c r="Z276" s="9"/>
      <c r="AA276" s="9"/>
      <c r="AB276" s="9"/>
      <c r="AC276" s="9"/>
      <c r="AD276" s="9">
        <v>1638</v>
      </c>
      <c r="AE276" s="9"/>
      <c r="AF276" s="9">
        <v>71657.31</v>
      </c>
    </row>
    <row r="277" spans="1:32">
      <c r="A277" s="143">
        <v>45564</v>
      </c>
      <c r="B277" s="9"/>
      <c r="C277" s="9">
        <v>10235.24</v>
      </c>
      <c r="D277" s="9"/>
      <c r="E277" s="9">
        <v>20598.48</v>
      </c>
      <c r="F277" s="9"/>
      <c r="G277" s="9"/>
      <c r="H277" s="9"/>
      <c r="I277" s="9"/>
      <c r="J277" s="9">
        <v>43937.399999999994</v>
      </c>
      <c r="K277" s="9">
        <v>21618.400000000001</v>
      </c>
      <c r="L277" s="9"/>
      <c r="M277" s="9">
        <v>22299.84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>
        <v>2941.44</v>
      </c>
      <c r="AA277" s="9"/>
      <c r="AB277" s="9"/>
      <c r="AC277" s="9"/>
      <c r="AD277" s="9"/>
      <c r="AE277" s="9"/>
      <c r="AF277" s="9">
        <v>121630.79999999999</v>
      </c>
    </row>
    <row r="278" spans="1:32">
      <c r="A278" s="143">
        <v>45565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>
        <v>4532.22</v>
      </c>
      <c r="Q278" s="9"/>
      <c r="R278" s="9"/>
      <c r="S278" s="9"/>
      <c r="T278" s="9"/>
      <c r="U278" s="9"/>
      <c r="V278" s="9"/>
      <c r="W278" s="9">
        <v>3030.72</v>
      </c>
      <c r="X278" s="9"/>
      <c r="Y278" s="9"/>
      <c r="Z278" s="9"/>
      <c r="AA278" s="9"/>
      <c r="AB278" s="9"/>
      <c r="AC278" s="9">
        <v>2008.95</v>
      </c>
      <c r="AD278" s="9"/>
      <c r="AE278" s="9"/>
      <c r="AF278" s="9">
        <v>9571.8900000000012</v>
      </c>
    </row>
    <row r="279" spans="1:32">
      <c r="A279" s="143">
        <v>45566</v>
      </c>
      <c r="B279" s="9">
        <v>345.8</v>
      </c>
      <c r="C279" s="9"/>
      <c r="D279" s="9"/>
      <c r="E279" s="9">
        <v>8200.2000000000007</v>
      </c>
      <c r="F279" s="9"/>
      <c r="G279" s="9">
        <v>14508.48</v>
      </c>
      <c r="H279" s="9"/>
      <c r="I279" s="9"/>
      <c r="J279" s="9"/>
      <c r="K279" s="9"/>
      <c r="L279" s="9"/>
      <c r="M279" s="9">
        <v>728.47</v>
      </c>
      <c r="N279" s="9"/>
      <c r="O279" s="9"/>
      <c r="P279" s="9"/>
      <c r="Q279" s="9"/>
      <c r="R279" s="9"/>
      <c r="S279" s="9">
        <v>18982.599999999999</v>
      </c>
      <c r="T279" s="9">
        <v>21674.25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>
        <v>64439.8</v>
      </c>
    </row>
    <row r="280" spans="1:32">
      <c r="A280" s="143">
        <v>45567</v>
      </c>
      <c r="B280" s="9"/>
      <c r="C280" s="9"/>
      <c r="D280" s="9"/>
      <c r="E280" s="9"/>
      <c r="F280" s="9">
        <v>11909.7</v>
      </c>
      <c r="G280" s="9"/>
      <c r="H280" s="9"/>
      <c r="I280" s="9"/>
      <c r="J280" s="9"/>
      <c r="K280" s="9"/>
      <c r="L280" s="9"/>
      <c r="M280" s="9"/>
      <c r="N280" s="9"/>
      <c r="O280" s="9"/>
      <c r="P280" s="9">
        <v>10630.62</v>
      </c>
      <c r="Q280" s="9"/>
      <c r="R280" s="9"/>
      <c r="S280" s="9"/>
      <c r="T280" s="9"/>
      <c r="U280" s="9"/>
      <c r="V280" s="9"/>
      <c r="W280" s="9"/>
      <c r="X280" s="9"/>
      <c r="Y280" s="9"/>
      <c r="Z280" s="9">
        <v>3572.16</v>
      </c>
      <c r="AA280" s="9">
        <v>15130</v>
      </c>
      <c r="AB280" s="9"/>
      <c r="AC280" s="9"/>
      <c r="AD280" s="9"/>
      <c r="AE280" s="9">
        <v>2534.84</v>
      </c>
      <c r="AF280" s="9">
        <v>43777.319999999992</v>
      </c>
    </row>
    <row r="281" spans="1:32">
      <c r="A281" s="143">
        <v>45568</v>
      </c>
      <c r="B281" s="9"/>
      <c r="C281" s="9"/>
      <c r="D281" s="9"/>
      <c r="E281" s="9"/>
      <c r="F281" s="9"/>
      <c r="G281" s="9">
        <v>4763.88</v>
      </c>
      <c r="H281" s="9"/>
      <c r="I281" s="9"/>
      <c r="J281" s="9"/>
      <c r="K281" s="9"/>
      <c r="L281" s="9"/>
      <c r="M281" s="9"/>
      <c r="N281" s="9"/>
      <c r="O281" s="9"/>
      <c r="P281" s="9">
        <v>9693.0400000000009</v>
      </c>
      <c r="Q281" s="9">
        <v>1186.68</v>
      </c>
      <c r="R281" s="9">
        <v>673.22</v>
      </c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>
        <v>10628.64</v>
      </c>
      <c r="AD281" s="9"/>
      <c r="AE281" s="9"/>
      <c r="AF281" s="9">
        <v>26945.46</v>
      </c>
    </row>
    <row r="282" spans="1:32">
      <c r="A282" s="143">
        <v>45569</v>
      </c>
      <c r="B282" s="9"/>
      <c r="C282" s="9"/>
      <c r="D282" s="9"/>
      <c r="E282" s="9"/>
      <c r="F282" s="9">
        <v>9032.24</v>
      </c>
      <c r="G282" s="9">
        <v>4766.58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>
        <v>34830.42</v>
      </c>
      <c r="S282" s="9"/>
      <c r="T282" s="9"/>
      <c r="U282" s="9"/>
      <c r="V282" s="9"/>
      <c r="W282" s="9"/>
      <c r="X282" s="9">
        <v>12721.5</v>
      </c>
      <c r="Y282" s="9">
        <v>25026.3</v>
      </c>
      <c r="Z282" s="9"/>
      <c r="AA282" s="9"/>
      <c r="AB282" s="9"/>
      <c r="AC282" s="9"/>
      <c r="AD282" s="9"/>
      <c r="AE282" s="9"/>
      <c r="AF282" s="9">
        <v>86377.04</v>
      </c>
    </row>
    <row r="283" spans="1:32">
      <c r="A283" s="143">
        <v>45570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>
        <v>26560.799999999999</v>
      </c>
      <c r="O283" s="9">
        <v>12278.76</v>
      </c>
      <c r="P283" s="9"/>
      <c r="Q283" s="9"/>
      <c r="R283" s="9"/>
      <c r="S283" s="9"/>
      <c r="T283" s="9">
        <v>1686.7</v>
      </c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>
        <v>40526.259999999995</v>
      </c>
    </row>
    <row r="284" spans="1:32">
      <c r="A284" s="143">
        <v>45571</v>
      </c>
      <c r="B284" s="9"/>
      <c r="C284" s="9">
        <v>9763.9</v>
      </c>
      <c r="D284" s="9"/>
      <c r="E284" s="9"/>
      <c r="F284" s="9"/>
      <c r="G284" s="9"/>
      <c r="H284" s="9"/>
      <c r="I284" s="9">
        <v>609.02</v>
      </c>
      <c r="J284" s="9"/>
      <c r="K284" s="9"/>
      <c r="L284" s="9">
        <v>331.89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>
        <v>1919.95</v>
      </c>
      <c r="AC284" s="9"/>
      <c r="AD284" s="9"/>
      <c r="AE284" s="9"/>
      <c r="AF284" s="9">
        <v>12624.76</v>
      </c>
    </row>
    <row r="285" spans="1:32">
      <c r="A285" s="143">
        <v>45572</v>
      </c>
      <c r="B285" s="9"/>
      <c r="C285" s="9"/>
      <c r="D285" s="9"/>
      <c r="E285" s="9"/>
      <c r="F285" s="9"/>
      <c r="G285" s="9"/>
      <c r="H285" s="9"/>
      <c r="I285" s="9"/>
      <c r="J285" s="9">
        <v>11674.08</v>
      </c>
      <c r="K285" s="9"/>
      <c r="L285" s="9"/>
      <c r="M285" s="9"/>
      <c r="N285" s="9"/>
      <c r="O285" s="9"/>
      <c r="P285" s="9">
        <v>2960.55</v>
      </c>
      <c r="Q285" s="9"/>
      <c r="R285" s="9"/>
      <c r="S285" s="9"/>
      <c r="T285" s="9"/>
      <c r="U285" s="9"/>
      <c r="V285" s="9">
        <v>25345.35</v>
      </c>
      <c r="W285" s="9"/>
      <c r="X285" s="9"/>
      <c r="Y285" s="9"/>
      <c r="Z285" s="9"/>
      <c r="AA285" s="9"/>
      <c r="AB285" s="9">
        <v>30938.52</v>
      </c>
      <c r="AC285" s="9">
        <v>57463.199999999997</v>
      </c>
      <c r="AD285" s="9"/>
      <c r="AE285" s="9"/>
      <c r="AF285" s="9">
        <v>128381.7</v>
      </c>
    </row>
    <row r="286" spans="1:32">
      <c r="A286" s="143">
        <v>45573</v>
      </c>
      <c r="B286" s="9"/>
      <c r="C286" s="9"/>
      <c r="D286" s="9"/>
      <c r="E286" s="9">
        <v>15327.04</v>
      </c>
      <c r="F286" s="9"/>
      <c r="G286" s="9"/>
      <c r="H286" s="9">
        <v>3797.31</v>
      </c>
      <c r="I286" s="9">
        <v>26011.439999999999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>
        <v>33248.6</v>
      </c>
      <c r="X286" s="9"/>
      <c r="Y286" s="9">
        <v>25539.119999999999</v>
      </c>
      <c r="Z286" s="9"/>
      <c r="AA286" s="9"/>
      <c r="AB286" s="9"/>
      <c r="AC286" s="9"/>
      <c r="AD286" s="9"/>
      <c r="AE286" s="9"/>
      <c r="AF286" s="9">
        <v>103923.51</v>
      </c>
    </row>
    <row r="287" spans="1:32">
      <c r="A287" s="143">
        <v>45574</v>
      </c>
      <c r="B287" s="9">
        <v>10068</v>
      </c>
      <c r="C287" s="9"/>
      <c r="D287" s="9"/>
      <c r="E287" s="9"/>
      <c r="F287" s="9">
        <v>21226.799999999999</v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>
        <v>7969.5</v>
      </c>
      <c r="Z287" s="9"/>
      <c r="AA287" s="9">
        <v>8289.7999999999993</v>
      </c>
      <c r="AB287" s="9"/>
      <c r="AC287" s="9"/>
      <c r="AD287" s="9"/>
      <c r="AE287" s="9"/>
      <c r="AF287" s="9">
        <v>47554.100000000006</v>
      </c>
    </row>
    <row r="288" spans="1:32">
      <c r="A288" s="143">
        <v>45575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>
        <v>5196.96</v>
      </c>
      <c r="P288" s="9"/>
      <c r="Q288" s="9">
        <v>41747.61</v>
      </c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>
        <v>46944.57</v>
      </c>
    </row>
    <row r="289" spans="1:32">
      <c r="A289" s="143">
        <v>45576</v>
      </c>
      <c r="B289" s="9"/>
      <c r="C289" s="9"/>
      <c r="D289" s="9"/>
      <c r="E289" s="9"/>
      <c r="F289" s="9"/>
      <c r="G289" s="9"/>
      <c r="H289" s="9"/>
      <c r="I289" s="9"/>
      <c r="J289" s="9"/>
      <c r="K289" s="9">
        <v>23443.200000000001</v>
      </c>
      <c r="L289" s="9"/>
      <c r="M289" s="9">
        <v>27844.400000000001</v>
      </c>
      <c r="N289" s="9"/>
      <c r="O289" s="9"/>
      <c r="P289" s="9"/>
      <c r="Q289" s="9"/>
      <c r="R289" s="9"/>
      <c r="S289" s="9"/>
      <c r="T289" s="9">
        <v>2902.25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>
        <v>54189.850000000006</v>
      </c>
    </row>
    <row r="290" spans="1:32">
      <c r="A290" s="143">
        <v>45577</v>
      </c>
      <c r="B290" s="9"/>
      <c r="C290" s="9"/>
      <c r="D290" s="9"/>
      <c r="E290" s="9"/>
      <c r="F290" s="9"/>
      <c r="G290" s="9"/>
      <c r="H290" s="9">
        <v>4199.58</v>
      </c>
      <c r="I290" s="9"/>
      <c r="J290" s="9"/>
      <c r="K290" s="9">
        <v>14689</v>
      </c>
      <c r="L290" s="9"/>
      <c r="M290" s="9">
        <v>28690.2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>
        <v>14606.68</v>
      </c>
      <c r="AC290" s="9"/>
      <c r="AD290" s="9"/>
      <c r="AE290" s="9">
        <v>29975.4</v>
      </c>
      <c r="AF290" s="9">
        <v>92160.86</v>
      </c>
    </row>
    <row r="291" spans="1:32">
      <c r="A291" s="143">
        <v>45578</v>
      </c>
      <c r="B291" s="9"/>
      <c r="C291" s="9"/>
      <c r="D291" s="9"/>
      <c r="E291" s="9">
        <v>10773.42</v>
      </c>
      <c r="F291" s="9">
        <v>28841.4</v>
      </c>
      <c r="G291" s="9"/>
      <c r="H291" s="9"/>
      <c r="I291" s="9"/>
      <c r="J291" s="9">
        <v>26677.360000000001</v>
      </c>
      <c r="K291" s="9"/>
      <c r="L291" s="9"/>
      <c r="M291" s="9"/>
      <c r="N291" s="9"/>
      <c r="O291" s="9"/>
      <c r="P291" s="9"/>
      <c r="Q291" s="9"/>
      <c r="R291" s="9"/>
      <c r="S291" s="9"/>
      <c r="T291" s="9">
        <v>32113.759999999998</v>
      </c>
      <c r="U291" s="9"/>
      <c r="V291" s="9"/>
      <c r="W291" s="9"/>
      <c r="X291" s="9"/>
      <c r="Y291" s="9"/>
      <c r="Z291" s="9"/>
      <c r="AA291" s="9">
        <v>29824.799999999999</v>
      </c>
      <c r="AB291" s="9"/>
      <c r="AC291" s="9"/>
      <c r="AD291" s="9"/>
      <c r="AE291" s="9"/>
      <c r="AF291" s="9">
        <v>128230.73999999999</v>
      </c>
    </row>
    <row r="292" spans="1:32">
      <c r="A292" s="143">
        <v>45579</v>
      </c>
      <c r="B292" s="9"/>
      <c r="C292" s="9"/>
      <c r="D292" s="9"/>
      <c r="E292" s="9"/>
      <c r="F292" s="9">
        <v>9149.4</v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>
        <v>44960.700000000004</v>
      </c>
      <c r="T292" s="9"/>
      <c r="U292" s="9"/>
      <c r="V292" s="9"/>
      <c r="W292" s="9"/>
      <c r="X292" s="9"/>
      <c r="Y292" s="9"/>
      <c r="Z292" s="9"/>
      <c r="AA292" s="9">
        <v>15029.46</v>
      </c>
      <c r="AB292" s="9"/>
      <c r="AC292" s="9">
        <v>28468.44</v>
      </c>
      <c r="AD292" s="9"/>
      <c r="AE292" s="9"/>
      <c r="AF292" s="9">
        <v>97608</v>
      </c>
    </row>
    <row r="293" spans="1:32">
      <c r="A293" s="143">
        <v>45580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>
        <v>17093.64</v>
      </c>
      <c r="N293" s="9"/>
      <c r="O293" s="9"/>
      <c r="P293" s="9"/>
      <c r="Q293" s="9"/>
      <c r="R293" s="9"/>
      <c r="S293" s="9"/>
      <c r="T293" s="9"/>
      <c r="U293" s="9"/>
      <c r="V293" s="9">
        <v>3064.88</v>
      </c>
      <c r="W293" s="9">
        <v>17064.599999999999</v>
      </c>
      <c r="X293" s="9"/>
      <c r="Y293" s="9"/>
      <c r="Z293" s="9"/>
      <c r="AA293" s="9"/>
      <c r="AB293" s="9"/>
      <c r="AC293" s="9">
        <v>562.4</v>
      </c>
      <c r="AD293" s="9"/>
      <c r="AE293" s="9"/>
      <c r="AF293" s="9">
        <v>37785.519999999997</v>
      </c>
    </row>
    <row r="294" spans="1:32">
      <c r="A294" s="143">
        <v>45581</v>
      </c>
      <c r="B294" s="9"/>
      <c r="C294" s="9">
        <v>1289.6400000000001</v>
      </c>
      <c r="D294" s="9"/>
      <c r="E294" s="9"/>
      <c r="F294" s="9">
        <v>2086.4699999999998</v>
      </c>
      <c r="G294" s="9"/>
      <c r="H294" s="9"/>
      <c r="I294" s="9"/>
      <c r="J294" s="9"/>
      <c r="K294" s="9"/>
      <c r="L294" s="9"/>
      <c r="M294" s="9"/>
      <c r="N294" s="9"/>
      <c r="O294" s="9">
        <v>9322.7999999999993</v>
      </c>
      <c r="P294" s="9"/>
      <c r="Q294" s="9">
        <v>12669.8</v>
      </c>
      <c r="R294" s="9"/>
      <c r="S294" s="9"/>
      <c r="T294" s="9">
        <v>15225</v>
      </c>
      <c r="U294" s="9"/>
      <c r="V294" s="9"/>
      <c r="W294" s="9"/>
      <c r="X294" s="9"/>
      <c r="Y294" s="9"/>
      <c r="Z294" s="9"/>
      <c r="AA294" s="9"/>
      <c r="AB294" s="9"/>
      <c r="AC294" s="9">
        <v>4663.0200000000004</v>
      </c>
      <c r="AD294" s="9"/>
      <c r="AE294" s="9"/>
      <c r="AF294" s="9">
        <v>45256.729999999996</v>
      </c>
    </row>
    <row r="295" spans="1:32">
      <c r="A295" s="143">
        <v>45582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>
        <v>26820.48</v>
      </c>
      <c r="M295" s="9"/>
      <c r="N295" s="9"/>
      <c r="O295" s="9"/>
      <c r="P295" s="9"/>
      <c r="Q295" s="9"/>
      <c r="R295" s="9"/>
      <c r="S295" s="9"/>
      <c r="T295" s="9">
        <v>11211.2</v>
      </c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>
        <v>38031.68</v>
      </c>
    </row>
    <row r="296" spans="1:32">
      <c r="A296" s="143">
        <v>45583</v>
      </c>
      <c r="B296" s="9"/>
      <c r="C296" s="9"/>
      <c r="D296" s="9"/>
      <c r="E296" s="9"/>
      <c r="F296" s="9"/>
      <c r="G296" s="9"/>
      <c r="H296" s="9">
        <v>3645.36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>
        <v>4552.2</v>
      </c>
      <c r="AB296" s="9"/>
      <c r="AC296" s="9"/>
      <c r="AD296" s="9"/>
      <c r="AE296" s="9"/>
      <c r="AF296" s="9">
        <v>8197.56</v>
      </c>
    </row>
    <row r="297" spans="1:32">
      <c r="A297" s="143">
        <v>45584</v>
      </c>
      <c r="B297" s="9"/>
      <c r="C297" s="9"/>
      <c r="D297" s="9"/>
      <c r="E297" s="9"/>
      <c r="F297" s="9"/>
      <c r="G297" s="9"/>
      <c r="H297" s="9"/>
      <c r="I297" s="9"/>
      <c r="J297" s="9">
        <v>29227.14</v>
      </c>
      <c r="K297" s="9"/>
      <c r="L297" s="9"/>
      <c r="M297" s="9"/>
      <c r="N297" s="9"/>
      <c r="O297" s="9">
        <v>15246.4</v>
      </c>
      <c r="P297" s="9">
        <v>29959.93</v>
      </c>
      <c r="Q297" s="9"/>
      <c r="R297" s="9"/>
      <c r="S297" s="9">
        <v>992.94</v>
      </c>
      <c r="T297" s="9"/>
      <c r="U297" s="9">
        <v>15667.54</v>
      </c>
      <c r="V297" s="9"/>
      <c r="W297" s="9"/>
      <c r="X297" s="9"/>
      <c r="Y297" s="9"/>
      <c r="Z297" s="9">
        <v>2319.27</v>
      </c>
      <c r="AA297" s="9">
        <v>2138.34</v>
      </c>
      <c r="AB297" s="9"/>
      <c r="AC297" s="9"/>
      <c r="AD297" s="9"/>
      <c r="AE297" s="9"/>
      <c r="AF297" s="9">
        <v>95551.560000000012</v>
      </c>
    </row>
    <row r="298" spans="1:32">
      <c r="A298" s="143">
        <v>45585</v>
      </c>
      <c r="B298" s="9">
        <v>24853.4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>
        <v>1764</v>
      </c>
      <c r="N298" s="9">
        <v>2848.2</v>
      </c>
      <c r="O298" s="9">
        <v>11304.6</v>
      </c>
      <c r="P298" s="9"/>
      <c r="Q298" s="9"/>
      <c r="R298" s="9">
        <v>22438.44</v>
      </c>
      <c r="S298" s="9">
        <v>29346.67</v>
      </c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>
        <v>92555.31</v>
      </c>
    </row>
    <row r="299" spans="1:32">
      <c r="A299" s="143">
        <v>45586</v>
      </c>
      <c r="B299" s="9"/>
      <c r="C299" s="9"/>
      <c r="D299" s="9"/>
      <c r="E299" s="9"/>
      <c r="F299" s="9"/>
      <c r="G299" s="9"/>
      <c r="H299" s="9"/>
      <c r="I299" s="9"/>
      <c r="J299" s="9">
        <v>23568.240000000002</v>
      </c>
      <c r="K299" s="9"/>
      <c r="L299" s="9"/>
      <c r="M299" s="9"/>
      <c r="N299" s="9"/>
      <c r="O299" s="9"/>
      <c r="P299" s="9"/>
      <c r="Q299" s="9"/>
      <c r="R299" s="9"/>
      <c r="S299" s="9"/>
      <c r="T299" s="9">
        <v>40805.1</v>
      </c>
      <c r="U299" s="9"/>
      <c r="V299" s="9"/>
      <c r="W299" s="9"/>
      <c r="X299" s="9">
        <v>1254</v>
      </c>
      <c r="Y299" s="9"/>
      <c r="Z299" s="9"/>
      <c r="AA299" s="9">
        <v>4252.8</v>
      </c>
      <c r="AB299" s="9"/>
      <c r="AC299" s="9"/>
      <c r="AD299" s="9"/>
      <c r="AE299" s="9">
        <v>8159.52</v>
      </c>
      <c r="AF299" s="9">
        <v>78039.66</v>
      </c>
    </row>
    <row r="300" spans="1:32">
      <c r="A300" s="143">
        <v>45587</v>
      </c>
      <c r="B300" s="9"/>
      <c r="C300" s="9"/>
      <c r="D300" s="9">
        <v>6311.76</v>
      </c>
      <c r="E300" s="9"/>
      <c r="F300" s="9"/>
      <c r="G300" s="9">
        <v>992.83</v>
      </c>
      <c r="H300" s="9"/>
      <c r="I300" s="9"/>
      <c r="J300" s="9"/>
      <c r="K300" s="9">
        <v>4011.15</v>
      </c>
      <c r="L300" s="9"/>
      <c r="M300" s="9"/>
      <c r="N300" s="9"/>
      <c r="O300" s="9">
        <v>6584.76</v>
      </c>
      <c r="P300" s="9"/>
      <c r="Q300" s="9"/>
      <c r="R300" s="9"/>
      <c r="S300" s="9"/>
      <c r="T300" s="9">
        <v>17074.05</v>
      </c>
      <c r="U300" s="9"/>
      <c r="V300" s="9"/>
      <c r="W300" s="9"/>
      <c r="X300" s="9"/>
      <c r="Y300" s="9"/>
      <c r="Z300" s="9"/>
      <c r="AA300" s="9"/>
      <c r="AB300" s="9"/>
      <c r="AC300" s="9">
        <v>24786</v>
      </c>
      <c r="AD300" s="9"/>
      <c r="AE300" s="9"/>
      <c r="AF300" s="9">
        <v>59760.55</v>
      </c>
    </row>
    <row r="301" spans="1:32">
      <c r="A301" s="143">
        <v>45588</v>
      </c>
      <c r="B301" s="9">
        <v>2486.6999999999998</v>
      </c>
      <c r="C301" s="9">
        <v>8392.7800000000007</v>
      </c>
      <c r="D301" s="9"/>
      <c r="E301" s="9"/>
      <c r="F301" s="9"/>
      <c r="G301" s="9">
        <v>27910.5</v>
      </c>
      <c r="H301" s="9"/>
      <c r="I301" s="9"/>
      <c r="J301" s="9"/>
      <c r="K301" s="9">
        <v>16016.28</v>
      </c>
      <c r="L301" s="9"/>
      <c r="M301" s="9">
        <v>12353.34</v>
      </c>
      <c r="N301" s="9">
        <v>3979.2</v>
      </c>
      <c r="O301" s="9"/>
      <c r="P301" s="9">
        <v>44553.520000000004</v>
      </c>
      <c r="Q301" s="9"/>
      <c r="R301" s="9"/>
      <c r="S301" s="9"/>
      <c r="T301" s="9"/>
      <c r="U301" s="9"/>
      <c r="V301" s="9"/>
      <c r="W301" s="9"/>
      <c r="X301" s="9"/>
      <c r="Y301" s="9"/>
      <c r="Z301" s="9">
        <v>2397.6</v>
      </c>
      <c r="AA301" s="9"/>
      <c r="AB301" s="9"/>
      <c r="AC301" s="9"/>
      <c r="AD301" s="9"/>
      <c r="AE301" s="9"/>
      <c r="AF301" s="9">
        <v>118089.92</v>
      </c>
    </row>
    <row r="302" spans="1:32">
      <c r="A302" s="143">
        <v>45589</v>
      </c>
      <c r="B302" s="9"/>
      <c r="C302" s="9"/>
      <c r="D302" s="9">
        <v>7287.3399999999992</v>
      </c>
      <c r="E302" s="9"/>
      <c r="F302" s="9"/>
      <c r="G302" s="9"/>
      <c r="H302" s="9">
        <v>39138.400000000001</v>
      </c>
      <c r="I302" s="9"/>
      <c r="J302" s="9"/>
      <c r="K302" s="9"/>
      <c r="L302" s="9">
        <v>6186.24</v>
      </c>
      <c r="M302" s="9"/>
      <c r="N302" s="9">
        <v>2268.7199999999998</v>
      </c>
      <c r="O302" s="9"/>
      <c r="P302" s="9"/>
      <c r="Q302" s="9"/>
      <c r="R302" s="9"/>
      <c r="S302" s="9"/>
      <c r="T302" s="9"/>
      <c r="U302" s="9"/>
      <c r="V302" s="9"/>
      <c r="W302" s="9">
        <v>2562.56</v>
      </c>
      <c r="X302" s="9"/>
      <c r="Y302" s="9"/>
      <c r="Z302" s="9"/>
      <c r="AA302" s="9"/>
      <c r="AB302" s="9">
        <v>19516.64</v>
      </c>
      <c r="AC302" s="9">
        <v>10922.730000000001</v>
      </c>
      <c r="AD302" s="9"/>
      <c r="AE302" s="9"/>
      <c r="AF302" s="9">
        <v>87882.62999999999</v>
      </c>
    </row>
    <row r="303" spans="1:32">
      <c r="A303" s="143">
        <v>45590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>
        <v>8895.0400000000009</v>
      </c>
      <c r="AC303" s="9"/>
      <c r="AD303" s="9">
        <v>13399.62</v>
      </c>
      <c r="AE303" s="9"/>
      <c r="AF303" s="9">
        <v>22294.660000000003</v>
      </c>
    </row>
    <row r="304" spans="1:32">
      <c r="A304" s="143">
        <v>45591</v>
      </c>
      <c r="B304" s="9"/>
      <c r="C304" s="9"/>
      <c r="D304" s="9"/>
      <c r="E304" s="9"/>
      <c r="F304" s="9"/>
      <c r="G304" s="9"/>
      <c r="H304" s="9">
        <v>6533.1</v>
      </c>
      <c r="I304" s="9"/>
      <c r="J304" s="9">
        <v>16502.099999999999</v>
      </c>
      <c r="K304" s="9"/>
      <c r="L304" s="9"/>
      <c r="M304" s="9"/>
      <c r="N304" s="9"/>
      <c r="O304" s="9">
        <v>19913.599999999999</v>
      </c>
      <c r="P304" s="9"/>
      <c r="Q304" s="9"/>
      <c r="R304" s="9"/>
      <c r="S304" s="9"/>
      <c r="T304" s="9"/>
      <c r="U304" s="9"/>
      <c r="V304" s="9"/>
      <c r="W304" s="9"/>
      <c r="X304" s="9"/>
      <c r="Y304" s="9">
        <v>2122.4499999999998</v>
      </c>
      <c r="Z304" s="9"/>
      <c r="AA304" s="9"/>
      <c r="AB304" s="9"/>
      <c r="AC304" s="9"/>
      <c r="AD304" s="9">
        <v>1023.58</v>
      </c>
      <c r="AE304" s="9"/>
      <c r="AF304" s="9">
        <v>46094.829999999994</v>
      </c>
    </row>
    <row r="305" spans="1:32">
      <c r="A305" s="143">
        <v>45592</v>
      </c>
      <c r="B305" s="9"/>
      <c r="C305" s="9">
        <v>6583</v>
      </c>
      <c r="D305" s="9"/>
      <c r="E305" s="9">
        <v>8475.84</v>
      </c>
      <c r="F305" s="9"/>
      <c r="G305" s="9"/>
      <c r="H305" s="9"/>
      <c r="I305" s="9"/>
      <c r="J305" s="9"/>
      <c r="K305" s="9">
        <v>6471.36</v>
      </c>
      <c r="L305" s="9">
        <v>7231.12</v>
      </c>
      <c r="M305" s="9">
        <v>676.8</v>
      </c>
      <c r="N305" s="9">
        <v>11057.66</v>
      </c>
      <c r="O305" s="9"/>
      <c r="P305" s="9">
        <v>14564.32</v>
      </c>
      <c r="Q305" s="9"/>
      <c r="R305" s="9"/>
      <c r="S305" s="9">
        <v>14804.4</v>
      </c>
      <c r="T305" s="9">
        <v>1140.8</v>
      </c>
      <c r="U305" s="9"/>
      <c r="V305" s="9"/>
      <c r="W305" s="9"/>
      <c r="X305" s="9"/>
      <c r="Y305" s="9"/>
      <c r="Z305" s="9"/>
      <c r="AA305" s="9"/>
      <c r="AB305" s="9">
        <v>33312</v>
      </c>
      <c r="AC305" s="9"/>
      <c r="AD305" s="9"/>
      <c r="AE305" s="9"/>
      <c r="AF305" s="9">
        <v>104317.3</v>
      </c>
    </row>
    <row r="306" spans="1:32">
      <c r="A306" s="143">
        <v>45593</v>
      </c>
      <c r="B306" s="9"/>
      <c r="C306" s="9">
        <v>9722.49</v>
      </c>
      <c r="D306" s="9">
        <v>15710.88</v>
      </c>
      <c r="E306" s="9"/>
      <c r="F306" s="9">
        <v>17006.759999999998</v>
      </c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>
        <v>17728.2</v>
      </c>
      <c r="S306" s="9"/>
      <c r="T306" s="9"/>
      <c r="U306" s="9">
        <v>7710.72</v>
      </c>
      <c r="V306" s="9">
        <v>8488.7999999999993</v>
      </c>
      <c r="W306" s="9"/>
      <c r="X306" s="9"/>
      <c r="Y306" s="9">
        <v>22220.2</v>
      </c>
      <c r="Z306" s="9"/>
      <c r="AA306" s="9"/>
      <c r="AB306" s="9">
        <v>1520.92</v>
      </c>
      <c r="AC306" s="9"/>
      <c r="AD306" s="9"/>
      <c r="AE306" s="9"/>
      <c r="AF306" s="9">
        <v>100108.97</v>
      </c>
    </row>
    <row r="307" spans="1:32">
      <c r="A307" s="143">
        <v>45594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>
        <v>14933.75</v>
      </c>
      <c r="M307" s="9"/>
      <c r="N307" s="9"/>
      <c r="O307" s="9"/>
      <c r="P307" s="9"/>
      <c r="Q307" s="9"/>
      <c r="R307" s="9"/>
      <c r="S307" s="9"/>
      <c r="T307" s="9">
        <v>7881.6</v>
      </c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>
        <v>22815.35</v>
      </c>
    </row>
    <row r="308" spans="1:32">
      <c r="A308" s="143">
        <v>45595</v>
      </c>
      <c r="B308" s="9"/>
      <c r="C308" s="9"/>
      <c r="D308" s="9"/>
      <c r="E308" s="9">
        <v>679.68</v>
      </c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>
        <v>6817.2</v>
      </c>
      <c r="Q308" s="9"/>
      <c r="R308" s="9"/>
      <c r="S308" s="9"/>
      <c r="T308" s="9">
        <v>833.85</v>
      </c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>
        <v>8330.73</v>
      </c>
    </row>
    <row r="309" spans="1:32">
      <c r="A309" s="143">
        <v>45596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>
        <v>249.3</v>
      </c>
      <c r="P309" s="9"/>
      <c r="Q309" s="9"/>
      <c r="R309" s="9"/>
      <c r="S309" s="9"/>
      <c r="T309" s="9"/>
      <c r="U309" s="9"/>
      <c r="V309" s="9">
        <v>5304.72</v>
      </c>
      <c r="W309" s="9">
        <v>20512.8</v>
      </c>
      <c r="X309" s="9"/>
      <c r="Y309" s="9"/>
      <c r="Z309" s="9"/>
      <c r="AA309" s="9"/>
      <c r="AB309" s="9"/>
      <c r="AC309" s="9"/>
      <c r="AD309" s="9">
        <v>13018.68</v>
      </c>
      <c r="AE309" s="9"/>
      <c r="AF309" s="9">
        <v>39085.5</v>
      </c>
    </row>
    <row r="310" spans="1:32">
      <c r="A310" s="143">
        <v>45597</v>
      </c>
      <c r="B310" s="9">
        <v>832.5</v>
      </c>
      <c r="C310" s="9">
        <v>31970.05</v>
      </c>
      <c r="D310" s="9"/>
      <c r="E310" s="9"/>
      <c r="F310" s="9">
        <v>1100.0999999999999</v>
      </c>
      <c r="G310" s="9"/>
      <c r="H310" s="9"/>
      <c r="I310" s="9"/>
      <c r="J310" s="9"/>
      <c r="K310" s="9"/>
      <c r="L310" s="9">
        <v>16400.34</v>
      </c>
      <c r="M310" s="9"/>
      <c r="N310" s="9"/>
      <c r="O310" s="9"/>
      <c r="P310" s="9"/>
      <c r="Q310" s="9"/>
      <c r="R310" s="9"/>
      <c r="S310" s="9">
        <v>23103</v>
      </c>
      <c r="T310" s="9"/>
      <c r="U310" s="9">
        <v>9948.4</v>
      </c>
      <c r="V310" s="9"/>
      <c r="W310" s="9"/>
      <c r="X310" s="9"/>
      <c r="Y310" s="9"/>
      <c r="Z310" s="9"/>
      <c r="AA310" s="9"/>
      <c r="AB310" s="9"/>
      <c r="AC310" s="9">
        <v>14509.44</v>
      </c>
      <c r="AD310" s="9"/>
      <c r="AE310" s="9"/>
      <c r="AF310" s="9">
        <v>97863.83</v>
      </c>
    </row>
    <row r="311" spans="1:32">
      <c r="A311" s="143">
        <v>45598</v>
      </c>
      <c r="B311" s="9"/>
      <c r="C311" s="9">
        <v>14346.8</v>
      </c>
      <c r="D311" s="9"/>
      <c r="E311" s="9"/>
      <c r="F311" s="9"/>
      <c r="G311" s="9"/>
      <c r="H311" s="9"/>
      <c r="I311" s="9">
        <v>643.5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>
        <v>4784.6400000000003</v>
      </c>
      <c r="U311" s="9">
        <v>35978.800000000003</v>
      </c>
      <c r="V311" s="9"/>
      <c r="W311" s="9"/>
      <c r="X311" s="9"/>
      <c r="Y311" s="9">
        <v>5058.55</v>
      </c>
      <c r="Z311" s="9"/>
      <c r="AA311" s="9">
        <v>8863.1200000000008</v>
      </c>
      <c r="AB311" s="9"/>
      <c r="AC311" s="9"/>
      <c r="AD311" s="9"/>
      <c r="AE311" s="9"/>
      <c r="AF311" s="9">
        <v>69675.41</v>
      </c>
    </row>
    <row r="312" spans="1:32">
      <c r="A312" s="143">
        <v>45599</v>
      </c>
      <c r="B312" s="9"/>
      <c r="C312" s="9"/>
      <c r="D312" s="9">
        <v>2016.9</v>
      </c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>
        <v>8720.32</v>
      </c>
      <c r="X312" s="9">
        <v>22465.199999999997</v>
      </c>
      <c r="Y312" s="9"/>
      <c r="Z312" s="9"/>
      <c r="AA312" s="9"/>
      <c r="AB312" s="9"/>
      <c r="AC312" s="9"/>
      <c r="AD312" s="9"/>
      <c r="AE312" s="9"/>
      <c r="AF312" s="9">
        <v>33202.42</v>
      </c>
    </row>
    <row r="313" spans="1:32">
      <c r="A313" s="143">
        <v>45600</v>
      </c>
      <c r="B313" s="9"/>
      <c r="C313" s="9"/>
      <c r="D313" s="9"/>
      <c r="E313" s="9"/>
      <c r="F313" s="9">
        <v>14606.49</v>
      </c>
      <c r="G313" s="9">
        <v>8607.76</v>
      </c>
      <c r="H313" s="9"/>
      <c r="I313" s="9"/>
      <c r="J313" s="9"/>
      <c r="K313" s="9"/>
      <c r="L313" s="9"/>
      <c r="M313" s="9"/>
      <c r="N313" s="9"/>
      <c r="O313" s="9">
        <v>3262.14</v>
      </c>
      <c r="P313" s="9">
        <v>1430.16</v>
      </c>
      <c r="Q313" s="9">
        <v>20656.8</v>
      </c>
      <c r="R313" s="9"/>
      <c r="S313" s="9"/>
      <c r="T313" s="9">
        <v>13770.9</v>
      </c>
      <c r="U313" s="9"/>
      <c r="V313" s="9"/>
      <c r="W313" s="9">
        <v>1339.8</v>
      </c>
      <c r="X313" s="9">
        <v>13876.59</v>
      </c>
      <c r="Y313" s="9"/>
      <c r="Z313" s="9">
        <v>20307.7</v>
      </c>
      <c r="AA313" s="9">
        <v>889.24</v>
      </c>
      <c r="AB313" s="9">
        <v>8453.1200000000008</v>
      </c>
      <c r="AC313" s="9"/>
      <c r="AD313" s="9"/>
      <c r="AE313" s="9"/>
      <c r="AF313" s="9">
        <v>107200.7</v>
      </c>
    </row>
    <row r="314" spans="1:32">
      <c r="A314" s="143">
        <v>45601</v>
      </c>
      <c r="B314" s="9"/>
      <c r="C314" s="9"/>
      <c r="D314" s="9"/>
      <c r="E314" s="9"/>
      <c r="F314" s="9">
        <v>18356</v>
      </c>
      <c r="G314" s="9"/>
      <c r="H314" s="9">
        <v>26255.58</v>
      </c>
      <c r="I314" s="9"/>
      <c r="J314" s="9"/>
      <c r="K314" s="9"/>
      <c r="L314" s="9">
        <v>1982.76</v>
      </c>
      <c r="M314" s="9"/>
      <c r="N314" s="9"/>
      <c r="O314" s="9"/>
      <c r="P314" s="9">
        <v>23253.75</v>
      </c>
      <c r="Q314" s="9"/>
      <c r="R314" s="9"/>
      <c r="S314" s="9"/>
      <c r="T314" s="9">
        <v>9564.7999999999993</v>
      </c>
      <c r="U314" s="9"/>
      <c r="V314" s="9"/>
      <c r="W314" s="9">
        <v>14590.8</v>
      </c>
      <c r="X314" s="9"/>
      <c r="Y314" s="9"/>
      <c r="Z314" s="9"/>
      <c r="AA314" s="9"/>
      <c r="AB314" s="9"/>
      <c r="AC314" s="9"/>
      <c r="AD314" s="9"/>
      <c r="AE314" s="9"/>
      <c r="AF314" s="9">
        <v>94003.69</v>
      </c>
    </row>
    <row r="315" spans="1:32">
      <c r="A315" s="143">
        <v>45602</v>
      </c>
      <c r="B315" s="9">
        <v>13016.25</v>
      </c>
      <c r="C315" s="9"/>
      <c r="D315" s="9"/>
      <c r="E315" s="9">
        <v>6455.88</v>
      </c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>
        <v>219.3</v>
      </c>
      <c r="AB315" s="9"/>
      <c r="AC315" s="9"/>
      <c r="AD315" s="9">
        <v>26796.880000000001</v>
      </c>
      <c r="AE315" s="9"/>
      <c r="AF315" s="9">
        <v>46488.31</v>
      </c>
    </row>
    <row r="316" spans="1:32">
      <c r="A316" s="143">
        <v>45603</v>
      </c>
      <c r="B316" s="9"/>
      <c r="C316" s="9">
        <v>17714.400000000001</v>
      </c>
      <c r="D316" s="9">
        <v>39666.199999999997</v>
      </c>
      <c r="E316" s="9"/>
      <c r="F316" s="9">
        <v>2283</v>
      </c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>
        <v>7651.8</v>
      </c>
      <c r="Y316" s="9"/>
      <c r="Z316" s="9"/>
      <c r="AA316" s="9"/>
      <c r="AB316" s="9"/>
      <c r="AC316" s="9"/>
      <c r="AD316" s="9"/>
      <c r="AE316" s="9"/>
      <c r="AF316" s="9">
        <v>67315.399999999994</v>
      </c>
    </row>
    <row r="317" spans="1:32">
      <c r="A317" s="143">
        <v>45604</v>
      </c>
      <c r="B317" s="9"/>
      <c r="C317" s="9">
        <v>6367.35</v>
      </c>
      <c r="D317" s="9"/>
      <c r="E317" s="9"/>
      <c r="F317" s="9"/>
      <c r="G317" s="9"/>
      <c r="H317" s="9"/>
      <c r="I317" s="9"/>
      <c r="J317" s="9"/>
      <c r="K317" s="9">
        <v>18606.8</v>
      </c>
      <c r="L317" s="9"/>
      <c r="M317" s="9"/>
      <c r="N317" s="9"/>
      <c r="O317" s="9"/>
      <c r="P317" s="9">
        <v>8565.9599999999991</v>
      </c>
      <c r="Q317" s="9"/>
      <c r="R317" s="9"/>
      <c r="S317" s="9"/>
      <c r="T317" s="9">
        <v>16180.56</v>
      </c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>
        <v>49720.67</v>
      </c>
    </row>
    <row r="318" spans="1:32">
      <c r="A318" s="143">
        <v>45605</v>
      </c>
      <c r="B318" s="9"/>
      <c r="C318" s="9"/>
      <c r="D318" s="9"/>
      <c r="E318" s="9"/>
      <c r="F318" s="9">
        <v>6446.8</v>
      </c>
      <c r="G318" s="9"/>
      <c r="H318" s="9"/>
      <c r="I318" s="9">
        <v>1149.72</v>
      </c>
      <c r="J318" s="9">
        <v>6827.76</v>
      </c>
      <c r="K318" s="9">
        <v>17362.62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>
        <v>15498.96</v>
      </c>
      <c r="AA318" s="9"/>
      <c r="AB318" s="9"/>
      <c r="AC318" s="9"/>
      <c r="AD318" s="9"/>
      <c r="AE318" s="9"/>
      <c r="AF318" s="9">
        <v>47285.86</v>
      </c>
    </row>
    <row r="319" spans="1:32">
      <c r="A319" s="143">
        <v>45606</v>
      </c>
      <c r="B319" s="9"/>
      <c r="C319" s="9">
        <v>29446.5</v>
      </c>
      <c r="D319" s="9"/>
      <c r="E319" s="9"/>
      <c r="F319" s="9"/>
      <c r="G319" s="9">
        <v>19149.12</v>
      </c>
      <c r="H319" s="9"/>
      <c r="I319" s="9"/>
      <c r="J319" s="9"/>
      <c r="K319" s="9">
        <v>25506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>
        <v>8615.6</v>
      </c>
      <c r="X319" s="9"/>
      <c r="Y319" s="9"/>
      <c r="Z319" s="9"/>
      <c r="AA319" s="9"/>
      <c r="AB319" s="9"/>
      <c r="AC319" s="9"/>
      <c r="AD319" s="9"/>
      <c r="AE319" s="9"/>
      <c r="AF319" s="9">
        <v>82717.22</v>
      </c>
    </row>
    <row r="320" spans="1:32">
      <c r="A320" s="143">
        <v>45607</v>
      </c>
      <c r="B320" s="9"/>
      <c r="C320" s="9">
        <v>24645.759999999998</v>
      </c>
      <c r="D320" s="9"/>
      <c r="E320" s="9">
        <v>17037.3</v>
      </c>
      <c r="F320" s="9"/>
      <c r="G320" s="9"/>
      <c r="H320" s="9"/>
      <c r="I320" s="9"/>
      <c r="J320" s="9"/>
      <c r="K320" s="9"/>
      <c r="L320" s="9"/>
      <c r="M320" s="9">
        <v>11997.7</v>
      </c>
      <c r="N320" s="9">
        <v>19799.64</v>
      </c>
      <c r="O320" s="9"/>
      <c r="P320" s="9"/>
      <c r="Q320" s="9"/>
      <c r="R320" s="9"/>
      <c r="S320" s="9"/>
      <c r="T320" s="9"/>
      <c r="U320" s="9"/>
      <c r="V320" s="9">
        <v>22419.54</v>
      </c>
      <c r="W320" s="9"/>
      <c r="X320" s="9"/>
      <c r="Y320" s="9"/>
      <c r="Z320" s="9"/>
      <c r="AA320" s="9"/>
      <c r="AB320" s="9">
        <v>38046</v>
      </c>
      <c r="AC320" s="9"/>
      <c r="AD320" s="9"/>
      <c r="AE320" s="9"/>
      <c r="AF320" s="9">
        <v>133945.94</v>
      </c>
    </row>
    <row r="321" spans="1:32">
      <c r="A321" s="143">
        <v>45608</v>
      </c>
      <c r="B321" s="9"/>
      <c r="C321" s="9"/>
      <c r="D321" s="9"/>
      <c r="E321" s="9"/>
      <c r="F321" s="9"/>
      <c r="G321" s="9"/>
      <c r="H321" s="9">
        <v>38901.599999999999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>
        <v>10637.28</v>
      </c>
      <c r="U321" s="9"/>
      <c r="V321" s="9"/>
      <c r="W321" s="9"/>
      <c r="X321" s="9"/>
      <c r="Y321" s="9"/>
      <c r="Z321" s="9"/>
      <c r="AA321" s="9"/>
      <c r="AB321" s="9"/>
      <c r="AC321" s="9"/>
      <c r="AD321" s="9">
        <v>5546.46</v>
      </c>
      <c r="AE321" s="9"/>
      <c r="AF321" s="9">
        <v>55085.34</v>
      </c>
    </row>
    <row r="322" spans="1:32">
      <c r="A322" s="143">
        <v>45609</v>
      </c>
      <c r="B322" s="9">
        <v>8081.28</v>
      </c>
      <c r="C322" s="9">
        <v>14412.72</v>
      </c>
      <c r="D322" s="9">
        <v>19341.84</v>
      </c>
      <c r="E322" s="9"/>
      <c r="F322" s="9"/>
      <c r="G322" s="9"/>
      <c r="H322" s="9">
        <v>20387.16</v>
      </c>
      <c r="I322" s="9"/>
      <c r="J322" s="9">
        <v>865.46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>
        <v>7853.76</v>
      </c>
      <c r="W322" s="9"/>
      <c r="X322" s="9"/>
      <c r="Y322" s="9"/>
      <c r="Z322" s="9"/>
      <c r="AA322" s="9"/>
      <c r="AB322" s="9"/>
      <c r="AC322" s="9"/>
      <c r="AD322" s="9"/>
      <c r="AE322" s="9"/>
      <c r="AF322" s="9">
        <v>70942.22</v>
      </c>
    </row>
    <row r="323" spans="1:32">
      <c r="A323" s="143">
        <v>45610</v>
      </c>
      <c r="B323" s="9">
        <v>34179.5</v>
      </c>
      <c r="C323" s="9"/>
      <c r="D323" s="9"/>
      <c r="E323" s="9"/>
      <c r="F323" s="9">
        <v>5441.04</v>
      </c>
      <c r="G323" s="9"/>
      <c r="H323" s="9">
        <v>40599.200000000004</v>
      </c>
      <c r="I323" s="9"/>
      <c r="J323" s="9"/>
      <c r="K323" s="9"/>
      <c r="L323" s="9">
        <v>34595.9</v>
      </c>
      <c r="M323" s="9"/>
      <c r="N323" s="9"/>
      <c r="O323" s="9"/>
      <c r="P323" s="9"/>
      <c r="Q323" s="9"/>
      <c r="R323" s="9"/>
      <c r="S323" s="9">
        <v>10467.6</v>
      </c>
      <c r="T323" s="9"/>
      <c r="U323" s="9"/>
      <c r="V323" s="9"/>
      <c r="W323" s="9"/>
      <c r="X323" s="9"/>
      <c r="Y323" s="9">
        <v>6134.4</v>
      </c>
      <c r="Z323" s="9"/>
      <c r="AA323" s="9"/>
      <c r="AB323" s="9">
        <v>15619.87</v>
      </c>
      <c r="AC323" s="9">
        <v>22523.13</v>
      </c>
      <c r="AD323" s="9"/>
      <c r="AE323" s="9"/>
      <c r="AF323" s="9">
        <v>169560.64</v>
      </c>
    </row>
    <row r="324" spans="1:32">
      <c r="A324" s="143">
        <v>45611</v>
      </c>
      <c r="B324" s="9"/>
      <c r="C324" s="9"/>
      <c r="D324" s="9"/>
      <c r="E324" s="9"/>
      <c r="F324" s="9"/>
      <c r="G324" s="9"/>
      <c r="H324" s="9"/>
      <c r="I324" s="9">
        <v>13585.6</v>
      </c>
      <c r="J324" s="9"/>
      <c r="K324" s="9"/>
      <c r="L324" s="9">
        <v>3820.74</v>
      </c>
      <c r="M324" s="9">
        <v>13205.92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>
        <v>5812.48</v>
      </c>
      <c r="AF324" s="9">
        <v>36424.740000000005</v>
      </c>
    </row>
    <row r="325" spans="1:32">
      <c r="A325" s="143">
        <v>45612</v>
      </c>
      <c r="B325" s="9"/>
      <c r="C325" s="9"/>
      <c r="D325" s="9"/>
      <c r="E325" s="9"/>
      <c r="F325" s="9">
        <v>5323.36</v>
      </c>
      <c r="G325" s="9"/>
      <c r="H325" s="9"/>
      <c r="I325" s="9">
        <v>18838.080000000002</v>
      </c>
      <c r="J325" s="9"/>
      <c r="K325" s="9">
        <v>4231.2</v>
      </c>
      <c r="L325" s="9"/>
      <c r="M325" s="9">
        <v>30915.72</v>
      </c>
      <c r="N325" s="9">
        <v>2813.49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>
        <v>62121.85</v>
      </c>
    </row>
    <row r="326" spans="1:32">
      <c r="A326" s="143">
        <v>45613</v>
      </c>
      <c r="B326" s="9">
        <v>12199.2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>
        <v>6033.16</v>
      </c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>
        <v>18232.36</v>
      </c>
    </row>
    <row r="327" spans="1:32">
      <c r="A327" s="143">
        <v>45614</v>
      </c>
      <c r="B327" s="9"/>
      <c r="C327" s="9">
        <v>19374.240000000002</v>
      </c>
      <c r="D327" s="9"/>
      <c r="E327" s="9"/>
      <c r="F327" s="9">
        <v>2014.2</v>
      </c>
      <c r="G327" s="9"/>
      <c r="H327" s="9"/>
      <c r="I327" s="9"/>
      <c r="J327" s="9"/>
      <c r="K327" s="9">
        <v>11954.25</v>
      </c>
      <c r="L327" s="9"/>
      <c r="M327" s="9"/>
      <c r="N327" s="9"/>
      <c r="O327" s="9"/>
      <c r="P327" s="9">
        <v>25840.5</v>
      </c>
      <c r="Q327" s="9"/>
      <c r="R327" s="9"/>
      <c r="S327" s="9"/>
      <c r="T327" s="9"/>
      <c r="U327" s="9">
        <v>3691.49</v>
      </c>
      <c r="V327" s="9"/>
      <c r="W327" s="9"/>
      <c r="X327" s="9"/>
      <c r="Y327" s="9">
        <v>24562.44</v>
      </c>
      <c r="Z327" s="9">
        <v>27302.400000000001</v>
      </c>
      <c r="AA327" s="9"/>
      <c r="AB327" s="9">
        <v>21831.599999999999</v>
      </c>
      <c r="AC327" s="9"/>
      <c r="AD327" s="9"/>
      <c r="AE327" s="9">
        <v>5076</v>
      </c>
      <c r="AF327" s="9">
        <v>141647.12</v>
      </c>
    </row>
    <row r="328" spans="1:32">
      <c r="A328" s="143">
        <v>45615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>
        <v>8762.76</v>
      </c>
      <c r="X328" s="9"/>
      <c r="Y328" s="9"/>
      <c r="Z328" s="9">
        <v>15966.72</v>
      </c>
      <c r="AA328" s="9"/>
      <c r="AB328" s="9">
        <v>22153.88</v>
      </c>
      <c r="AC328" s="9">
        <v>5101.2</v>
      </c>
      <c r="AD328" s="9"/>
      <c r="AE328" s="9"/>
      <c r="AF328" s="9">
        <v>51984.56</v>
      </c>
    </row>
    <row r="329" spans="1:32">
      <c r="A329" s="143">
        <v>45616</v>
      </c>
      <c r="B329" s="9"/>
      <c r="C329" s="9"/>
      <c r="D329" s="9"/>
      <c r="E329" s="9"/>
      <c r="F329" s="9"/>
      <c r="G329" s="9"/>
      <c r="H329" s="9"/>
      <c r="I329" s="9"/>
      <c r="J329" s="9">
        <v>4936.3599999999997</v>
      </c>
      <c r="K329" s="9">
        <v>13714.35</v>
      </c>
      <c r="L329" s="9">
        <v>5509.29</v>
      </c>
      <c r="M329" s="9"/>
      <c r="N329" s="9">
        <v>33661.5</v>
      </c>
      <c r="O329" s="9"/>
      <c r="P329" s="9"/>
      <c r="Q329" s="9"/>
      <c r="R329" s="9">
        <v>831.6</v>
      </c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>
        <v>58653.1</v>
      </c>
    </row>
    <row r="330" spans="1:32">
      <c r="A330" s="143">
        <v>45617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>
        <v>3319.68</v>
      </c>
      <c r="P330" s="9">
        <v>21323.68</v>
      </c>
      <c r="Q330" s="9"/>
      <c r="R330" s="9"/>
      <c r="S330" s="9"/>
      <c r="T330" s="9">
        <v>11165.44</v>
      </c>
      <c r="U330" s="9"/>
      <c r="V330" s="9"/>
      <c r="W330" s="9">
        <v>18316.48</v>
      </c>
      <c r="X330" s="9"/>
      <c r="Y330" s="9"/>
      <c r="Z330" s="9">
        <v>24161.759999999998</v>
      </c>
      <c r="AA330" s="9">
        <v>10058.65</v>
      </c>
      <c r="AB330" s="9"/>
      <c r="AC330" s="9"/>
      <c r="AD330" s="9"/>
      <c r="AE330" s="9">
        <v>44450.7</v>
      </c>
      <c r="AF330" s="9">
        <v>132796.38999999998</v>
      </c>
    </row>
    <row r="331" spans="1:32">
      <c r="A331" s="143">
        <v>45618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>
        <v>31083.480000000003</v>
      </c>
      <c r="T331" s="9"/>
      <c r="U331" s="9">
        <v>15315.3</v>
      </c>
      <c r="V331" s="9"/>
      <c r="W331" s="9"/>
      <c r="X331" s="9"/>
      <c r="Y331" s="9">
        <v>9412.5</v>
      </c>
      <c r="Z331" s="9"/>
      <c r="AA331" s="9"/>
      <c r="AB331" s="9"/>
      <c r="AC331" s="9"/>
      <c r="AD331" s="9">
        <v>2484.1799999999998</v>
      </c>
      <c r="AE331" s="9">
        <v>24371.83</v>
      </c>
      <c r="AF331" s="9">
        <v>82667.290000000008</v>
      </c>
    </row>
    <row r="332" spans="1:32">
      <c r="A332" s="143">
        <v>45619</v>
      </c>
      <c r="B332" s="9"/>
      <c r="C332" s="9"/>
      <c r="D332" s="9"/>
      <c r="E332" s="9"/>
      <c r="F332" s="9"/>
      <c r="G332" s="9">
        <v>53743.360000000001</v>
      </c>
      <c r="H332" s="9"/>
      <c r="I332" s="9"/>
      <c r="J332" s="9">
        <v>826.95</v>
      </c>
      <c r="K332" s="9"/>
      <c r="L332" s="9"/>
      <c r="M332" s="9"/>
      <c r="N332" s="9"/>
      <c r="O332" s="9"/>
      <c r="P332" s="9"/>
      <c r="Q332" s="9"/>
      <c r="R332" s="9"/>
      <c r="S332" s="9"/>
      <c r="T332" s="9">
        <v>4255.68</v>
      </c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>
        <v>58825.99</v>
      </c>
    </row>
    <row r="333" spans="1:32">
      <c r="A333" s="143">
        <v>45620</v>
      </c>
      <c r="B333" s="9"/>
      <c r="C333" s="9"/>
      <c r="D333" s="9"/>
      <c r="E333" s="9"/>
      <c r="F333" s="9"/>
      <c r="G333" s="9"/>
      <c r="H333" s="9"/>
      <c r="I333" s="9">
        <v>8619.56</v>
      </c>
      <c r="J333" s="9"/>
      <c r="K333" s="9"/>
      <c r="L333" s="9"/>
      <c r="M333" s="9">
        <v>13032.72</v>
      </c>
      <c r="N333" s="9">
        <v>33730.559999999998</v>
      </c>
      <c r="O333" s="9"/>
      <c r="P333" s="9"/>
      <c r="Q333" s="9"/>
      <c r="R333" s="9"/>
      <c r="S333" s="9"/>
      <c r="T333" s="9"/>
      <c r="U333" s="9"/>
      <c r="V333" s="9"/>
      <c r="W333" s="9">
        <v>16158.9</v>
      </c>
      <c r="X333" s="9"/>
      <c r="Y333" s="9"/>
      <c r="Z333" s="9"/>
      <c r="AA333" s="9"/>
      <c r="AB333" s="9"/>
      <c r="AC333" s="9"/>
      <c r="AD333" s="9"/>
      <c r="AE333" s="9"/>
      <c r="AF333" s="9">
        <v>71541.739999999991</v>
      </c>
    </row>
    <row r="334" spans="1:32">
      <c r="A334" s="143">
        <v>45621</v>
      </c>
      <c r="B334" s="9"/>
      <c r="C334" s="9"/>
      <c r="D334" s="9"/>
      <c r="E334" s="9">
        <v>12307</v>
      </c>
      <c r="F334" s="9"/>
      <c r="G334" s="9"/>
      <c r="H334" s="9">
        <v>3703.6</v>
      </c>
      <c r="I334" s="9"/>
      <c r="J334" s="9"/>
      <c r="K334" s="9"/>
      <c r="L334" s="9"/>
      <c r="M334" s="9"/>
      <c r="N334" s="9">
        <v>8006.4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>
        <v>24017</v>
      </c>
    </row>
    <row r="335" spans="1:32">
      <c r="A335" s="143">
        <v>45622</v>
      </c>
      <c r="B335" s="9"/>
      <c r="C335" s="9"/>
      <c r="D335" s="9"/>
      <c r="E335" s="9">
        <v>2691</v>
      </c>
      <c r="F335" s="9"/>
      <c r="G335" s="9"/>
      <c r="H335" s="9"/>
      <c r="I335" s="9"/>
      <c r="J335" s="9"/>
      <c r="K335" s="9">
        <v>13347.6</v>
      </c>
      <c r="L335" s="9"/>
      <c r="M335" s="9"/>
      <c r="N335" s="9"/>
      <c r="O335" s="9"/>
      <c r="P335" s="9">
        <v>16980.599999999999</v>
      </c>
      <c r="Q335" s="9"/>
      <c r="R335" s="9">
        <v>9067.41</v>
      </c>
      <c r="S335" s="9">
        <v>2446.6</v>
      </c>
      <c r="T335" s="9"/>
      <c r="U335" s="9">
        <v>4051.02</v>
      </c>
      <c r="V335" s="9"/>
      <c r="W335" s="9"/>
      <c r="X335" s="9"/>
      <c r="Y335" s="9"/>
      <c r="Z335" s="9"/>
      <c r="AA335" s="9"/>
      <c r="AB335" s="9"/>
      <c r="AC335" s="9">
        <v>22326</v>
      </c>
      <c r="AD335" s="9">
        <v>6066.45</v>
      </c>
      <c r="AE335" s="9">
        <v>33693.699999999997</v>
      </c>
      <c r="AF335" s="9">
        <v>110670.37999999999</v>
      </c>
    </row>
    <row r="336" spans="1:32">
      <c r="A336" s="143">
        <v>45623</v>
      </c>
      <c r="B336" s="9">
        <v>3906.68</v>
      </c>
      <c r="C336" s="9"/>
      <c r="D336" s="9">
        <v>13299.75</v>
      </c>
      <c r="E336" s="9"/>
      <c r="F336" s="9"/>
      <c r="G336" s="9"/>
      <c r="H336" s="9">
        <v>361.76</v>
      </c>
      <c r="I336" s="9"/>
      <c r="J336" s="9">
        <v>9164.61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>
        <v>26732.799999999999</v>
      </c>
    </row>
    <row r="337" spans="1:32">
      <c r="A337" s="143">
        <v>45624</v>
      </c>
      <c r="B337" s="9"/>
      <c r="C337" s="9"/>
      <c r="D337" s="9">
        <v>29565.599999999999</v>
      </c>
      <c r="E337" s="9"/>
      <c r="F337" s="9"/>
      <c r="G337" s="9"/>
      <c r="H337" s="9"/>
      <c r="I337" s="9"/>
      <c r="J337" s="9"/>
      <c r="K337" s="9">
        <v>14478.75</v>
      </c>
      <c r="L337" s="9"/>
      <c r="M337" s="9"/>
      <c r="N337" s="9">
        <v>7437.12</v>
      </c>
      <c r="O337" s="9">
        <v>10696.4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>
        <v>6219.78</v>
      </c>
      <c r="AF337" s="9">
        <v>68397.650000000009</v>
      </c>
    </row>
    <row r="338" spans="1:32">
      <c r="A338" s="143">
        <v>45625</v>
      </c>
      <c r="B338" s="9"/>
      <c r="C338" s="9"/>
      <c r="D338" s="9">
        <v>2870.46</v>
      </c>
      <c r="E338" s="9"/>
      <c r="F338" s="9"/>
      <c r="G338" s="9"/>
      <c r="H338" s="9"/>
      <c r="I338" s="9"/>
      <c r="J338" s="9"/>
      <c r="K338" s="9"/>
      <c r="L338" s="9">
        <v>1931.77</v>
      </c>
      <c r="M338" s="9"/>
      <c r="N338" s="9">
        <v>2663.36</v>
      </c>
      <c r="O338" s="9"/>
      <c r="P338" s="9"/>
      <c r="Q338" s="9"/>
      <c r="R338" s="9"/>
      <c r="S338" s="9">
        <v>17767.96</v>
      </c>
      <c r="T338" s="9"/>
      <c r="U338" s="9"/>
      <c r="V338" s="9">
        <v>22852.799999999999</v>
      </c>
      <c r="W338" s="9"/>
      <c r="X338" s="9"/>
      <c r="Y338" s="9"/>
      <c r="Z338" s="9"/>
      <c r="AA338" s="9"/>
      <c r="AB338" s="9">
        <v>4265.12</v>
      </c>
      <c r="AC338" s="9"/>
      <c r="AD338" s="9">
        <v>24396.48</v>
      </c>
      <c r="AE338" s="9"/>
      <c r="AF338" s="9">
        <v>76747.95</v>
      </c>
    </row>
    <row r="339" spans="1:32">
      <c r="A339" s="143">
        <v>45626</v>
      </c>
      <c r="B339" s="9"/>
      <c r="C339" s="9"/>
      <c r="D339" s="9"/>
      <c r="E339" s="9"/>
      <c r="F339" s="9"/>
      <c r="G339" s="9"/>
      <c r="H339" s="9"/>
      <c r="I339" s="9">
        <v>21700.799999999999</v>
      </c>
      <c r="J339" s="9">
        <v>8333.82</v>
      </c>
      <c r="K339" s="9"/>
      <c r="L339" s="9"/>
      <c r="M339" s="9"/>
      <c r="N339" s="9"/>
      <c r="O339" s="9">
        <v>33693.699999999997</v>
      </c>
      <c r="P339" s="9"/>
      <c r="Q339" s="9"/>
      <c r="R339" s="9">
        <v>13518.12</v>
      </c>
      <c r="S339" s="9"/>
      <c r="T339" s="9">
        <v>26275.200000000001</v>
      </c>
      <c r="U339" s="9"/>
      <c r="V339" s="9"/>
      <c r="W339" s="9"/>
      <c r="X339" s="9">
        <v>15990.75</v>
      </c>
      <c r="Y339" s="9">
        <v>22916.76</v>
      </c>
      <c r="Z339" s="9"/>
      <c r="AA339" s="9">
        <v>8739.36</v>
      </c>
      <c r="AB339" s="9"/>
      <c r="AC339" s="9"/>
      <c r="AD339" s="9"/>
      <c r="AE339" s="9"/>
      <c r="AF339" s="9">
        <v>151168.51</v>
      </c>
    </row>
    <row r="340" spans="1:32">
      <c r="A340" s="143">
        <v>45627</v>
      </c>
      <c r="B340" s="9">
        <v>12223.68</v>
      </c>
      <c r="C340" s="9">
        <v>3654.42</v>
      </c>
      <c r="D340" s="9"/>
      <c r="E340" s="9"/>
      <c r="F340" s="9"/>
      <c r="G340" s="9"/>
      <c r="H340" s="9"/>
      <c r="I340" s="9">
        <v>6704.46</v>
      </c>
      <c r="J340" s="9"/>
      <c r="K340" s="9"/>
      <c r="L340" s="9"/>
      <c r="M340" s="9"/>
      <c r="N340" s="9"/>
      <c r="O340" s="9"/>
      <c r="P340" s="9"/>
      <c r="Q340" s="9"/>
      <c r="R340" s="9">
        <v>6306.3</v>
      </c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>
        <v>3378.18</v>
      </c>
      <c r="AF340" s="9">
        <v>32267.040000000001</v>
      </c>
    </row>
    <row r="341" spans="1:32">
      <c r="A341" s="143">
        <v>45628</v>
      </c>
      <c r="B341" s="9">
        <v>3723.72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>
        <v>23047.200000000001</v>
      </c>
      <c r="S341" s="9"/>
      <c r="T341" s="9"/>
      <c r="U341" s="9"/>
      <c r="V341" s="9"/>
      <c r="W341" s="9">
        <v>26578.799999999999</v>
      </c>
      <c r="X341" s="9"/>
      <c r="Y341" s="9">
        <v>13350.61</v>
      </c>
      <c r="Z341" s="9">
        <v>7845.75</v>
      </c>
      <c r="AA341" s="9"/>
      <c r="AB341" s="9"/>
      <c r="AC341" s="9"/>
      <c r="AD341" s="9"/>
      <c r="AE341" s="9"/>
      <c r="AF341" s="9">
        <v>74546.080000000002</v>
      </c>
    </row>
    <row r="342" spans="1:32">
      <c r="A342" s="143">
        <v>45629</v>
      </c>
      <c r="B342" s="9"/>
      <c r="C342" s="9">
        <v>7645.36</v>
      </c>
      <c r="D342" s="9"/>
      <c r="E342" s="9">
        <v>6934.48</v>
      </c>
      <c r="F342" s="9">
        <v>24596</v>
      </c>
      <c r="G342" s="9">
        <v>4965.1000000000004</v>
      </c>
      <c r="H342" s="9"/>
      <c r="I342" s="9"/>
      <c r="J342" s="9">
        <v>1704.24</v>
      </c>
      <c r="K342" s="9"/>
      <c r="L342" s="9"/>
      <c r="M342" s="9"/>
      <c r="N342" s="9">
        <v>11875.5</v>
      </c>
      <c r="O342" s="9"/>
      <c r="P342" s="9"/>
      <c r="Q342" s="9"/>
      <c r="R342" s="9"/>
      <c r="S342" s="9"/>
      <c r="T342" s="9"/>
      <c r="U342" s="9"/>
      <c r="V342" s="9"/>
      <c r="W342" s="9"/>
      <c r="X342" s="9">
        <v>52926.9</v>
      </c>
      <c r="Y342" s="9"/>
      <c r="Z342" s="9"/>
      <c r="AA342" s="9">
        <v>15047.619999999999</v>
      </c>
      <c r="AB342" s="9"/>
      <c r="AC342" s="9"/>
      <c r="AD342" s="9"/>
      <c r="AE342" s="9"/>
      <c r="AF342" s="9">
        <v>125695.19999999998</v>
      </c>
    </row>
    <row r="343" spans="1:32">
      <c r="A343" s="143">
        <v>45630</v>
      </c>
      <c r="B343" s="9">
        <v>8932.56</v>
      </c>
      <c r="C343" s="9"/>
      <c r="D343" s="9"/>
      <c r="E343" s="9"/>
      <c r="F343" s="9"/>
      <c r="G343" s="9"/>
      <c r="H343" s="9">
        <v>27171.84</v>
      </c>
      <c r="I343" s="9">
        <v>7409.28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>
        <v>43513.68</v>
      </c>
    </row>
    <row r="344" spans="1:32">
      <c r="A344" s="143">
        <v>45631</v>
      </c>
      <c r="B344" s="9"/>
      <c r="C344" s="9"/>
      <c r="D344" s="9"/>
      <c r="E344" s="9"/>
      <c r="F344" s="9"/>
      <c r="G344" s="9"/>
      <c r="H344" s="9"/>
      <c r="I344" s="9">
        <v>19588.32</v>
      </c>
      <c r="J344" s="9"/>
      <c r="K344" s="9">
        <v>19751.900000000001</v>
      </c>
      <c r="L344" s="9"/>
      <c r="M344" s="9"/>
      <c r="N344" s="9"/>
      <c r="O344" s="9">
        <v>7369.36</v>
      </c>
      <c r="P344" s="9"/>
      <c r="Q344" s="9"/>
      <c r="R344" s="9"/>
      <c r="S344" s="9"/>
      <c r="T344" s="9"/>
      <c r="U344" s="9"/>
      <c r="V344" s="9"/>
      <c r="W344" s="9"/>
      <c r="X344" s="9">
        <v>1914.96</v>
      </c>
      <c r="Y344" s="9"/>
      <c r="Z344" s="9"/>
      <c r="AA344" s="9"/>
      <c r="AB344" s="9"/>
      <c r="AC344" s="9">
        <v>3345.3</v>
      </c>
      <c r="AD344" s="9"/>
      <c r="AE344" s="9"/>
      <c r="AF344" s="9">
        <v>51969.840000000004</v>
      </c>
    </row>
    <row r="345" spans="1:32">
      <c r="A345" s="143">
        <v>45632</v>
      </c>
      <c r="B345" s="9">
        <v>20151.32</v>
      </c>
      <c r="C345" s="9">
        <v>29171.03</v>
      </c>
      <c r="D345" s="9"/>
      <c r="E345" s="9"/>
      <c r="F345" s="9"/>
      <c r="G345" s="9"/>
      <c r="H345" s="9">
        <v>1345.63</v>
      </c>
      <c r="I345" s="9"/>
      <c r="J345" s="9"/>
      <c r="K345" s="9"/>
      <c r="L345" s="9"/>
      <c r="M345" s="9"/>
      <c r="N345" s="9">
        <v>7337.52</v>
      </c>
      <c r="O345" s="9"/>
      <c r="P345" s="9"/>
      <c r="Q345" s="9"/>
      <c r="R345" s="9"/>
      <c r="S345" s="9"/>
      <c r="T345" s="9"/>
      <c r="U345" s="9"/>
      <c r="V345" s="9"/>
      <c r="W345" s="9">
        <v>1443</v>
      </c>
      <c r="X345" s="9"/>
      <c r="Y345" s="9"/>
      <c r="Z345" s="9">
        <v>12935.31</v>
      </c>
      <c r="AA345" s="9"/>
      <c r="AB345" s="9"/>
      <c r="AC345" s="9"/>
      <c r="AD345" s="9"/>
      <c r="AE345" s="9"/>
      <c r="AF345" s="9">
        <v>72383.81</v>
      </c>
    </row>
    <row r="346" spans="1:32">
      <c r="A346" s="143">
        <v>45633</v>
      </c>
      <c r="B346" s="9"/>
      <c r="C346" s="9"/>
      <c r="D346" s="9"/>
      <c r="E346" s="9">
        <v>28144.04</v>
      </c>
      <c r="F346" s="9"/>
      <c r="G346" s="9"/>
      <c r="H346" s="9"/>
      <c r="I346" s="9">
        <v>7471.98</v>
      </c>
      <c r="J346" s="9">
        <v>30213</v>
      </c>
      <c r="K346" s="9">
        <v>5220.3999999999996</v>
      </c>
      <c r="L346" s="9"/>
      <c r="M346" s="9"/>
      <c r="N346" s="9"/>
      <c r="O346" s="9"/>
      <c r="P346" s="9"/>
      <c r="Q346" s="9"/>
      <c r="R346" s="9"/>
      <c r="S346" s="9">
        <v>30276.3</v>
      </c>
      <c r="T346" s="9">
        <v>26384</v>
      </c>
      <c r="U346" s="9"/>
      <c r="V346" s="9"/>
      <c r="W346" s="9"/>
      <c r="X346" s="9"/>
      <c r="Y346" s="9">
        <v>49733.2</v>
      </c>
      <c r="Z346" s="9"/>
      <c r="AA346" s="9"/>
      <c r="AB346" s="9">
        <v>1147.74</v>
      </c>
      <c r="AC346" s="9">
        <v>4748.24</v>
      </c>
      <c r="AD346" s="9">
        <v>5856</v>
      </c>
      <c r="AE346" s="9"/>
      <c r="AF346" s="9">
        <v>189194.89999999997</v>
      </c>
    </row>
    <row r="347" spans="1:32">
      <c r="A347" s="143">
        <v>45634</v>
      </c>
      <c r="B347" s="9"/>
      <c r="C347" s="9"/>
      <c r="D347" s="9"/>
      <c r="E347" s="9"/>
      <c r="F347" s="9">
        <v>7181.1</v>
      </c>
      <c r="G347" s="9">
        <v>1924.56</v>
      </c>
      <c r="H347" s="9">
        <v>16556.7</v>
      </c>
      <c r="I347" s="9">
        <v>6081.7</v>
      </c>
      <c r="J347" s="9"/>
      <c r="K347" s="9"/>
      <c r="L347" s="9"/>
      <c r="M347" s="9"/>
      <c r="N347" s="9"/>
      <c r="O347" s="9">
        <v>13368.76</v>
      </c>
      <c r="P347" s="9"/>
      <c r="Q347" s="9"/>
      <c r="R347" s="9"/>
      <c r="S347" s="9"/>
      <c r="T347" s="9">
        <v>8686</v>
      </c>
      <c r="U347" s="9"/>
      <c r="V347" s="9"/>
      <c r="W347" s="9"/>
      <c r="X347" s="9">
        <v>12674.9</v>
      </c>
      <c r="Y347" s="9"/>
      <c r="Z347" s="9"/>
      <c r="AA347" s="9"/>
      <c r="AB347" s="9">
        <v>30064.880000000001</v>
      </c>
      <c r="AC347" s="9"/>
      <c r="AD347" s="9"/>
      <c r="AE347" s="9"/>
      <c r="AF347" s="9">
        <v>96538.6</v>
      </c>
    </row>
    <row r="348" spans="1:32">
      <c r="A348" s="143">
        <v>45635</v>
      </c>
      <c r="B348" s="9"/>
      <c r="C348" s="9"/>
      <c r="D348" s="9"/>
      <c r="E348" s="9">
        <v>929.88</v>
      </c>
      <c r="F348" s="9"/>
      <c r="G348" s="9">
        <v>14372.4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>
        <v>19088.16</v>
      </c>
      <c r="Y348" s="9"/>
      <c r="Z348" s="9"/>
      <c r="AA348" s="9"/>
      <c r="AB348" s="9"/>
      <c r="AC348" s="9"/>
      <c r="AD348" s="9"/>
      <c r="AE348" s="9">
        <v>5705.7</v>
      </c>
      <c r="AF348" s="9">
        <v>40096.14</v>
      </c>
    </row>
    <row r="349" spans="1:32">
      <c r="A349" s="143">
        <v>45636</v>
      </c>
      <c r="B349" s="9"/>
      <c r="C349" s="9"/>
      <c r="D349" s="9"/>
      <c r="E349" s="9"/>
      <c r="F349" s="9"/>
      <c r="G349" s="9"/>
      <c r="H349" s="9">
        <v>333</v>
      </c>
      <c r="I349" s="9"/>
      <c r="J349" s="9"/>
      <c r="K349" s="9">
        <v>14674.32</v>
      </c>
      <c r="L349" s="9"/>
      <c r="M349" s="9"/>
      <c r="N349" s="9"/>
      <c r="O349" s="9">
        <v>32337.9</v>
      </c>
      <c r="P349" s="9"/>
      <c r="Q349" s="9"/>
      <c r="R349" s="9"/>
      <c r="S349" s="9"/>
      <c r="T349" s="9"/>
      <c r="U349" s="9"/>
      <c r="V349" s="9"/>
      <c r="W349" s="9">
        <v>34175.79</v>
      </c>
      <c r="X349" s="9"/>
      <c r="Y349" s="9"/>
      <c r="Z349" s="9"/>
      <c r="AA349" s="9"/>
      <c r="AB349" s="9">
        <v>18105.599999999999</v>
      </c>
      <c r="AC349" s="9"/>
      <c r="AD349" s="9"/>
      <c r="AE349" s="9"/>
      <c r="AF349" s="9">
        <v>99626.610000000015</v>
      </c>
    </row>
    <row r="350" spans="1:32">
      <c r="A350" s="143">
        <v>45637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>
        <v>11111.67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>
        <v>999.6</v>
      </c>
      <c r="AD350" s="9"/>
      <c r="AE350" s="9"/>
      <c r="AF350" s="9">
        <v>12111.27</v>
      </c>
    </row>
    <row r="351" spans="1:32">
      <c r="A351" s="143">
        <v>45638</v>
      </c>
      <c r="B351" s="9"/>
      <c r="C351" s="9"/>
      <c r="D351" s="9"/>
      <c r="E351" s="9"/>
      <c r="F351" s="9">
        <v>36803.699999999997</v>
      </c>
      <c r="G351" s="9"/>
      <c r="H351" s="9"/>
      <c r="I351" s="9"/>
      <c r="J351" s="9"/>
      <c r="K351" s="9"/>
      <c r="L351" s="9"/>
      <c r="M351" s="9"/>
      <c r="N351" s="9">
        <v>10039.5</v>
      </c>
      <c r="O351" s="9"/>
      <c r="P351" s="9"/>
      <c r="Q351" s="9"/>
      <c r="R351" s="9">
        <v>7835.1</v>
      </c>
      <c r="S351" s="9"/>
      <c r="T351" s="9">
        <v>33228.9</v>
      </c>
      <c r="U351" s="9"/>
      <c r="V351" s="9"/>
      <c r="W351" s="9"/>
      <c r="X351" s="9">
        <v>11635.2</v>
      </c>
      <c r="Y351" s="9"/>
      <c r="Z351" s="9">
        <v>7766.4</v>
      </c>
      <c r="AA351" s="9"/>
      <c r="AB351" s="9"/>
      <c r="AC351" s="9"/>
      <c r="AD351" s="9"/>
      <c r="AE351" s="9"/>
      <c r="AF351" s="9">
        <v>107308.79999999999</v>
      </c>
    </row>
    <row r="352" spans="1:32">
      <c r="A352" s="143">
        <v>45639</v>
      </c>
      <c r="B352" s="9"/>
      <c r="C352" s="9"/>
      <c r="D352" s="9"/>
      <c r="E352" s="9"/>
      <c r="F352" s="9"/>
      <c r="G352" s="9"/>
      <c r="H352" s="9"/>
      <c r="I352" s="9"/>
      <c r="J352" s="9">
        <v>6110.56</v>
      </c>
      <c r="K352" s="9"/>
      <c r="L352" s="9"/>
      <c r="M352" s="9">
        <v>1423.52</v>
      </c>
      <c r="N352" s="9">
        <v>2925.72</v>
      </c>
      <c r="O352" s="9"/>
      <c r="P352" s="9"/>
      <c r="Q352" s="9"/>
      <c r="R352" s="9"/>
      <c r="S352" s="9"/>
      <c r="T352" s="9"/>
      <c r="U352" s="9"/>
      <c r="V352" s="9"/>
      <c r="W352" s="9">
        <v>24232.880000000001</v>
      </c>
      <c r="X352" s="9"/>
      <c r="Y352" s="9"/>
      <c r="Z352" s="9"/>
      <c r="AA352" s="9"/>
      <c r="AB352" s="9"/>
      <c r="AC352" s="9"/>
      <c r="AD352" s="9"/>
      <c r="AE352" s="9"/>
      <c r="AF352" s="9">
        <v>34692.68</v>
      </c>
    </row>
    <row r="353" spans="1:32">
      <c r="A353" s="143">
        <v>45640</v>
      </c>
      <c r="B353" s="9"/>
      <c r="C353" s="9"/>
      <c r="D353" s="9"/>
      <c r="E353" s="9"/>
      <c r="F353" s="9"/>
      <c r="G353" s="9">
        <v>15231.2</v>
      </c>
      <c r="H353" s="9"/>
      <c r="I353" s="9">
        <v>50361.599999999999</v>
      </c>
      <c r="J353" s="9"/>
      <c r="K353" s="9">
        <v>3605.1</v>
      </c>
      <c r="L353" s="9"/>
      <c r="M353" s="9"/>
      <c r="N353" s="9"/>
      <c r="O353" s="9">
        <v>24307.919999999998</v>
      </c>
      <c r="P353" s="9"/>
      <c r="Q353" s="9"/>
      <c r="R353" s="9">
        <v>7025.76</v>
      </c>
      <c r="S353" s="9"/>
      <c r="T353" s="9"/>
      <c r="U353" s="9">
        <v>11916.96</v>
      </c>
      <c r="V353" s="9">
        <v>17733.240000000002</v>
      </c>
      <c r="W353" s="9"/>
      <c r="X353" s="9"/>
      <c r="Y353" s="9"/>
      <c r="Z353" s="9"/>
      <c r="AA353" s="9"/>
      <c r="AB353" s="9"/>
      <c r="AC353" s="9"/>
      <c r="AD353" s="9"/>
      <c r="AE353" s="9"/>
      <c r="AF353" s="9">
        <v>130181.78000000001</v>
      </c>
    </row>
    <row r="354" spans="1:32">
      <c r="A354" s="143">
        <v>45641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>
        <v>10388.64</v>
      </c>
      <c r="AB354" s="9"/>
      <c r="AC354" s="9">
        <v>8568</v>
      </c>
      <c r="AD354" s="9"/>
      <c r="AE354" s="9"/>
      <c r="AF354" s="9">
        <v>18956.64</v>
      </c>
    </row>
    <row r="355" spans="1:32">
      <c r="A355" s="143">
        <v>45642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>
        <v>12440.22</v>
      </c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>
        <v>12440.22</v>
      </c>
    </row>
    <row r="356" spans="1:32">
      <c r="A356" s="143">
        <v>45643</v>
      </c>
      <c r="B356" s="9">
        <v>16410.240000000002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>
        <v>5181.12</v>
      </c>
      <c r="O356" s="9"/>
      <c r="P356" s="9"/>
      <c r="Q356" s="9"/>
      <c r="R356" s="9">
        <v>6497.4</v>
      </c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>
        <v>72780.88</v>
      </c>
      <c r="AE356" s="9"/>
      <c r="AF356" s="9">
        <v>100869.64000000001</v>
      </c>
    </row>
    <row r="357" spans="1:32">
      <c r="A357" s="143">
        <v>45644</v>
      </c>
      <c r="B357" s="9"/>
      <c r="C357" s="9"/>
      <c r="D357" s="9"/>
      <c r="E357" s="9">
        <v>9736.32</v>
      </c>
      <c r="F357" s="9"/>
      <c r="G357" s="9"/>
      <c r="H357" s="9"/>
      <c r="I357" s="9">
        <v>16027.2</v>
      </c>
      <c r="J357" s="9"/>
      <c r="K357" s="9"/>
      <c r="L357" s="9"/>
      <c r="M357" s="9"/>
      <c r="N357" s="9">
        <v>25761.3</v>
      </c>
      <c r="O357" s="9"/>
      <c r="P357" s="9">
        <v>19684.98</v>
      </c>
      <c r="Q357" s="9"/>
      <c r="R357" s="9">
        <v>7112.16</v>
      </c>
      <c r="S357" s="9"/>
      <c r="T357" s="9"/>
      <c r="U357" s="9"/>
      <c r="V357" s="9"/>
      <c r="W357" s="9"/>
      <c r="X357" s="9"/>
      <c r="Y357" s="9">
        <v>3093.2</v>
      </c>
      <c r="Z357" s="9"/>
      <c r="AA357" s="9"/>
      <c r="AB357" s="9"/>
      <c r="AC357" s="9"/>
      <c r="AD357" s="9"/>
      <c r="AE357" s="9"/>
      <c r="AF357" s="9">
        <v>81415.16</v>
      </c>
    </row>
    <row r="358" spans="1:32">
      <c r="A358" s="143">
        <v>45645</v>
      </c>
      <c r="B358" s="9"/>
      <c r="C358" s="9"/>
      <c r="D358" s="9">
        <v>11290.98</v>
      </c>
      <c r="E358" s="9"/>
      <c r="F358" s="9"/>
      <c r="G358" s="9">
        <v>7717.2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>
        <v>1694.78</v>
      </c>
      <c r="U358" s="9"/>
      <c r="V358" s="9"/>
      <c r="W358" s="9"/>
      <c r="X358" s="9"/>
      <c r="Y358" s="9">
        <v>13528</v>
      </c>
      <c r="Z358" s="9">
        <v>17648.82</v>
      </c>
      <c r="AA358" s="9"/>
      <c r="AB358" s="9"/>
      <c r="AC358" s="9"/>
      <c r="AD358" s="9">
        <v>27275.759999999998</v>
      </c>
      <c r="AE358" s="9">
        <v>25357.5</v>
      </c>
      <c r="AF358" s="9">
        <v>104513.04</v>
      </c>
    </row>
    <row r="359" spans="1:32">
      <c r="A359" s="143">
        <v>45646</v>
      </c>
      <c r="B359" s="9"/>
      <c r="C359" s="9"/>
      <c r="D359" s="9"/>
      <c r="E359" s="9"/>
      <c r="F359" s="9"/>
      <c r="G359" s="9"/>
      <c r="H359" s="9"/>
      <c r="I359" s="9"/>
      <c r="J359" s="9">
        <v>8663.2199999999993</v>
      </c>
      <c r="K359" s="9"/>
      <c r="L359" s="9"/>
      <c r="M359" s="9">
        <v>14894.04</v>
      </c>
      <c r="N359" s="9"/>
      <c r="O359" s="9"/>
      <c r="P359" s="9">
        <v>13570.7</v>
      </c>
      <c r="Q359" s="9"/>
      <c r="R359" s="9"/>
      <c r="S359" s="9"/>
      <c r="T359" s="9"/>
      <c r="U359" s="9"/>
      <c r="V359" s="9"/>
      <c r="W359" s="9"/>
      <c r="X359" s="9"/>
      <c r="Y359" s="9">
        <v>25032.78</v>
      </c>
      <c r="Z359" s="9"/>
      <c r="AA359" s="9"/>
      <c r="AB359" s="9"/>
      <c r="AC359" s="9"/>
      <c r="AD359" s="9"/>
      <c r="AE359" s="9"/>
      <c r="AF359" s="9">
        <v>62160.740000000005</v>
      </c>
    </row>
    <row r="360" spans="1:32">
      <c r="A360" s="143">
        <v>45647</v>
      </c>
      <c r="B360" s="9"/>
      <c r="C360" s="9"/>
      <c r="D360" s="9">
        <v>1034.56</v>
      </c>
      <c r="E360" s="9"/>
      <c r="F360" s="9"/>
      <c r="G360" s="9">
        <v>3604.36</v>
      </c>
      <c r="H360" s="9">
        <v>9090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>
        <v>44523</v>
      </c>
      <c r="AC360" s="9"/>
      <c r="AD360" s="9"/>
      <c r="AE360" s="9"/>
      <c r="AF360" s="9">
        <v>58251.92</v>
      </c>
    </row>
    <row r="361" spans="1:32">
      <c r="A361" s="143">
        <v>45648</v>
      </c>
      <c r="B361" s="9"/>
      <c r="C361" s="9">
        <v>7202.44</v>
      </c>
      <c r="D361" s="9"/>
      <c r="E361" s="9">
        <v>13321.6</v>
      </c>
      <c r="F361" s="9"/>
      <c r="G361" s="9">
        <v>13746.96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>
        <v>14014.4</v>
      </c>
      <c r="U361" s="9"/>
      <c r="V361" s="9"/>
      <c r="W361" s="9"/>
      <c r="X361" s="9"/>
      <c r="Y361" s="9"/>
      <c r="Z361" s="9"/>
      <c r="AA361" s="9">
        <v>921.12</v>
      </c>
      <c r="AB361" s="9"/>
      <c r="AC361" s="9"/>
      <c r="AD361" s="9"/>
      <c r="AE361" s="9">
        <v>6105</v>
      </c>
      <c r="AF361" s="9">
        <v>55311.520000000004</v>
      </c>
    </row>
    <row r="362" spans="1:32">
      <c r="A362" s="143">
        <v>45649</v>
      </c>
      <c r="B362" s="9"/>
      <c r="C362" s="9"/>
      <c r="D362" s="9"/>
      <c r="E362" s="9"/>
      <c r="F362" s="9"/>
      <c r="G362" s="9">
        <v>19354.8</v>
      </c>
      <c r="H362" s="9"/>
      <c r="I362" s="9"/>
      <c r="J362" s="9"/>
      <c r="K362" s="9">
        <v>22356</v>
      </c>
      <c r="L362" s="9"/>
      <c r="M362" s="9"/>
      <c r="N362" s="9"/>
      <c r="O362" s="9"/>
      <c r="P362" s="9">
        <v>39979.9</v>
      </c>
      <c r="Q362" s="9"/>
      <c r="R362" s="9">
        <v>8854.08</v>
      </c>
      <c r="S362" s="9"/>
      <c r="T362" s="9"/>
      <c r="U362" s="9"/>
      <c r="V362" s="9"/>
      <c r="W362" s="9"/>
      <c r="X362" s="9">
        <v>4385.92</v>
      </c>
      <c r="Y362" s="9"/>
      <c r="Z362" s="9">
        <v>3594.24</v>
      </c>
      <c r="AA362" s="9">
        <v>5739.52</v>
      </c>
      <c r="AB362" s="9"/>
      <c r="AC362" s="9">
        <v>25359.360000000001</v>
      </c>
      <c r="AD362" s="9"/>
      <c r="AE362" s="9"/>
      <c r="AF362" s="9">
        <v>129623.82000000002</v>
      </c>
    </row>
    <row r="363" spans="1:32">
      <c r="A363" s="143">
        <v>45650</v>
      </c>
      <c r="B363" s="9"/>
      <c r="C363" s="9"/>
      <c r="D363" s="9"/>
      <c r="E363" s="9"/>
      <c r="F363" s="9"/>
      <c r="G363" s="9">
        <v>19881.48</v>
      </c>
      <c r="H363" s="9">
        <v>3425.76</v>
      </c>
      <c r="I363" s="9"/>
      <c r="J363" s="9"/>
      <c r="K363" s="9"/>
      <c r="L363" s="9"/>
      <c r="M363" s="9"/>
      <c r="N363" s="9"/>
      <c r="O363" s="9">
        <v>28612.35</v>
      </c>
      <c r="P363" s="9"/>
      <c r="Q363" s="9"/>
      <c r="R363" s="9">
        <v>4959.3</v>
      </c>
      <c r="S363" s="9"/>
      <c r="T363" s="9">
        <v>34250.58</v>
      </c>
      <c r="U363" s="9">
        <v>12955.8</v>
      </c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>
        <v>104085.27</v>
      </c>
    </row>
    <row r="364" spans="1:32">
      <c r="A364" s="143">
        <v>45651</v>
      </c>
      <c r="B364" s="9"/>
      <c r="C364" s="9"/>
      <c r="D364" s="9"/>
      <c r="E364" s="9"/>
      <c r="F364" s="9"/>
      <c r="G364" s="9"/>
      <c r="H364" s="9"/>
      <c r="I364" s="9">
        <v>14151.48</v>
      </c>
      <c r="J364" s="9"/>
      <c r="K364" s="9"/>
      <c r="L364" s="9"/>
      <c r="M364" s="9">
        <v>18812.400000000001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>
        <v>8004</v>
      </c>
      <c r="AD364" s="9"/>
      <c r="AE364" s="9"/>
      <c r="AF364" s="9">
        <v>40967.880000000005</v>
      </c>
    </row>
    <row r="365" spans="1:32">
      <c r="A365" s="143">
        <v>45652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>
        <v>2542.8000000000002</v>
      </c>
      <c r="T365" s="9"/>
      <c r="U365" s="9"/>
      <c r="V365" s="9"/>
      <c r="W365" s="9"/>
      <c r="X365" s="9"/>
      <c r="Y365" s="9"/>
      <c r="Z365" s="9"/>
      <c r="AA365" s="9"/>
      <c r="AB365" s="9">
        <v>5709.6</v>
      </c>
      <c r="AC365" s="9"/>
      <c r="AD365" s="9">
        <v>4724.16</v>
      </c>
      <c r="AE365" s="9"/>
      <c r="AF365" s="9">
        <v>12976.560000000001</v>
      </c>
    </row>
    <row r="366" spans="1:32">
      <c r="A366" s="143">
        <v>45653</v>
      </c>
      <c r="B366" s="9"/>
      <c r="C366" s="9"/>
      <c r="D366" s="9"/>
      <c r="E366" s="9"/>
      <c r="F366" s="9"/>
      <c r="G366" s="9"/>
      <c r="H366" s="9"/>
      <c r="I366" s="9"/>
      <c r="J366" s="9"/>
      <c r="K366" s="9">
        <v>2885.63</v>
      </c>
      <c r="L366" s="9"/>
      <c r="M366" s="9">
        <v>38953.449999999997</v>
      </c>
      <c r="N366" s="9"/>
      <c r="O366" s="9"/>
      <c r="P366" s="9"/>
      <c r="Q366" s="9">
        <v>2821.88</v>
      </c>
      <c r="R366" s="9"/>
      <c r="S366" s="9"/>
      <c r="T366" s="9"/>
      <c r="U366" s="9"/>
      <c r="V366" s="9"/>
      <c r="W366" s="9">
        <v>26300.34</v>
      </c>
      <c r="X366" s="9"/>
      <c r="Y366" s="9"/>
      <c r="Z366" s="9">
        <v>9906</v>
      </c>
      <c r="AA366" s="9"/>
      <c r="AB366" s="9"/>
      <c r="AC366" s="9"/>
      <c r="AD366" s="9"/>
      <c r="AE366" s="9"/>
      <c r="AF366" s="9">
        <v>80867.299999999988</v>
      </c>
    </row>
    <row r="367" spans="1:32">
      <c r="A367" s="143">
        <v>45654</v>
      </c>
      <c r="B367" s="9"/>
      <c r="C367" s="9"/>
      <c r="D367" s="9"/>
      <c r="E367" s="9"/>
      <c r="F367" s="9"/>
      <c r="G367" s="9"/>
      <c r="H367" s="9"/>
      <c r="I367" s="9"/>
      <c r="J367" s="9"/>
      <c r="K367" s="9">
        <v>2351.44</v>
      </c>
      <c r="L367" s="9"/>
      <c r="M367" s="9">
        <v>25491.69</v>
      </c>
      <c r="N367" s="9"/>
      <c r="O367" s="9"/>
      <c r="P367" s="9"/>
      <c r="Q367" s="9"/>
      <c r="R367" s="9"/>
      <c r="S367" s="9"/>
      <c r="T367" s="9"/>
      <c r="U367" s="9"/>
      <c r="V367" s="9">
        <v>22494</v>
      </c>
      <c r="W367" s="9"/>
      <c r="X367" s="9"/>
      <c r="Y367" s="9"/>
      <c r="Z367" s="9"/>
      <c r="AA367" s="9"/>
      <c r="AB367" s="9"/>
      <c r="AC367" s="9"/>
      <c r="AD367" s="9">
        <v>14938.5</v>
      </c>
      <c r="AE367" s="9"/>
      <c r="AF367" s="9">
        <v>65275.63</v>
      </c>
    </row>
    <row r="368" spans="1:32">
      <c r="A368" s="143">
        <v>45655</v>
      </c>
      <c r="B368" s="9"/>
      <c r="C368" s="9"/>
      <c r="D368" s="9"/>
      <c r="E368" s="9"/>
      <c r="F368" s="9"/>
      <c r="G368" s="9"/>
      <c r="H368" s="9"/>
      <c r="I368" s="9">
        <v>44936.1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>
        <v>28236</v>
      </c>
      <c r="AB368" s="9">
        <v>4963.3500000000004</v>
      </c>
      <c r="AC368" s="9"/>
      <c r="AD368" s="9"/>
      <c r="AE368" s="9"/>
      <c r="AF368" s="9">
        <v>78135.450000000012</v>
      </c>
    </row>
    <row r="369" spans="1:32">
      <c r="A369" s="143">
        <v>45656</v>
      </c>
      <c r="B369" s="9">
        <v>18009</v>
      </c>
      <c r="C369" s="9"/>
      <c r="D369" s="9"/>
      <c r="E369" s="9"/>
      <c r="F369" s="9"/>
      <c r="G369" s="9">
        <v>20943.440000000002</v>
      </c>
      <c r="H369" s="9"/>
      <c r="I369" s="9"/>
      <c r="J369" s="9"/>
      <c r="K369" s="9"/>
      <c r="L369" s="9"/>
      <c r="M369" s="9">
        <v>14805.8</v>
      </c>
      <c r="N369" s="9"/>
      <c r="O369" s="9"/>
      <c r="P369" s="9"/>
      <c r="Q369" s="9"/>
      <c r="R369" s="9"/>
      <c r="S369" s="9"/>
      <c r="T369" s="9"/>
      <c r="U369" s="9"/>
      <c r="V369" s="9"/>
      <c r="W369" s="9">
        <v>7027.65</v>
      </c>
      <c r="X369" s="9"/>
      <c r="Y369" s="9"/>
      <c r="Z369" s="9"/>
      <c r="AA369" s="9"/>
      <c r="AB369" s="9"/>
      <c r="AC369" s="9"/>
      <c r="AD369" s="9"/>
      <c r="AE369" s="9">
        <v>7160.36</v>
      </c>
      <c r="AF369" s="9">
        <v>67946.25</v>
      </c>
    </row>
    <row r="370" spans="1:32">
      <c r="A370" s="143" t="s">
        <v>3036</v>
      </c>
      <c r="B370" s="9">
        <v>789849.60000000009</v>
      </c>
      <c r="C370" s="9">
        <v>980063.66</v>
      </c>
      <c r="D370" s="9">
        <v>986692.91</v>
      </c>
      <c r="E370" s="9">
        <v>589026.28999999992</v>
      </c>
      <c r="F370" s="9">
        <v>782445.33000000007</v>
      </c>
      <c r="G370" s="9">
        <v>1138648.7299999997</v>
      </c>
      <c r="H370" s="9">
        <v>855749.67999999993</v>
      </c>
      <c r="I370" s="9">
        <v>861553.32999999973</v>
      </c>
      <c r="J370" s="9">
        <v>914554.71999999974</v>
      </c>
      <c r="K370" s="9">
        <v>880345.2</v>
      </c>
      <c r="L370" s="9">
        <v>735207.76</v>
      </c>
      <c r="M370" s="9">
        <v>901394.31999999983</v>
      </c>
      <c r="N370" s="9">
        <v>811524.38000000012</v>
      </c>
      <c r="O370" s="9">
        <v>995713.54000000039</v>
      </c>
      <c r="P370" s="9">
        <v>1091740.18</v>
      </c>
      <c r="Q370" s="9">
        <v>814563.71000000031</v>
      </c>
      <c r="R370" s="9">
        <v>780384.40999999992</v>
      </c>
      <c r="S370" s="9">
        <v>1112289.6400000001</v>
      </c>
      <c r="T370" s="9">
        <v>971183.52</v>
      </c>
      <c r="U370" s="9">
        <v>906107.7100000002</v>
      </c>
      <c r="V370" s="9">
        <v>761507.17000000016</v>
      </c>
      <c r="W370" s="9">
        <v>1069570.5400000003</v>
      </c>
      <c r="X370" s="9">
        <v>983787.4800000001</v>
      </c>
      <c r="Y370" s="9">
        <v>819558.57999999984</v>
      </c>
      <c r="Z370" s="9">
        <v>901298.89000000013</v>
      </c>
      <c r="AA370" s="9">
        <v>576305.08000000007</v>
      </c>
      <c r="AB370" s="9">
        <v>917092.62</v>
      </c>
      <c r="AC370" s="9">
        <v>880468.04999999981</v>
      </c>
      <c r="AD370" s="9">
        <v>1016696.8</v>
      </c>
      <c r="AE370" s="9">
        <v>747624.36999999988</v>
      </c>
      <c r="AF370" s="9">
        <v>26572948.199999992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6D91-3306-4E3C-9C98-EF857F1B602A}">
  <dimension ref="A1:B64"/>
  <sheetViews>
    <sheetView workbookViewId="0">
      <selection activeCell="F11" sqref="F11"/>
    </sheetView>
  </sheetViews>
  <sheetFormatPr defaultRowHeight="14.4"/>
  <cols>
    <col min="1" max="1" width="12.5546875" bestFit="1" customWidth="1"/>
    <col min="2" max="2" width="19" bestFit="1" customWidth="1"/>
  </cols>
  <sheetData>
    <row r="1" spans="1:2">
      <c r="A1" s="26" t="s">
        <v>3034</v>
      </c>
      <c r="B1" t="s">
        <v>2879</v>
      </c>
    </row>
    <row r="2" spans="1:2" ht="15" thickBot="1"/>
    <row r="3" spans="1:2">
      <c r="A3" s="144" t="s">
        <v>3035</v>
      </c>
      <c r="B3" s="145" t="s">
        <v>3038</v>
      </c>
    </row>
    <row r="4" spans="1:2">
      <c r="A4" s="146" t="s">
        <v>515</v>
      </c>
      <c r="B4" s="147">
        <v>260395.74</v>
      </c>
    </row>
    <row r="5" spans="1:2">
      <c r="A5" s="146" t="s">
        <v>187</v>
      </c>
      <c r="B5" s="147">
        <v>248025.74999999997</v>
      </c>
    </row>
    <row r="6" spans="1:2">
      <c r="A6" s="146" t="s">
        <v>191</v>
      </c>
      <c r="B6" s="147">
        <v>244351.19999999998</v>
      </c>
    </row>
    <row r="7" spans="1:2">
      <c r="A7" s="146" t="s">
        <v>443</v>
      </c>
      <c r="B7" s="147">
        <v>221112.08000000002</v>
      </c>
    </row>
    <row r="8" spans="1:2">
      <c r="A8" s="146" t="s">
        <v>248</v>
      </c>
      <c r="B8" s="147">
        <v>198124.65000000002</v>
      </c>
    </row>
    <row r="9" spans="1:2">
      <c r="A9" s="146" t="s">
        <v>351</v>
      </c>
      <c r="B9" s="147">
        <v>190994.58000000002</v>
      </c>
    </row>
    <row r="10" spans="1:2">
      <c r="A10" s="146" t="s">
        <v>264</v>
      </c>
      <c r="B10" s="147">
        <v>179739.34000000003</v>
      </c>
    </row>
    <row r="11" spans="1:2">
      <c r="A11" s="146" t="s">
        <v>270</v>
      </c>
      <c r="B11" s="147">
        <v>177512.66000000003</v>
      </c>
    </row>
    <row r="12" spans="1:2">
      <c r="A12" s="146" t="s">
        <v>157</v>
      </c>
      <c r="B12" s="147">
        <v>167780.40000000002</v>
      </c>
    </row>
    <row r="13" spans="1:2">
      <c r="A13" s="146" t="s">
        <v>364</v>
      </c>
      <c r="B13" s="147">
        <v>155358.84</v>
      </c>
    </row>
    <row r="14" spans="1:2">
      <c r="A14" s="146" t="s">
        <v>461</v>
      </c>
      <c r="B14" s="147">
        <v>150054.66</v>
      </c>
    </row>
    <row r="15" spans="1:2">
      <c r="A15" s="146" t="s">
        <v>452</v>
      </c>
      <c r="B15" s="147">
        <v>145224.29999999999</v>
      </c>
    </row>
    <row r="16" spans="1:2">
      <c r="A16" s="146" t="s">
        <v>386</v>
      </c>
      <c r="B16" s="147">
        <v>138799.19</v>
      </c>
    </row>
    <row r="17" spans="1:2">
      <c r="A17" s="146" t="s">
        <v>295</v>
      </c>
      <c r="B17" s="147">
        <v>137585.28</v>
      </c>
    </row>
    <row r="18" spans="1:2">
      <c r="A18" s="146" t="s">
        <v>241</v>
      </c>
      <c r="B18" s="147">
        <v>124646.08</v>
      </c>
    </row>
    <row r="19" spans="1:2">
      <c r="A19" s="146" t="s">
        <v>106</v>
      </c>
      <c r="B19" s="147">
        <v>121770.6</v>
      </c>
    </row>
    <row r="20" spans="1:2">
      <c r="A20" s="146" t="s">
        <v>124</v>
      </c>
      <c r="B20" s="147">
        <v>119445.93</v>
      </c>
    </row>
    <row r="21" spans="1:2">
      <c r="A21" s="146" t="s">
        <v>338</v>
      </c>
      <c r="B21" s="147">
        <v>118562.08</v>
      </c>
    </row>
    <row r="22" spans="1:2">
      <c r="A22" s="146" t="s">
        <v>102</v>
      </c>
      <c r="B22" s="147">
        <v>112574.28</v>
      </c>
    </row>
    <row r="23" spans="1:2">
      <c r="A23" s="146" t="s">
        <v>195</v>
      </c>
      <c r="B23" s="147">
        <v>109566.59999999999</v>
      </c>
    </row>
    <row r="24" spans="1:2">
      <c r="A24" s="146" t="s">
        <v>161</v>
      </c>
      <c r="B24" s="147">
        <v>109233.9</v>
      </c>
    </row>
    <row r="25" spans="1:2">
      <c r="A25" s="146" t="s">
        <v>173</v>
      </c>
      <c r="B25" s="147">
        <v>108190.72</v>
      </c>
    </row>
    <row r="26" spans="1:2">
      <c r="A26" s="146" t="s">
        <v>138</v>
      </c>
      <c r="B26" s="147">
        <v>105284.40000000001</v>
      </c>
    </row>
    <row r="27" spans="1:2">
      <c r="A27" s="146" t="s">
        <v>167</v>
      </c>
      <c r="B27" s="147">
        <v>104993.28</v>
      </c>
    </row>
    <row r="28" spans="1:2">
      <c r="A28" s="146" t="s">
        <v>179</v>
      </c>
      <c r="B28" s="147">
        <v>104386</v>
      </c>
    </row>
    <row r="29" spans="1:2">
      <c r="A29" s="146" t="s">
        <v>276</v>
      </c>
      <c r="B29" s="147">
        <v>102894.42000000001</v>
      </c>
    </row>
    <row r="30" spans="1:2">
      <c r="A30" s="146" t="s">
        <v>226</v>
      </c>
      <c r="B30" s="147">
        <v>102321.36</v>
      </c>
    </row>
    <row r="31" spans="1:2">
      <c r="A31" s="146" t="s">
        <v>408</v>
      </c>
      <c r="B31" s="147">
        <v>100869.75999999999</v>
      </c>
    </row>
    <row r="32" spans="1:2">
      <c r="A32" s="146" t="s">
        <v>659</v>
      </c>
      <c r="B32" s="147">
        <v>100288.76000000001</v>
      </c>
    </row>
    <row r="33" spans="1:2">
      <c r="A33" s="146" t="s">
        <v>184</v>
      </c>
      <c r="B33" s="147">
        <v>100035.12</v>
      </c>
    </row>
    <row r="34" spans="1:2">
      <c r="A34" s="146" t="s">
        <v>85</v>
      </c>
      <c r="B34" s="147">
        <v>95390.62</v>
      </c>
    </row>
    <row r="35" spans="1:2">
      <c r="A35" s="146" t="s">
        <v>200</v>
      </c>
      <c r="B35" s="147">
        <v>90555.6</v>
      </c>
    </row>
    <row r="36" spans="1:2">
      <c r="A36" s="146" t="s">
        <v>143</v>
      </c>
      <c r="B36" s="147">
        <v>88426</v>
      </c>
    </row>
    <row r="37" spans="1:2">
      <c r="A37" s="146" t="s">
        <v>237</v>
      </c>
      <c r="B37" s="147">
        <v>85543.64</v>
      </c>
    </row>
    <row r="38" spans="1:2">
      <c r="A38" s="146" t="s">
        <v>355</v>
      </c>
      <c r="B38" s="147">
        <v>84699.950000000012</v>
      </c>
    </row>
    <row r="39" spans="1:2">
      <c r="A39" s="146" t="s">
        <v>367</v>
      </c>
      <c r="B39" s="147">
        <v>84480.48000000001</v>
      </c>
    </row>
    <row r="40" spans="1:2">
      <c r="A40" s="146" t="s">
        <v>259</v>
      </c>
      <c r="B40" s="147">
        <v>80488.100000000006</v>
      </c>
    </row>
    <row r="41" spans="1:2">
      <c r="A41" s="146" t="s">
        <v>131</v>
      </c>
      <c r="B41" s="147">
        <v>77055.149999999994</v>
      </c>
    </row>
    <row r="42" spans="1:2">
      <c r="A42" s="146" t="s">
        <v>360</v>
      </c>
      <c r="B42" s="147">
        <v>74614.720000000001</v>
      </c>
    </row>
    <row r="43" spans="1:2">
      <c r="A43" s="146" t="s">
        <v>151</v>
      </c>
      <c r="B43" s="147">
        <v>71771.999999999985</v>
      </c>
    </row>
    <row r="44" spans="1:2">
      <c r="A44" s="146" t="s">
        <v>176</v>
      </c>
      <c r="B44" s="147">
        <v>68328.149999999994</v>
      </c>
    </row>
    <row r="45" spans="1:2">
      <c r="A45" s="146" t="s">
        <v>135</v>
      </c>
      <c r="B45" s="147">
        <v>67393.919999999998</v>
      </c>
    </row>
    <row r="46" spans="1:2">
      <c r="A46" s="146" t="s">
        <v>245</v>
      </c>
      <c r="B46" s="147">
        <v>66299.89</v>
      </c>
    </row>
    <row r="47" spans="1:2">
      <c r="A47" s="146" t="s">
        <v>267</v>
      </c>
      <c r="B47" s="147">
        <v>64207.380000000005</v>
      </c>
    </row>
    <row r="48" spans="1:2">
      <c r="A48" s="146" t="s">
        <v>380</v>
      </c>
      <c r="B48" s="147">
        <v>56751.360000000001</v>
      </c>
    </row>
    <row r="49" spans="1:2">
      <c r="A49" s="146" t="s">
        <v>164</v>
      </c>
      <c r="B49" s="147">
        <v>47831.039999999994</v>
      </c>
    </row>
    <row r="50" spans="1:2">
      <c r="A50" s="146" t="s">
        <v>234</v>
      </c>
      <c r="B50" s="147">
        <v>39599.279999999999</v>
      </c>
    </row>
    <row r="51" spans="1:2">
      <c r="A51" s="146" t="s">
        <v>120</v>
      </c>
      <c r="B51" s="147">
        <v>38531.35</v>
      </c>
    </row>
    <row r="52" spans="1:2">
      <c r="A52" s="146" t="s">
        <v>127</v>
      </c>
      <c r="B52" s="147">
        <v>37405.14</v>
      </c>
    </row>
    <row r="53" spans="1:2">
      <c r="A53" s="146" t="s">
        <v>115</v>
      </c>
      <c r="B53" s="147">
        <v>32451.840000000004</v>
      </c>
    </row>
    <row r="54" spans="1:2">
      <c r="A54" s="146" t="s">
        <v>502</v>
      </c>
      <c r="B54" s="147">
        <v>26929.539999999997</v>
      </c>
    </row>
    <row r="55" spans="1:2">
      <c r="A55" s="146" t="s">
        <v>97</v>
      </c>
      <c r="B55" s="147">
        <v>21160.810000000005</v>
      </c>
    </row>
    <row r="56" spans="1:2">
      <c r="A56" s="146" t="s">
        <v>110</v>
      </c>
      <c r="B56" s="147">
        <v>20402.169999999998</v>
      </c>
    </row>
    <row r="57" spans="1:2">
      <c r="A57" s="146" t="s">
        <v>182</v>
      </c>
      <c r="B57" s="147">
        <v>19529.36</v>
      </c>
    </row>
    <row r="58" spans="1:2">
      <c r="A58" s="146" t="s">
        <v>203</v>
      </c>
      <c r="B58" s="147">
        <v>13841.52</v>
      </c>
    </row>
    <row r="59" spans="1:2">
      <c r="A59" s="146" t="s">
        <v>292</v>
      </c>
      <c r="B59" s="147">
        <v>12964.82</v>
      </c>
    </row>
    <row r="60" spans="1:2">
      <c r="A60" s="146" t="s">
        <v>91</v>
      </c>
      <c r="B60" s="147">
        <v>9173.34</v>
      </c>
    </row>
    <row r="61" spans="1:2">
      <c r="A61" s="146" t="s">
        <v>147</v>
      </c>
      <c r="B61" s="147">
        <v>7838.2599999999984</v>
      </c>
    </row>
    <row r="62" spans="1:2">
      <c r="A62" s="146" t="s">
        <v>279</v>
      </c>
      <c r="B62" s="147">
        <v>7807.1</v>
      </c>
    </row>
    <row r="63" spans="1:2">
      <c r="A63" s="146" t="s">
        <v>282</v>
      </c>
      <c r="B63" s="147">
        <v>7449.9000000000005</v>
      </c>
    </row>
    <row r="64" spans="1:2" ht="15" thickBot="1">
      <c r="A64" s="148" t="s">
        <v>3036</v>
      </c>
      <c r="B64" s="149">
        <v>5859044.3900000006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10</vt:i4>
      </vt:variant>
    </vt:vector>
  </HeadingPairs>
  <TitlesOfParts>
    <vt:vector size="27" baseType="lpstr">
      <vt:lpstr>README</vt:lpstr>
      <vt:lpstr>Sheet1</vt:lpstr>
      <vt:lpstr>Sheet3</vt:lpstr>
      <vt:lpstr>Sheet4</vt:lpstr>
      <vt:lpstr>Sheet6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Sheet2</vt:lpstr>
      <vt:lpstr>Sheet7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TANMAY BOKADE</cp:lastModifiedBy>
  <cp:lastPrinted>2026-09-04T14:34:07Z</cp:lastPrinted>
  <dcterms:created xsi:type="dcterms:W3CDTF">2026-08-08T11:39:42Z</dcterms:created>
  <dcterms:modified xsi:type="dcterms:W3CDTF">2026-09-05T07:45:09Z</dcterms:modified>
</cp:coreProperties>
</file>